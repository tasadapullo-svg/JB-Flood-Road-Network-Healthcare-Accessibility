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277138868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GIS_Plot_Data" sheetId="1" r:id="Rd00c7866e6644d57"/>
    <x:sheet xmlns:r="http://schemas.openxmlformats.org/officeDocument/2006/relationships" name="02_Frequency_Summary" sheetId="2" r:id="Rb4ed55159c4248c0"/>
    <x:sheet xmlns:r="http://schemas.openxmlformats.org/officeDocument/2006/relationships" name="03_Plot_QA" sheetId="3" r:id="R06e8830a2f56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yyyy-mm-dd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f947420dc463c" /><Relationship Type="http://schemas.openxmlformats.org/officeDocument/2006/relationships/theme" Target="/xl/theme/theme1.xml" Id="Rc1f4231fd9fa4cf9" /><Relationship Type="http://schemas.openxmlformats.org/officeDocument/2006/relationships/sharedStrings" Target="/xl/sharedStrings.xml" Id="R0e3405475b0043bf" /><Relationship Type="http://schemas.openxmlformats.org/officeDocument/2006/relationships/worksheet" Target="/xl/worksheets/sheet1.xml" Id="Rd00c7866e6644d57" /><Relationship Type="http://schemas.openxmlformats.org/officeDocument/2006/relationships/worksheet" Target="/xl/worksheets/sheet2.xml" Id="Rb4ed55159c4248c0" /><Relationship Type="http://schemas.openxmlformats.org/officeDocument/2006/relationships/worksheet" Target="/xl/worksheets/sheet3.xml" Id="R06e8830a2f56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15" hidden="0" customWidth="1"/>
    <x:col min="5" max="5" width="15" hidden="0" customWidth="1"/>
    <x:col min="6" max="6" width="18" hidden="0" customWidth="1"/>
    <x:col min="7" max="7" width="14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30" hidden="0" customWidth="1"/>
    <x:col min="13" max="13" width="18" hidden="0" customWidth="1"/>
    <x:col min="14" max="14" width="12" hidden="0" customWidth="1"/>
    <x:col min="15" max="15" width="16" hidden="0" customWidth="1"/>
  </x:cols>
  <x:sheetData>
    <x:row r="1">
      <x:c r="A1" s="10" t="str">
        <x:v>Final_Location_ID</x:v>
      </x:c>
      <x:c r="B1" s="10" t="str">
        <x:v>Standardized_Location</x:v>
      </x:c>
      <x:c r="C1" s="10" t="str">
        <x:v>Object_Types</x:v>
      </x:c>
      <x:c r="D1" s="10" t="str">
        <x:v>Longitude_WGS84</x:v>
      </x:c>
      <x:c r="E1" s="10" t="str">
        <x:v>Latitude_WGS84</x:v>
      </x:c>
      <x:c r="F1" s="10" t="str">
        <x:v>Independent_Event_Count</x:v>
      </x:c>
      <x:c r="G1" s="10" t="str">
        <x:v>Frequency_Band</x:v>
      </x:c>
      <x:c r="H1" s="10" t="str">
        <x:v>Frequency_Class</x:v>
      </x:c>
      <x:c r="I1" s="10" t="str">
        <x:v>Years_Observed</x:v>
      </x:c>
      <x:c r="J1" s="10" t="str">
        <x:v>First_Event_Date</x:v>
      </x:c>
      <x:c r="K1" s="10" t="str">
        <x:v>Last_Event_Date</x:v>
      </x:c>
      <x:c r="L1" s="10" t="str">
        <x:v>Polygon_IDs</x:v>
      </x:c>
      <x:c r="M1" s="10" t="str">
        <x:v>Fixed45_IDs</x:v>
      </x:c>
      <x:c r="N1" s="10" t="str">
        <x:v>Plot_Status</x:v>
      </x:c>
      <x:c r="O1" s="10" t="str">
        <x:v>Frequency_Check</x:v>
      </x:c>
    </x:row>
    <x:row r="2">
      <x:c r="A2" s="16" t="str">
        <x:v>FLOC-0003</x:v>
      </x:c>
      <x:c r="B2" s="16" t="str">
        <x:v>Batu 20, Jalan Sungai Tiram</x:v>
      </x:c>
      <x:c r="C2" s="16" t="str">
        <x:v>COMMUNITY/AREA; ROAD/LOCALITY; Road</x:v>
      </x:c>
      <x:c r="D2" s="17" t="n">
        <x:v>103.9119375</x:v>
      </x:c>
      <x:c r="E2" s="17" t="n">
        <x:v>1.5850625</x:v>
      </x:c>
      <x:c r="F2" s="16" t="n">
        <x:v>3</x:v>
      </x:c>
      <x:c r="G2" s="16" t="str">
        <x:v>1-3</x:v>
      </x:c>
      <x:c r="H2" s="16" t="str">
        <x:v>Occasional</x:v>
      </x:c>
      <x:c r="I2" s="16" t="str">
        <x:v>2019;2021;2024</x:v>
      </x:c>
      <x:c r="J2" s="18" t="n">
        <x:v>43814</x:v>
      </x:c>
      <x:c r="K2" s="18" t="n">
        <x:v>45298</x:v>
      </x:c>
      <x:c r="L2" s="16"/>
      <x:c r="M2" s="16"/>
      <x:c r="N2" s="16" t="str">
        <x:v>PLOT</x:v>
      </x:c>
      <x:c r="O2" s="16" t="str">
        <x:f>IF(F2&lt;=3,"1-3",IF(F2&lt;=6,"4-6","&gt;=7"))</x:f>
        <x:v>1-3</x:v>
      </x:c>
    </x:row>
    <x:row r="3">
      <x:c r="A3" s="16" t="str">
        <x:v>FLOC-0004</x:v>
      </x:c>
      <x:c r="B3" s="16" t="str">
        <x:v>Century Garden / Taman Century</x:v>
      </x:c>
      <x:c r="C3" s="16" t="str">
        <x:v>AREA/RESIDENTIAL</x:v>
      </x:c>
      <x:c r="D3" s="17" t="n">
        <x:v>103.76237</x:v>
      </x:c>
      <x:c r="E3" s="17" t="n">
        <x:v>1.4831</x:v>
      </x:c>
      <x:c r="F3" s="16" t="n">
        <x:v>1</x:v>
      </x:c>
      <x:c r="G3" s="16" t="str">
        <x:v>1-3</x:v>
      </x:c>
      <x:c r="H3" s="16" t="str">
        <x:v>Occasional</x:v>
      </x:c>
      <x:c r="I3" s="16" t="str">
        <x:v>2026</x:v>
      </x:c>
      <x:c r="J3" s="18" t="n">
        <x:v>46295</x:v>
      </x:c>
      <x:c r="K3" s="18" t="n">
        <x:v>46295</x:v>
      </x:c>
      <x:c r="L3" s="16"/>
      <x:c r="M3" s="16"/>
      <x:c r="N3" s="16" t="str">
        <x:v>PLOT</x:v>
      </x:c>
      <x:c r="O3" s="16" t="str">
        <x:f>IF(F3&lt;=3,"1-3",IF(F3&lt;=6,"4-6","&gt;=7"))</x:f>
        <x:v>1-3</x:v>
      </x:c>
    </x:row>
    <x:row r="4">
      <x:c r="A4" s="16" t="str">
        <x:v>FLOC-0005</x:v>
      </x:c>
      <x:c r="B4" s="16" t="str">
        <x:v>Danga Bay</x:v>
      </x:c>
      <x:c r="C4" s="16" t="str">
        <x:v>AREA/RESIDENTIAL</x:v>
      </x:c>
      <x:c r="D4" s="17" t="n">
        <x:v>103.71846</x:v>
      </x:c>
      <x:c r="E4" s="17" t="n">
        <x:v>1.48118</x:v>
      </x:c>
      <x:c r="F4" s="16" t="n">
        <x:v>1</x:v>
      </x:c>
      <x:c r="G4" s="16" t="str">
        <x:v>1-3</x:v>
      </x:c>
      <x:c r="H4" s="16" t="str">
        <x:v>Occasional</x:v>
      </x:c>
      <x:c r="I4" s="16" t="str">
        <x:v>2026</x:v>
      </x:c>
      <x:c r="J4" s="18" t="n">
        <x:v>46295</x:v>
      </x:c>
      <x:c r="K4" s="18" t="n">
        <x:v>46295</x:v>
      </x:c>
      <x:c r="L4" s="16"/>
      <x:c r="M4" s="16"/>
      <x:c r="N4" s="16" t="str">
        <x:v>PLOT</x:v>
      </x:c>
      <x:c r="O4" s="16" t="str">
        <x:f>IF(F4&lt;=3,"1-3",IF(F4&lt;=6,"4-6","&gt;=7"))</x:f>
        <x:v>1-3</x:v>
      </x:c>
    </x:row>
    <x:row r="5">
      <x:c r="A5" s="16" t="str">
        <x:v>FLOC-0006</x:v>
      </x:c>
      <x:c r="B5" s="16" t="str">
        <x:v>Dataran Bandaraya Johor Bahru</x:v>
      </x:c>
      <x:c r="C5" s="16" t="str">
        <x:v>CIVIC AREA</x:v>
      </x:c>
      <x:c r="D5" s="17" t="n">
        <x:v>103.74196336546</x:v>
      </x:c>
      <x:c r="E5" s="17" t="n">
        <x:v>1.4597388</x:v>
      </x:c>
      <x:c r="F5" s="16" t="n">
        <x:v>1</x:v>
      </x:c>
      <x:c r="G5" s="16" t="str">
        <x:v>1-3</x:v>
      </x:c>
      <x:c r="H5" s="16" t="str">
        <x:v>Occasional</x:v>
      </x:c>
      <x:c r="I5" s="16" t="str">
        <x:v>2023</x:v>
      </x:c>
      <x:c r="J5" s="18" t="n">
        <x:v>45266</x:v>
      </x:c>
      <x:c r="K5" s="18" t="n">
        <x:v>45266</x:v>
      </x:c>
      <x:c r="L5" s="16"/>
      <x:c r="M5" s="16" t="str">
        <x:v>HF21</x:v>
      </x:c>
      <x:c r="N5" s="16" t="str">
        <x:v>PLOT</x:v>
      </x:c>
      <x:c r="O5" s="16" t="str">
        <x:f>IF(F5&lt;=3,"1-3",IF(F5&lt;=6,"4-6","&gt;=7"))</x:f>
        <x:v>1-3</x:v>
      </x:c>
    </x:row>
    <x:row r="6">
      <x:c r="A6" s="16" t="str">
        <x:v>FLOC-0007</x:v>
      </x:c>
      <x:c r="B6" s="16" t="str">
        <x:v>FELDA / Kampung Cahaya Baru</x:v>
      </x:c>
      <x:c r="C6" s="16" t="str">
        <x:v>COMMUNITY/AREA</x:v>
      </x:c>
      <x:c r="D6" s="17" t="n">
        <x:v>103.9308</x:v>
      </x:c>
      <x:c r="E6" s="17" t="n">
        <x:v>1.52768</x:v>
      </x:c>
      <x:c r="F6" s="16" t="n">
        <x:v>1</x:v>
      </x:c>
      <x:c r="G6" s="16" t="str">
        <x:v>1-3</x:v>
      </x:c>
      <x:c r="H6" s="16" t="str">
        <x:v>Occasional</x:v>
      </x:c>
      <x:c r="I6" s="16" t="str">
        <x:v>2023</x:v>
      </x:c>
      <x:c r="J6" s="18" t="n">
        <x:v>44986</x:v>
      </x:c>
      <x:c r="K6" s="18" t="n">
        <x:v>44986</x:v>
      </x:c>
      <x:c r="L6" s="16"/>
      <x:c r="M6" s="16"/>
      <x:c r="N6" s="16" t="str">
        <x:v>PLOT</x:v>
      </x:c>
      <x:c r="O6" s="16" t="str">
        <x:f>IF(F6&lt;=3,"1-3",IF(F6&lt;=6,"4-6","&gt;=7"))</x:f>
        <x:v>1-3</x:v>
      </x:c>
    </x:row>
    <x:row r="7">
      <x:c r="A7" s="16" t="str">
        <x:v>FLOC-0013</x:v>
      </x:c>
      <x:c r="B7" s="16" t="str">
        <x:v>Holiday Villa Johor Bahru City Centre</x:v>
      </x:c>
      <x:c r="C7" s="16" t="str">
        <x:v>FACILITY/POI</x:v>
      </x:c>
      <x:c r="D7" s="17" t="n">
        <x:v>103.76168</x:v>
      </x:c>
      <x:c r="E7" s="17" t="n">
        <x:v>1.48698</x:v>
      </x:c>
      <x:c r="F7" s="16" t="n">
        <x:v>1</x:v>
      </x:c>
      <x:c r="G7" s="16" t="str">
        <x:v>1-3</x:v>
      </x:c>
      <x:c r="H7" s="16" t="str">
        <x:v>Occasional</x:v>
      </x:c>
      <x:c r="I7" s="16" t="str">
        <x:v>2026</x:v>
      </x:c>
      <x:c r="J7" s="18" t="n">
        <x:v>46295</x:v>
      </x:c>
      <x:c r="K7" s="18" t="n">
        <x:v>46295</x:v>
      </x:c>
      <x:c r="L7" s="16"/>
      <x:c r="M7" s="16"/>
      <x:c r="N7" s="16" t="str">
        <x:v>PLOT</x:v>
      </x:c>
      <x:c r="O7" s="16" t="str">
        <x:f>IF(F7&lt;=3,"1-3",IF(F7&lt;=6,"4-6","&gt;=7"))</x:f>
        <x:v>1-3</x:v>
      </x:c>
    </x:row>
    <x:row r="8">
      <x:c r="A8" s="16" t="str">
        <x:v>FLOC-0014</x:v>
      </x:c>
      <x:c r="B8" s="16" t="str">
        <x:v>Hospital Sultanah Aminah</x:v>
      </x:c>
      <x:c r="C8" s="16" t="str">
        <x:v>CRITICAL_FACILITY; Hospital campus / access area</x:v>
      </x:c>
      <x:c r="D8" s="17" t="n">
        <x:v>103.7466457</x:v>
      </x:c>
      <x:c r="E8" s="17" t="n">
        <x:v>1.4575013</x:v>
      </x:c>
      <x:c r="F8" s="16" t="n">
        <x:v>3</x:v>
      </x:c>
      <x:c r="G8" s="16" t="str">
        <x:v>1-3</x:v>
      </x:c>
      <x:c r="H8" s="16" t="str">
        <x:v>Occasional</x:v>
      </x:c>
      <x:c r="I8" s="16" t="str">
        <x:v>2016;2022</x:v>
      </x:c>
      <x:c r="J8" s="18" t="n">
        <x:v>42668</x:v>
      </x:c>
      <x:c r="K8" s="18" t="n">
        <x:v>44775</x:v>
      </x:c>
      <x:c r="L8" s="16" t="str">
        <x:v>PG2016-HSA-CAMPUS</x:v>
      </x:c>
      <x:c r="M8" s="16" t="str">
        <x:v>HF22</x:v>
      </x:c>
      <x:c r="N8" s="16" t="str">
        <x:v>PLOT</x:v>
      </x:c>
      <x:c r="O8" s="16" t="str">
        <x:f>IF(F8&lt;=3,"1-3",IF(F8&lt;=6,"4-6","&gt;=7"))</x:f>
        <x:v>1-3</x:v>
      </x:c>
    </x:row>
    <x:row r="9">
      <x:c r="A9" s="16" t="str">
        <x:v>FLOC-0015</x:v>
      </x:c>
      <x:c r="B9" s="16" t="str">
        <x:v>Hutan Bandar MBJB</x:v>
      </x:c>
      <x:c r="C9" s="16" t="str">
        <x:v>URBAN PARK/AREA</x:v>
      </x:c>
      <x:c r="D9" s="17" t="n">
        <x:v>103.74271</x:v>
      </x:c>
      <x:c r="E9" s="17" t="n">
        <x:v>1.479856</x:v>
      </x:c>
      <x:c r="F9" s="16" t="n">
        <x:v>1</x:v>
      </x:c>
      <x:c r="G9" s="16" t="str">
        <x:v>1-3</x:v>
      </x:c>
      <x:c r="H9" s="16" t="str">
        <x:v>Occasional</x:v>
      </x:c>
      <x:c r="I9" s="16" t="str">
        <x:v>2023</x:v>
      </x:c>
      <x:c r="J9" s="18" t="n">
        <x:v>45266</x:v>
      </x:c>
      <x:c r="K9" s="18" t="n">
        <x:v>45266</x:v>
      </x:c>
      <x:c r="L9" s="16"/>
      <x:c r="M9" s="16"/>
      <x:c r="N9" s="16" t="str">
        <x:v>PLOT</x:v>
      </x:c>
      <x:c r="O9" s="16" t="str">
        <x:f>IF(F9&lt;=3,"1-3",IF(F9&lt;=6,"4-6","&gt;=7"))</x:f>
        <x:v>1-3</x:v>
      </x:c>
    </x:row>
    <x:row r="10">
      <x:c r="A10" s="16" t="str">
        <x:v>FLOC-0019</x:v>
      </x:c>
      <x:c r="B10" s="16" t="str">
        <x:v>Jalan Ayer Molek</x:v>
      </x:c>
      <x:c r="C10" s="16" t="str">
        <x:v>ROAD; ROAD/ROAD CONTEXT</x:v>
      </x:c>
      <x:c r="D10" s="17" t="n">
        <x:v>103.7587117</x:v>
      </x:c>
      <x:c r="E10" s="17" t="n">
        <x:v>1.4594963</x:v>
      </x:c>
      <x:c r="F10" s="16" t="n">
        <x:v>3</x:v>
      </x:c>
      <x:c r="G10" s="16" t="str">
        <x:v>1-3</x:v>
      </x:c>
      <x:c r="H10" s="16" t="str">
        <x:v>Occasional</x:v>
      </x:c>
      <x:c r="I10" s="16" t="str">
        <x:v>2022;2023;2026</x:v>
      </x:c>
      <x:c r="J10" s="18" t="n">
        <x:v>44775</x:v>
      </x:c>
      <x:c r="K10" s="18" t="n">
        <x:v>46295</x:v>
      </x:c>
      <x:c r="L10" s="16"/>
      <x:c r="M10" s="16" t="str">
        <x:v>HF01</x:v>
      </x:c>
      <x:c r="N10" s="16" t="str">
        <x:v>PLOT</x:v>
      </x:c>
      <x:c r="O10" s="16" t="str">
        <x:f>IF(F10&lt;=3,"1-3",IF(F10&lt;=6,"4-6","&gt;=7"))</x:f>
        <x:v>1-3</x:v>
      </x:c>
    </x:row>
    <x:row r="11">
      <x:c r="A11" s="16" t="str">
        <x:v>FLOC-0020</x:v>
      </x:c>
      <x:c r="B11" s="16" t="str">
        <x:v>Jalan Bilal Mahmood</x:v>
      </x:c>
      <x:c r="C11" s="16" t="str">
        <x:v>ROAD</x:v>
      </x:c>
      <x:c r="D11" s="17" t="n">
        <x:v>103.7460468</x:v>
      </x:c>
      <x:c r="E11" s="17" t="n">
        <x:v>1.46528000000001</x:v>
      </x:c>
      <x:c r="F11" s="16" t="n">
        <x:v>1</x:v>
      </x:c>
      <x:c r="G11" s="16" t="str">
        <x:v>1-3</x:v>
      </x:c>
      <x:c r="H11" s="16" t="str">
        <x:v>Occasional</x:v>
      </x:c>
      <x:c r="I11" s="16" t="str">
        <x:v>2023</x:v>
      </x:c>
      <x:c r="J11" s="18" t="n">
        <x:v>45266</x:v>
      </x:c>
      <x:c r="K11" s="18" t="n">
        <x:v>45266</x:v>
      </x:c>
      <x:c r="L11" s="16"/>
      <x:c r="M11" s="16" t="str">
        <x:v>HF23</x:v>
      </x:c>
      <x:c r="N11" s="16" t="str">
        <x:v>PLOT</x:v>
      </x:c>
      <x:c r="O11" s="16" t="str">
        <x:f>IF(F11&lt;=3,"1-3",IF(F11&lt;=6,"4-6","&gt;=7"))</x:f>
        <x:v>1-3</x:v>
      </x:c>
    </x:row>
    <x:row r="12">
      <x:c r="A12" s="16" t="str">
        <x:v>FLOC-0022</x:v>
      </x:c>
      <x:c r="B12" s="16" t="str">
        <x:v>Jalan Datin Halimah / Taman Merdeka vicinity</x:v>
      </x:c>
      <x:c r="C12" s="16" t="str">
        <x:v>ROAD</x:v>
      </x:c>
      <x:c r="D12" s="17" t="n">
        <x:v>103.7359187</x:v>
      </x:c>
      <x:c r="E12" s="17" t="n">
        <x:v>1.4794199</x:v>
      </x:c>
      <x:c r="F12" s="16" t="n">
        <x:v>1</x:v>
      </x:c>
      <x:c r="G12" s="16" t="str">
        <x:v>1-3</x:v>
      </x:c>
      <x:c r="H12" s="16" t="str">
        <x:v>Occasional</x:v>
      </x:c>
      <x:c r="I12" s="16" t="str">
        <x:v>2023</x:v>
      </x:c>
      <x:c r="J12" s="18" t="n">
        <x:v>45274</x:v>
      </x:c>
      <x:c r="K12" s="18" t="n">
        <x:v>45274</x:v>
      </x:c>
      <x:c r="L12" s="16"/>
      <x:c r="M12" s="16"/>
      <x:c r="N12" s="16" t="str">
        <x:v>PLOT</x:v>
      </x:c>
      <x:c r="O12" s="16" t="str">
        <x:f>IF(F12&lt;=3,"1-3",IF(F12&lt;=6,"4-6","&gt;=7"))</x:f>
        <x:v>1-3</x:v>
      </x:c>
    </x:row>
    <x:row r="13">
      <x:c r="A13" s="16" t="str">
        <x:v>FLOC-0023</x:v>
      </x:c>
      <x:c r="B13" s="16" t="str">
        <x:v>Jalan Dato Sulaiman</x:v>
      </x:c>
      <x:c r="C13" s="16" t="str">
        <x:v>ROAD; Road</x:v>
      </x:c>
      <x:c r="D13" s="17" t="n">
        <x:v>103.7570514</x:v>
      </x:c>
      <x:c r="E13" s="17" t="n">
        <x:v>1.48073119999999</x:v>
      </x:c>
      <x:c r="F13" s="16" t="n">
        <x:v>3</x:v>
      </x:c>
      <x:c r="G13" s="16" t="str">
        <x:v>1-3</x:v>
      </x:c>
      <x:c r="H13" s="16" t="str">
        <x:v>Occasional</x:v>
      </x:c>
      <x:c r="I13" s="16" t="str">
        <x:v>2018;2023</x:v>
      </x:c>
      <x:c r="J13" s="18" t="n">
        <x:v>43383</x:v>
      </x:c>
      <x:c r="K13" s="18" t="n">
        <x:v>45274</x:v>
      </x:c>
      <x:c r="L13" s="16"/>
      <x:c r="M13" s="16" t="str">
        <x:v>HF24; HF25</x:v>
      </x:c>
      <x:c r="N13" s="16" t="str">
        <x:v>PLOT</x:v>
      </x:c>
      <x:c r="O13" s="16" t="str">
        <x:f>IF(F13&lt;=3,"1-3",IF(F13&lt;=6,"4-6","&gt;=7"))</x:f>
        <x:v>1-3</x:v>
      </x:c>
    </x:row>
    <x:row r="14">
      <x:c r="A14" s="16" t="str">
        <x:v>FLOC-0024</x:v>
      </x:c>
      <x:c r="B14" s="16" t="str">
        <x:v>Jalan Denai Utama, Kempas</x:v>
      </x:c>
      <x:c r="C14" s="16" t="str">
        <x:v>Road</x:v>
      </x:c>
      <x:c r="D14" s="17" t="n">
        <x:v>103.71851</x:v>
      </x:c>
      <x:c r="E14" s="17" t="n">
        <x:v>1.514607</x:v>
      </x:c>
      <x:c r="F14" s="16" t="n">
        <x:v>2</x:v>
      </x:c>
      <x:c r="G14" s="16" t="str">
        <x:v>1-3</x:v>
      </x:c>
      <x:c r="H14" s="16" t="str">
        <x:v>Occasional</x:v>
      </x:c>
      <x:c r="I14" s="16" t="str">
        <x:v>2018</x:v>
      </x:c>
      <x:c r="J14" s="18" t="n">
        <x:v>43209</x:v>
      </x:c>
      <x:c r="K14" s="18" t="n">
        <x:v>43210</x:v>
      </x:c>
      <x:c r="L14" s="16"/>
      <x:c r="M14" s="16"/>
      <x:c r="N14" s="16" t="str">
        <x:v>PLOT</x:v>
      </x:c>
      <x:c r="O14" s="16" t="str">
        <x:f>IF(F14&lt;=3,"1-3",IF(F14&lt;=6,"4-6","&gt;=7"))</x:f>
        <x:v>1-3</x:v>
      </x:c>
    </x:row>
    <x:row r="15">
      <x:c r="A15" s="16" t="str">
        <x:v>FLOC-0026</x:v>
      </x:c>
      <x:c r="B15" s="16" t="str">
        <x:v>Jalan Harmonium 24/1 area</x:v>
      </x:c>
      <x:c r="C15" s="16" t="str">
        <x:v>ROAD</x:v>
      </x:c>
      <x:c r="D15" s="17" t="n">
        <x:v>103.79419</x:v>
      </x:c>
      <x:c r="E15" s="17" t="n">
        <x:v>1.55191</x:v>
      </x:c>
      <x:c r="F15" s="16" t="n">
        <x:v>1</x:v>
      </x:c>
      <x:c r="G15" s="16" t="str">
        <x:v>1-3</x:v>
      </x:c>
      <x:c r="H15" s="16" t="str">
        <x:v>Occasional</x:v>
      </x:c>
      <x:c r="I15" s="16" t="str">
        <x:v>2023</x:v>
      </x:c>
      <x:c r="J15" s="18" t="n">
        <x:v>45274</x:v>
      </x:c>
      <x:c r="K15" s="18" t="n">
        <x:v>45274</x:v>
      </x:c>
      <x:c r="L15" s="16"/>
      <x:c r="M15" s="16"/>
      <x:c r="N15" s="16" t="str">
        <x:v>PLOT</x:v>
      </x:c>
      <x:c r="O15" s="16" t="str">
        <x:f>IF(F15&lt;=3,"1-3",IF(F15&lt;=6,"4-6","&gt;=7"))</x:f>
        <x:v>1-3</x:v>
      </x:c>
    </x:row>
    <x:row r="16">
      <x:c r="A16" s="16" t="str">
        <x:v>FLOC-0027</x:v>
      </x:c>
      <x:c r="B16" s="16" t="str">
        <x:v>Jalan Ibrahim Sultan</x:v>
      </x:c>
      <x:c r="C16" s="16" t="str">
        <x:v>ROAD</x:v>
      </x:c>
      <x:c r="D16" s="17" t="n">
        <x:v>103.7755173</x:v>
      </x:c>
      <x:c r="E16" s="17" t="n">
        <x:v>1.4644141</x:v>
      </x:c>
      <x:c r="F16" s="16" t="n">
        <x:v>1</x:v>
      </x:c>
      <x:c r="G16" s="16" t="str">
        <x:v>1-3</x:v>
      </x:c>
      <x:c r="H16" s="16" t="str">
        <x:v>Occasional</x:v>
      </x:c>
      <x:c r="I16" s="16" t="str">
        <x:v>2023</x:v>
      </x:c>
      <x:c r="J16" s="18" t="n">
        <x:v>45266</x:v>
      </x:c>
      <x:c r="K16" s="18" t="n">
        <x:v>45266</x:v>
      </x:c>
      <x:c r="L16" s="16"/>
      <x:c r="M16" s="16" t="str">
        <x:v>HF26</x:v>
      </x:c>
      <x:c r="N16" s="16" t="str">
        <x:v>PLOT</x:v>
      </x:c>
      <x:c r="O16" s="16" t="str">
        <x:f>IF(F16&lt;=3,"1-3",IF(F16&lt;=6,"4-6","&gt;=7"))</x:f>
        <x:v>1-3</x:v>
      </x:c>
    </x:row>
    <x:row r="17">
      <x:c r="A17" s="16" t="str">
        <x:v>FLOC-0028</x:v>
      </x:c>
      <x:c r="B17" s="16" t="str">
        <x:v>Jalan Ismail Sultan</x:v>
      </x:c>
      <x:c r="C17" s="16" t="str">
        <x:v>ROAD</x:v>
      </x:c>
      <x:c r="D17" s="17" t="n">
        <x:v>103.6763692</x:v>
      </x:c>
      <x:c r="E17" s="17" t="n">
        <x:v>1.47258519999999</x:v>
      </x:c>
      <x:c r="F17" s="16" t="n">
        <x:v>1</x:v>
      </x:c>
      <x:c r="G17" s="16" t="str">
        <x:v>1-3</x:v>
      </x:c>
      <x:c r="H17" s="16" t="str">
        <x:v>Occasional</x:v>
      </x:c>
      <x:c r="I17" s="16" t="str">
        <x:v>2023</x:v>
      </x:c>
      <x:c r="J17" s="18" t="n">
        <x:v>45266</x:v>
      </x:c>
      <x:c r="K17" s="18" t="n">
        <x:v>45266</x:v>
      </x:c>
      <x:c r="L17" s="16"/>
      <x:c r="M17" s="16" t="str">
        <x:v>HF38</x:v>
      </x:c>
      <x:c r="N17" s="16" t="str">
        <x:v>PLOT</x:v>
      </x:c>
      <x:c r="O17" s="16" t="str">
        <x:f>IF(F17&lt;=3,"1-3",IF(F17&lt;=6,"4-6","&gt;=7"))</x:f>
        <x:v>1-3</x:v>
      </x:c>
    </x:row>
    <x:row r="18">
      <x:c r="A18" s="16" t="str">
        <x:v>FLOC-0032</x:v>
      </x:c>
      <x:c r="B18" s="16" t="str">
        <x:v>Jalan Kangkar Tebrau</x:v>
      </x:c>
      <x:c r="C18" s="16" t="str">
        <x:v>ROAD</x:v>
      </x:c>
      <x:c r="D18" s="17" t="n">
        <x:v>103.7648053</x:v>
      </x:c>
      <x:c r="E18" s="17" t="n">
        <x:v>1.531945</x:v>
      </x:c>
      <x:c r="F18" s="16" t="n">
        <x:v>2</x:v>
      </x:c>
      <x:c r="G18" s="16" t="str">
        <x:v>1-3</x:v>
      </x:c>
      <x:c r="H18" s="16" t="str">
        <x:v>Occasional</x:v>
      </x:c>
      <x:c r="I18" s="16" t="str">
        <x:v>2023;2024</x:v>
      </x:c>
      <x:c r="J18" s="18" t="n">
        <x:v>45261</x:v>
      </x:c>
      <x:c r="K18" s="18" t="n">
        <x:v>45300</x:v>
      </x:c>
      <x:c r="L18" s="16"/>
      <x:c r="M18" s="16"/>
      <x:c r="N18" s="16" t="str">
        <x:v>PLOT</x:v>
      </x:c>
      <x:c r="O18" s="16" t="str">
        <x:f>IF(F18&lt;=3,"1-3",IF(F18&lt;=6,"4-6","&gt;=7"))</x:f>
        <x:v>1-3</x:v>
      </x:c>
    </x:row>
    <x:row r="19">
      <x:c r="A19" s="16" t="str">
        <x:v>FLOC-0033</x:v>
      </x:c>
      <x:c r="B19" s="16" t="str">
        <x:v>Jalan Keris 2, Taman Sri Tebrau</x:v>
      </x:c>
      <x:c r="C19" s="16" t="str">
        <x:v>ROAD</x:v>
      </x:c>
      <x:c r="D19" s="17" t="n">
        <x:v>103.7679</x:v>
      </x:c>
      <x:c r="E19" s="17" t="n">
        <x:v>1.4899</x:v>
      </x:c>
      <x:c r="F19" s="16" t="n">
        <x:v>1</x:v>
      </x:c>
      <x:c r="G19" s="16" t="str">
        <x:v>1-3</x:v>
      </x:c>
      <x:c r="H19" s="16" t="str">
        <x:v>Occasional</x:v>
      </x:c>
      <x:c r="I19" s="16" t="str">
        <x:v>2022</x:v>
      </x:c>
      <x:c r="J19" s="18" t="n">
        <x:v>44872</x:v>
      </x:c>
      <x:c r="K19" s="18" t="n">
        <x:v>44872</x:v>
      </x:c>
      <x:c r="L19" s="16"/>
      <x:c r="M19" s="16"/>
      <x:c r="N19" s="16" t="str">
        <x:v>PLOT</x:v>
      </x:c>
      <x:c r="O19" s="16" t="str">
        <x:f>IF(F19&lt;=3,"1-3",IF(F19&lt;=6,"4-6","&gt;=7"))</x:f>
        <x:v>1-3</x:v>
      </x:c>
    </x:row>
    <x:row r="20">
      <x:c r="A20" s="16" t="str">
        <x:v>FLOC-0034</x:v>
      </x:c>
      <x:c r="B20" s="16" t="str">
        <x:v>Jalan Kijang</x:v>
      </x:c>
      <x:c r="C20" s="16" t="str">
        <x:v>Road</x:v>
      </x:c>
      <x:c r="D20" s="17" t="n">
        <x:v>103.7625739</x:v>
      </x:c>
      <x:c r="E20" s="17" t="n">
        <x:v>1.4864896</x:v>
      </x:c>
      <x:c r="F20" s="16" t="n">
        <x:v>1</x:v>
      </x:c>
      <x:c r="G20" s="16" t="str">
        <x:v>1-3</x:v>
      </x:c>
      <x:c r="H20" s="16" t="str">
        <x:v>Occasional</x:v>
      </x:c>
      <x:c r="I20" s="16" t="str">
        <x:v>2018</x:v>
      </x:c>
      <x:c r="J20" s="18" t="n">
        <x:v>43383</x:v>
      </x:c>
      <x:c r="K20" s="18" t="n">
        <x:v>43383</x:v>
      </x:c>
      <x:c r="L20" s="16"/>
      <x:c r="M20" s="16"/>
      <x:c r="N20" s="16" t="str">
        <x:v>PLOT</x:v>
      </x:c>
      <x:c r="O20" s="16" t="str">
        <x:f>IF(F20&lt;=3,"1-3",IF(F20&lt;=6,"4-6","&gt;=7"))</x:f>
        <x:v>1-3</x:v>
      </x:c>
    </x:row>
    <x:row r="21">
      <x:c r="A21" s="16" t="str">
        <x:v>FLOC-0035</x:v>
      </x:c>
      <x:c r="B21" s="16" t="str">
        <x:v>Jalan Kolam Ayer</x:v>
      </x:c>
      <x:c r="C21" s="16" t="str">
        <x:v>ROAD; ROAD/ROAD SEGMENT; Road; ROAD/ROAD CONTEXT</x:v>
      </x:c>
      <x:c r="D21" s="17" t="n">
        <x:v>103.7220526</x:v>
      </x:c>
      <x:c r="E21" s="17" t="n">
        <x:v>1.48238540000001</x:v>
      </x:c>
      <x:c r="F21" s="16" t="n">
        <x:v>5</x:v>
      </x:c>
      <x:c r="G21" s="16" t="str">
        <x:v>4-6</x:v>
      </x:c>
      <x:c r="H21" s="16" t="str">
        <x:v>Recurrent</x:v>
      </x:c>
      <x:c r="I21" s="16" t="str">
        <x:v>2020;2022;2023;2025;2026</x:v>
      </x:c>
      <x:c r="J21" s="18" t="n">
        <x:v>44105</x:v>
      </x:c>
      <x:c r="K21" s="18" t="n">
        <x:v>46295</x:v>
      </x:c>
      <x:c r="L21" s="16"/>
      <x:c r="M21" s="16" t="str">
        <x:v>HF02</x:v>
      </x:c>
      <x:c r="N21" s="16" t="str">
        <x:v>PLOT</x:v>
      </x:c>
      <x:c r="O21" s="16" t="str">
        <x:f>IF(F21&lt;=3,"1-3",IF(F21&lt;=6,"4-6","&gt;=7"))</x:f>
        <x:v>4-6</x:v>
      </x:c>
    </x:row>
    <x:row r="22">
      <x:c r="A22" s="16" t="str">
        <x:v>FLOC-0036</x:v>
      </x:c>
      <x:c r="B22" s="16" t="str">
        <x:v>Jalan Kota Tinggi / FT003</x:v>
      </x:c>
      <x:c r="C22" s="16" t="str">
        <x:v>ROAD</x:v>
      </x:c>
      <x:c r="D22" s="17" t="n">
        <x:v>103.8012632</x:v>
      </x:c>
      <x:c r="E22" s="17" t="n">
        <x:v>1.5566538</x:v>
      </x:c>
      <x:c r="F22" s="16" t="n">
        <x:v>1</x:v>
      </x:c>
      <x:c r="G22" s="16" t="str">
        <x:v>1-3</x:v>
      </x:c>
      <x:c r="H22" s="16" t="str">
        <x:v>Occasional</x:v>
      </x:c>
      <x:c r="I22" s="16" t="str">
        <x:v>2022</x:v>
      </x:c>
      <x:c r="J22" s="18" t="n">
        <x:v>44668</x:v>
      </x:c>
      <x:c r="K22" s="18" t="n">
        <x:v>44668</x:v>
      </x:c>
      <x:c r="L22" s="16"/>
      <x:c r="M22" s="16"/>
      <x:c r="N22" s="16" t="str">
        <x:v>PLOT</x:v>
      </x:c>
      <x:c r="O22" s="16" t="str">
        <x:f>IF(F22&lt;=3,"1-3",IF(F22&lt;=6,"4-6","&gt;=7"))</x:f>
        <x:v>1-3</x:v>
      </x:c>
    </x:row>
    <x:row r="23">
      <x:c r="A23" s="16" t="str">
        <x:v>FLOC-0037</x:v>
      </x:c>
      <x:c r="B23" s="16" t="str">
        <x:v>Jalan Lingkaran Dalam, Johor Bahru</x:v>
      </x:c>
      <x:c r="C23" s="16" t="str">
        <x:v>ROAD</x:v>
      </x:c>
      <x:c r="D23" s="17" t="n">
        <x:v>103.749959</x:v>
      </x:c>
      <x:c r="E23" s="17" t="n">
        <x:v>1.4664595</x:v>
      </x:c>
      <x:c r="F23" s="16" t="n">
        <x:v>1</x:v>
      </x:c>
      <x:c r="G23" s="16" t="str">
        <x:v>1-3</x:v>
      </x:c>
      <x:c r="H23" s="16" t="str">
        <x:v>Occasional</x:v>
      </x:c>
      <x:c r="I23" s="16" t="str">
        <x:v>2017</x:v>
      </x:c>
      <x:c r="J23" s="18" t="n">
        <x:v>43094</x:v>
      </x:c>
      <x:c r="K23" s="18" t="n">
        <x:v>43094</x:v>
      </x:c>
      <x:c r="L23" s="16"/>
      <x:c r="M23" s="16"/>
      <x:c r="N23" s="16" t="str">
        <x:v>PLOT</x:v>
      </x:c>
      <x:c r="O23" s="16" t="str">
        <x:f>IF(F23&lt;=3,"1-3",IF(F23&lt;=6,"4-6","&gt;=7"))</x:f>
        <x:v>1-3</x:v>
      </x:c>
    </x:row>
    <x:row r="24">
      <x:c r="A24" s="16" t="str">
        <x:v>FLOC-0038</x:v>
      </x:c>
      <x:c r="B24" s="16" t="str">
        <x:v>Jalan Lurah 3</x:v>
      </x:c>
      <x:c r="C24" s="16" t="str">
        <x:v>ROAD</x:v>
      </x:c>
      <x:c r="D24" s="17" t="n">
        <x:v>103.7155955</x:v>
      </x:c>
      <x:c r="E24" s="17" t="n">
        <x:v>1.5302594</x:v>
      </x:c>
      <x:c r="F24" s="16" t="n">
        <x:v>1</x:v>
      </x:c>
      <x:c r="G24" s="16" t="str">
        <x:v>1-3</x:v>
      </x:c>
      <x:c r="H24" s="16" t="str">
        <x:v>Occasional</x:v>
      </x:c>
      <x:c r="I24" s="16" t="str">
        <x:v>2023</x:v>
      </x:c>
      <x:c r="J24" s="18" t="n">
        <x:v>45266</x:v>
      </x:c>
      <x:c r="K24" s="18" t="n">
        <x:v>45266</x:v>
      </x:c>
      <x:c r="L24" s="16"/>
      <x:c r="M24" s="16" t="str">
        <x:v>HF41</x:v>
      </x:c>
      <x:c r="N24" s="16" t="str">
        <x:v>PLOT</x:v>
      </x:c>
      <x:c r="O24" s="16" t="str">
        <x:f>IF(F24&lt;=3,"1-3",IF(F24&lt;=6,"4-6","&gt;=7"))</x:f>
        <x:v>1-3</x:v>
      </x:c>
    </x:row>
    <x:row r="25">
      <x:c r="A25" s="16" t="str">
        <x:v>FLOC-0039</x:v>
      </x:c>
      <x:c r="B25" s="16" t="str">
        <x:v>Jalan Mahmoodiah</x:v>
      </x:c>
      <x:c r="C25" s="16" t="str">
        <x:v>ROAD</x:v>
      </x:c>
      <x:c r="D25" s="17" t="n">
        <x:v>103.7482815</x:v>
      </x:c>
      <x:c r="E25" s="17" t="n">
        <x:v>1.4629658</x:v>
      </x:c>
      <x:c r="F25" s="16" t="n">
        <x:v>2</x:v>
      </x:c>
      <x:c r="G25" s="16" t="str">
        <x:v>1-3</x:v>
      </x:c>
      <x:c r="H25" s="16" t="str">
        <x:v>Occasional</x:v>
      </x:c>
      <x:c r="I25" s="16" t="str">
        <x:v>2022;2023</x:v>
      </x:c>
      <x:c r="J25" s="18" t="n">
        <x:v>44775</x:v>
      </x:c>
      <x:c r="K25" s="18" t="n">
        <x:v>45266</x:v>
      </x:c>
      <x:c r="L25" s="16"/>
      <x:c r="M25" s="16" t="str">
        <x:v>HF03</x:v>
      </x:c>
      <x:c r="N25" s="16" t="str">
        <x:v>PLOT</x:v>
      </x:c>
      <x:c r="O25" s="16" t="str">
        <x:f>IF(F25&lt;=3,"1-3",IF(F25&lt;=6,"4-6","&gt;=7"))</x:f>
        <x:v>1-3</x:v>
      </x:c>
    </x:row>
    <x:row r="26">
      <x:c r="A26" s="16" t="str">
        <x:v>FLOC-0042</x:v>
      </x:c>
      <x:c r="B26" s="16" t="str">
        <x:v>Jalan Mutiara Emas Utama</x:v>
      </x:c>
      <x:c r="C26" s="16" t="str">
        <x:v>ROAD</x:v>
      </x:c>
      <x:c r="D26" s="17" t="n">
        <x:v>103.7804</x:v>
      </x:c>
      <x:c r="E26" s="17" t="n">
        <x:v>1.5605</x:v>
      </x:c>
      <x:c r="F26" s="16" t="n">
        <x:v>1</x:v>
      </x:c>
      <x:c r="G26" s="16" t="str">
        <x:v>1-3</x:v>
      </x:c>
      <x:c r="H26" s="16" t="str">
        <x:v>Occasional</x:v>
      </x:c>
      <x:c r="I26" s="16" t="str">
        <x:v>2023</x:v>
      </x:c>
      <x:c r="J26" s="18" t="n">
        <x:v>45274</x:v>
      </x:c>
      <x:c r="K26" s="18" t="n">
        <x:v>45274</x:v>
      </x:c>
      <x:c r="L26" s="16"/>
      <x:c r="M26" s="16"/>
      <x:c r="N26" s="16" t="str">
        <x:v>PLOT</x:v>
      </x:c>
      <x:c r="O26" s="16" t="str">
        <x:f>IF(F26&lt;=3,"1-3",IF(F26&lt;=6,"4-6","&gt;=7"))</x:f>
        <x:v>1-3</x:v>
      </x:c>
    </x:row>
    <x:row r="27">
      <x:c r="A27" s="16" t="str">
        <x:v>FLOC-0043</x:v>
      </x:c>
      <x:c r="B27" s="16" t="str">
        <x:v>Jalan Padi Huma 10</x:v>
      </x:c>
      <x:c r="C27" s="16" t="str">
        <x:v>ROAD</x:v>
      </x:c>
      <x:c r="D27" s="17" t="n">
        <x:v>103.7234744</x:v>
      </x:c>
      <x:c r="E27" s="17" t="n">
        <x:v>1.49891240000001</x:v>
      </x:c>
      <x:c r="F27" s="16" t="n">
        <x:v>1</x:v>
      </x:c>
      <x:c r="G27" s="16" t="str">
        <x:v>1-3</x:v>
      </x:c>
      <x:c r="H27" s="16" t="str">
        <x:v>Occasional</x:v>
      </x:c>
      <x:c r="I27" s="16" t="str">
        <x:v>2023</x:v>
      </x:c>
      <x:c r="J27" s="18" t="n">
        <x:v>45266</x:v>
      </x:c>
      <x:c r="K27" s="18" t="n">
        <x:v>45266</x:v>
      </x:c>
      <x:c r="L27" s="16"/>
      <x:c r="M27" s="16" t="str">
        <x:v>HF28</x:v>
      </x:c>
      <x:c r="N27" s="16" t="str">
        <x:v>PLOT</x:v>
      </x:c>
      <x:c r="O27" s="16" t="str">
        <x:f>IF(F27&lt;=3,"1-3",IF(F27&lt;=6,"4-6","&gt;=7"))</x:f>
        <x:v>1-3</x:v>
      </x:c>
    </x:row>
    <x:row r="28">
      <x:c r="A28" s="16" t="str">
        <x:v>FLOC-0044</x:v>
      </x:c>
      <x:c r="B28" s="16" t="str">
        <x:v>Jalan Padi Huma 9</x:v>
      </x:c>
      <x:c r="C28" s="16" t="str">
        <x:v>ROAD</x:v>
      </x:c>
      <x:c r="D28" s="17" t="n">
        <x:v>103.7237744</x:v>
      </x:c>
      <x:c r="E28" s="17" t="n">
        <x:v>1.4983831</x:v>
      </x:c>
      <x:c r="F28" s="16" t="n">
        <x:v>1</x:v>
      </x:c>
      <x:c r="G28" s="16" t="str">
        <x:v>1-3</x:v>
      </x:c>
      <x:c r="H28" s="16" t="str">
        <x:v>Occasional</x:v>
      </x:c>
      <x:c r="I28" s="16" t="str">
        <x:v>2023</x:v>
      </x:c>
      <x:c r="J28" s="18" t="n">
        <x:v>45266</x:v>
      </x:c>
      <x:c r="K28" s="18" t="n">
        <x:v>45266</x:v>
      </x:c>
      <x:c r="L28" s="16"/>
      <x:c r="M28" s="16" t="str">
        <x:v>HF29</x:v>
      </x:c>
      <x:c r="N28" s="16" t="str">
        <x:v>PLOT</x:v>
      </x:c>
      <x:c r="O28" s="16" t="str">
        <x:f>IF(F28&lt;=3,"1-3",IF(F28&lt;=6,"4-6","&gt;=7"))</x:f>
        <x:v>1-3</x:v>
      </x:c>
    </x:row>
    <x:row r="29">
      <x:c r="A29" s="16" t="str">
        <x:v>FLOC-0045</x:v>
      </x:c>
      <x:c r="B29" s="16" t="str">
        <x:v>Jalan Padi Makmur</x:v>
      </x:c>
      <x:c r="C29" s="16" t="str">
        <x:v>ROAD</x:v>
      </x:c>
      <x:c r="D29" s="17" t="n">
        <x:v>103.7208677</x:v>
      </x:c>
      <x:c r="E29" s="17" t="n">
        <x:v>1.4866099</x:v>
      </x:c>
      <x:c r="F29" s="16" t="n">
        <x:v>1</x:v>
      </x:c>
      <x:c r="G29" s="16" t="str">
        <x:v>1-3</x:v>
      </x:c>
      <x:c r="H29" s="16" t="str">
        <x:v>Occasional</x:v>
      </x:c>
      <x:c r="I29" s="16" t="str">
        <x:v>2023</x:v>
      </x:c>
      <x:c r="J29" s="18" t="n">
        <x:v>45266</x:v>
      </x:c>
      <x:c r="K29" s="18" t="n">
        <x:v>45266</x:v>
      </x:c>
      <x:c r="L29" s="16"/>
      <x:c r="M29" s="16" t="str">
        <x:v>HF30</x:v>
      </x:c>
      <x:c r="N29" s="16" t="str">
        <x:v>PLOT</x:v>
      </x:c>
      <x:c r="O29" s="16" t="str">
        <x:f>IF(F29&lt;=3,"1-3",IF(F29&lt;=6,"4-6","&gt;=7"))</x:f>
        <x:v>1-3</x:v>
      </x:c>
    </x:row>
    <x:row r="30">
      <x:c r="A30" s="16" t="str">
        <x:v>FLOC-0047</x:v>
      </x:c>
      <x:c r="B30" s="16" t="str">
        <x:v>Jalan Pantai Lido</x:v>
      </x:c>
      <x:c r="C30" s="16" t="str">
        <x:v>ROAD</x:v>
      </x:c>
      <x:c r="D30" s="17" t="n">
        <x:v>103.74418</x:v>
      </x:c>
      <x:c r="E30" s="17" t="n">
        <x:v>1.4593</x:v>
      </x:c>
      <x:c r="F30" s="16" t="n">
        <x:v>1</x:v>
      </x:c>
      <x:c r="G30" s="16" t="str">
        <x:v>1-3</x:v>
      </x:c>
      <x:c r="H30" s="16" t="str">
        <x:v>Occasional</x:v>
      </x:c>
      <x:c r="I30" s="16" t="str">
        <x:v>2022</x:v>
      </x:c>
      <x:c r="J30" s="18" t="n">
        <x:v>44775</x:v>
      </x:c>
      <x:c r="K30" s="18" t="n">
        <x:v>44775</x:v>
      </x:c>
      <x:c r="L30" s="16"/>
      <x:c r="M30" s="16"/>
      <x:c r="N30" s="16" t="str">
        <x:v>PLOT</x:v>
      </x:c>
      <x:c r="O30" s="16" t="str">
        <x:f>IF(F30&lt;=3,"1-3",IF(F30&lt;=6,"4-6","&gt;=7"))</x:f>
        <x:v>1-3</x:v>
      </x:c>
    </x:row>
    <x:row r="31">
      <x:c r="A31" s="16" t="str">
        <x:v>FLOC-0050</x:v>
      </x:c>
      <x:c r="B31" s="16" t="str">
        <x:v>Jalan Permatang, Kempas</x:v>
      </x:c>
      <x:c r="C31" s="16" t="str">
        <x:v>Road</x:v>
      </x:c>
      <x:c r="D31" s="17" t="n">
        <x:v>103.7232702328</x:v>
      </x:c>
      <x:c r="E31" s="17" t="n">
        <x:v>1.5353449124</x:v>
      </x:c>
      <x:c r="F31" s="16" t="n">
        <x:v>1</x:v>
      </x:c>
      <x:c r="G31" s="16" t="str">
        <x:v>1-3</x:v>
      </x:c>
      <x:c r="H31" s="16" t="str">
        <x:v>Occasional</x:v>
      </x:c>
      <x:c r="I31" s="16" t="str">
        <x:v>2018</x:v>
      </x:c>
      <x:c r="J31" s="18" t="n">
        <x:v>43210</x:v>
      </x:c>
      <x:c r="K31" s="18" t="n">
        <x:v>43210</x:v>
      </x:c>
      <x:c r="L31" s="16"/>
      <x:c r="M31" s="16"/>
      <x:c r="N31" s="16" t="str">
        <x:v>PLOT</x:v>
      </x:c>
      <x:c r="O31" s="16" t="str">
        <x:f>IF(F31&lt;=3,"1-3",IF(F31&lt;=6,"4-6","&gt;=7"))</x:f>
        <x:v>1-3</x:v>
      </x:c>
    </x:row>
    <x:row r="32">
      <x:c r="A32" s="16" t="str">
        <x:v>FLOC-0052</x:v>
      </x:c>
      <x:c r="B32" s="16" t="str">
        <x:v>Jalan Ros Merah</x:v>
      </x:c>
      <x:c r="C32" s="16" t="str">
        <x:v>ROAD; Road</x:v>
      </x:c>
      <x:c r="D32" s="17" t="n">
        <x:v>103.7947712</x:v>
      </x:c>
      <x:c r="E32" s="17" t="n">
        <x:v>1.534148</x:v>
      </x:c>
      <x:c r="F32" s="16" t="n">
        <x:v>2</x:v>
      </x:c>
      <x:c r="G32" s="16" t="str">
        <x:v>1-3</x:v>
      </x:c>
      <x:c r="H32" s="16" t="str">
        <x:v>Occasional</x:v>
      </x:c>
      <x:c r="I32" s="16" t="str">
        <x:v>2017;2020</x:v>
      </x:c>
      <x:c r="J32" s="18" t="n">
        <x:v>42887</x:v>
      </x:c>
      <x:c r="K32" s="18" t="n">
        <x:v>43986</x:v>
      </x:c>
      <x:c r="L32" s="16"/>
      <x:c r="M32" s="16"/>
      <x:c r="N32" s="16" t="str">
        <x:v>PLOT</x:v>
      </x:c>
      <x:c r="O32" s="16" t="str">
        <x:f>IF(F32&lt;=3,"1-3",IF(F32&lt;=6,"4-6","&gt;=7"))</x:f>
        <x:v>1-3</x:v>
      </x:c>
    </x:row>
    <x:row r="33">
      <x:c r="A33" s="16" t="str">
        <x:v>FLOC-0056</x:v>
      </x:c>
      <x:c r="B33" s="16" t="str">
        <x:v>Jalan Serigala</x:v>
      </x:c>
      <x:c r="C33" s="16" t="str">
        <x:v>ROAD</x:v>
      </x:c>
      <x:c r="D33" s="17" t="n">
        <x:v>103.760885</x:v>
      </x:c>
      <x:c r="E33" s="17" t="n">
        <x:v>1.48538309999999</x:v>
      </x:c>
      <x:c r="F33" s="16" t="n">
        <x:v>1</x:v>
      </x:c>
      <x:c r="G33" s="16" t="str">
        <x:v>1-3</x:v>
      </x:c>
      <x:c r="H33" s="16" t="str">
        <x:v>Occasional</x:v>
      </x:c>
      <x:c r="I33" s="16" t="str">
        <x:v>2023</x:v>
      </x:c>
      <x:c r="J33" s="18" t="n">
        <x:v>45266</x:v>
      </x:c>
      <x:c r="K33" s="18" t="n">
        <x:v>45266</x:v>
      </x:c>
      <x:c r="L33" s="16"/>
      <x:c r="M33" s="16" t="str">
        <x:v>HF31</x:v>
      </x:c>
      <x:c r="N33" s="16" t="str">
        <x:v>PLOT</x:v>
      </x:c>
      <x:c r="O33" s="16" t="str">
        <x:f>IF(F33&lt;=3,"1-3",IF(F33&lt;=6,"4-6","&gt;=7"))</x:f>
        <x:v>1-3</x:v>
      </x:c>
    </x:row>
    <x:row r="34">
      <x:c r="A34" s="16" t="str">
        <x:v>FLOC-0059</x:v>
      </x:c>
      <x:c r="B34" s="16" t="str">
        <x:v>Jalan Skudai</x:v>
      </x:c>
      <x:c r="C34" s="16" t="str">
        <x:v>ROAD</x:v>
      </x:c>
      <x:c r="D34" s="17" t="n">
        <x:v>103.7256712</x:v>
      </x:c>
      <x:c r="E34" s="17" t="n">
        <x:v>1.4714218</x:v>
      </x:c>
      <x:c r="F34" s="16" t="n">
        <x:v>1</x:v>
      </x:c>
      <x:c r="G34" s="16" t="str">
        <x:v>1-3</x:v>
      </x:c>
      <x:c r="H34" s="16" t="str">
        <x:v>Occasional</x:v>
      </x:c>
      <x:c r="I34" s="16" t="str">
        <x:v>2023</x:v>
      </x:c>
      <x:c r="J34" s="18" t="n">
        <x:v>45274</x:v>
      </x:c>
      <x:c r="K34" s="18" t="n">
        <x:v>45274</x:v>
      </x:c>
      <x:c r="L34" s="16"/>
      <x:c r="M34" s="16"/>
      <x:c r="N34" s="16" t="str">
        <x:v>PLOT</x:v>
      </x:c>
      <x:c r="O34" s="16" t="str">
        <x:f>IF(F34&lt;=3,"1-3",IF(F34&lt;=6,"4-6","&gt;=7"))</x:f>
        <x:v>1-3</x:v>
      </x:c>
    </x:row>
    <x:row r="35">
      <x:c r="A35" s="16" t="str">
        <x:v>FLOC-0060</x:v>
      </x:c>
      <x:c r="B35" s="16" t="str">
        <x:v>Jalan Stulang Darat</x:v>
      </x:c>
      <x:c r="C35" s="16" t="str">
        <x:v>ROAD</x:v>
      </x:c>
      <x:c r="D35" s="17" t="n">
        <x:v>103.7773894</x:v>
      </x:c>
      <x:c r="E35" s="17" t="n">
        <x:v>1.47246319999999</x:v>
      </x:c>
      <x:c r="F35" s="16" t="n">
        <x:v>1</x:v>
      </x:c>
      <x:c r="G35" s="16" t="str">
        <x:v>1-3</x:v>
      </x:c>
      <x:c r="H35" s="16" t="str">
        <x:v>Occasional</x:v>
      </x:c>
      <x:c r="I35" s="16" t="str">
        <x:v>2023</x:v>
      </x:c>
      <x:c r="J35" s="18" t="n">
        <x:v>45266</x:v>
      </x:c>
      <x:c r="K35" s="18" t="n">
        <x:v>45266</x:v>
      </x:c>
      <x:c r="L35" s="16"/>
      <x:c r="M35" s="16" t="str">
        <x:v>HF10</x:v>
      </x:c>
      <x:c r="N35" s="16" t="str">
        <x:v>PLOT</x:v>
      </x:c>
      <x:c r="O35" s="16" t="str">
        <x:f>IF(F35&lt;=3,"1-3",IF(F35&lt;=6,"4-6","&gt;=7"))</x:f>
        <x:v>1-3</x:v>
      </x:c>
    </x:row>
    <x:row r="36">
      <x:c r="A36" s="16" t="str">
        <x:v>FLOC-0061</x:v>
      </x:c>
      <x:c r="B36" s="16" t="str">
        <x:v>Jalan Sukun, Kampung Pasir</x:v>
      </x:c>
      <x:c r="C36" s="16" t="str">
        <x:v>ROAD/ROAD SEGMENT; Road within flood locality</x:v>
      </x:c>
      <x:c r="D36" s="17" t="n">
        <x:v>103.6963972</x:v>
      </x:c>
      <x:c r="E36" s="17" t="n">
        <x:v>1.4999611</x:v>
      </x:c>
      <x:c r="F36" s="16" t="n">
        <x:v>2</x:v>
      </x:c>
      <x:c r="G36" s="16" t="str">
        <x:v>1-3</x:v>
      </x:c>
      <x:c r="H36" s="16" t="str">
        <x:v>Occasional</x:v>
      </x:c>
      <x:c r="I36" s="16" t="str">
        <x:v>2018;2025</x:v>
      </x:c>
      <x:c r="J36" s="18" t="n">
        <x:v>43402</x:v>
      </x:c>
      <x:c r="K36" s="18" t="n">
        <x:v>45736</x:v>
      </x:c>
      <x:c r="L36" s="16"/>
      <x:c r="M36" s="16"/>
      <x:c r="N36" s="16" t="str">
        <x:v>PLOT</x:v>
      </x:c>
      <x:c r="O36" s="16" t="str">
        <x:f>IF(F36&lt;=3,"1-3",IF(F36&lt;=6,"4-6","&gt;=7"))</x:f>
        <x:v>1-3</x:v>
      </x:c>
    </x:row>
    <x:row r="37">
      <x:c r="A37" s="16" t="str">
        <x:v>FLOC-0062</x:v>
      </x:c>
      <x:c r="B37" s="16" t="str">
        <x:v>Jalan Sungai Chat</x:v>
      </x:c>
      <x:c r="C37" s="16" t="str">
        <x:v>ROAD; ROAD/ROAD CONTEXT; ROAD/ROAD SEGMENT</x:v>
      </x:c>
      <x:c r="D37" s="17" t="n">
        <x:v>103.7385575</x:v>
      </x:c>
      <x:c r="E37" s="17" t="n">
        <x:v>1.4609922</x:v>
      </x:c>
      <x:c r="F37" s="16" t="n">
        <x:v>3</x:v>
      </x:c>
      <x:c r="G37" s="16" t="str">
        <x:v>1-3</x:v>
      </x:c>
      <x:c r="H37" s="16" t="str">
        <x:v>Occasional</x:v>
      </x:c>
      <x:c r="I37" s="16" t="str">
        <x:v>2023;2025;2026</x:v>
      </x:c>
      <x:c r="J37" s="18" t="n">
        <x:v>45266</x:v>
      </x:c>
      <x:c r="K37" s="18" t="n">
        <x:v>46295</x:v>
      </x:c>
      <x:c r="L37" s="16"/>
      <x:c r="M37" s="16" t="str">
        <x:v>HF04</x:v>
      </x:c>
      <x:c r="N37" s="16" t="str">
        <x:v>PLOT</x:v>
      </x:c>
      <x:c r="O37" s="16" t="str">
        <x:f>IF(F37&lt;=3,"1-3",IF(F37&lt;=6,"4-6","&gt;=7"))</x:f>
        <x:v>1-3</x:v>
      </x:c>
    </x:row>
    <x:row r="38">
      <x:c r="A38" s="16" t="str">
        <x:v>FLOC-0063</x:v>
      </x:c>
      <x:c r="B38" s="16" t="str">
        <x:v>Jalan Tampoi</x:v>
      </x:c>
      <x:c r="C38" s="16" t="str">
        <x:v>ROAD</x:v>
      </x:c>
      <x:c r="D38" s="17" t="n">
        <x:v>103.708266</x:v>
      </x:c>
      <x:c r="E38" s="17" t="n">
        <x:v>1.500366</x:v>
      </x:c>
      <x:c r="F38" s="16" t="n">
        <x:v>1</x:v>
      </x:c>
      <x:c r="G38" s="16" t="str">
        <x:v>1-3</x:v>
      </x:c>
      <x:c r="H38" s="16" t="str">
        <x:v>Occasional</x:v>
      </x:c>
      <x:c r="I38" s="16" t="str">
        <x:v>2023</x:v>
      </x:c>
      <x:c r="J38" s="18" t="n">
        <x:v>45274</x:v>
      </x:c>
      <x:c r="K38" s="18" t="n">
        <x:v>45274</x:v>
      </x:c>
      <x:c r="L38" s="16"/>
      <x:c r="M38" s="16"/>
      <x:c r="N38" s="16" t="str">
        <x:v>PLOT</x:v>
      </x:c>
      <x:c r="O38" s="16" t="str">
        <x:f>IF(F38&lt;=3,"1-3",IF(F38&lt;=6,"4-6","&gt;=7"))</x:f>
        <x:v>1-3</x:v>
      </x:c>
    </x:row>
    <x:row r="39">
      <x:c r="A39" s="16" t="str">
        <x:v>FLOC-0064</x:v>
      </x:c>
      <x:c r="B39" s="16" t="str">
        <x:v>Jalan Tawakal, Kampung Melayu Kangkar Pulai</x:v>
      </x:c>
      <x:c r="C39" s="16" t="str">
        <x:v>Road within residential community</x:v>
      </x:c>
      <x:c r="D39" s="17" t="n">
        <x:v>103.58622188</x:v>
      </x:c>
      <x:c r="E39" s="17" t="n">
        <x:v>1.55797471</x:v>
      </x:c>
      <x:c r="F39" s="16" t="n">
        <x:v>1</x:v>
      </x:c>
      <x:c r="G39" s="16" t="str">
        <x:v>1-3</x:v>
      </x:c>
      <x:c r="H39" s="16" t="str">
        <x:v>Occasional</x:v>
      </x:c>
      <x:c r="I39" s="16" t="str">
        <x:v>2020</x:v>
      </x:c>
      <x:c r="J39" s="18" t="n">
        <x:v>43964</x:v>
      </x:c>
      <x:c r="K39" s="18" t="n">
        <x:v>43964</x:v>
      </x:c>
      <x:c r="L39" s="16" t="str">
        <x:v>PG2020-KG-MELAYU-KANGKAR-PULAI</x:v>
      </x:c>
      <x:c r="M39" s="16"/>
      <x:c r="N39" s="16" t="str">
        <x:v>PLOT</x:v>
      </x:c>
      <x:c r="O39" s="16" t="str">
        <x:f>IF(F39&lt;=3,"1-3",IF(F39&lt;=6,"4-6","&gt;=7"))</x:f>
        <x:v>1-3</x:v>
      </x:c>
    </x:row>
    <x:row r="40">
      <x:c r="A40" s="16" t="str">
        <x:v>FLOC-0065</x:v>
      </x:c>
      <x:c r="B40" s="16" t="str">
        <x:v>Jalan Tebrau</x:v>
      </x:c>
      <x:c r="C40" s="16" t="str">
        <x:v>ROAD</x:v>
      </x:c>
      <x:c r="D40" s="17" t="n">
        <x:v>103.762918</x:v>
      </x:c>
      <x:c r="E40" s="17" t="n">
        <x:v>1.47486940000001</x:v>
      </x:c>
      <x:c r="F40" s="16" t="n">
        <x:v>1</x:v>
      </x:c>
      <x:c r="G40" s="16" t="str">
        <x:v>1-3</x:v>
      </x:c>
      <x:c r="H40" s="16" t="str">
        <x:v>Occasional</x:v>
      </x:c>
      <x:c r="I40" s="16" t="str">
        <x:v>2023</x:v>
      </x:c>
      <x:c r="J40" s="18" t="n">
        <x:v>45266</x:v>
      </x:c>
      <x:c r="K40" s="18" t="n">
        <x:v>45266</x:v>
      </x:c>
      <x:c r="L40" s="16"/>
      <x:c r="M40" s="16" t="str">
        <x:v>HF05</x:v>
      </x:c>
      <x:c r="N40" s="16" t="str">
        <x:v>PLOT</x:v>
      </x:c>
      <x:c r="O40" s="16" t="str">
        <x:f>IF(F40&lt;=3,"1-3",IF(F40&lt;=6,"4-6","&gt;=7"))</x:f>
        <x:v>1-3</x:v>
      </x:c>
    </x:row>
    <x:row r="41">
      <x:c r="A41" s="16" t="str">
        <x:v>FLOC-0066</x:v>
      </x:c>
      <x:c r="B41" s="16" t="str">
        <x:v>Jalan Tebrau near Wisma Daiman</x:v>
      </x:c>
      <x:c r="C41" s="16" t="str">
        <x:v>ROAD</x:v>
      </x:c>
      <x:c r="D41" s="17" t="n">
        <x:v>103.76676</x:v>
      </x:c>
      <x:c r="E41" s="17" t="n">
        <x:v>1.49464</x:v>
      </x:c>
      <x:c r="F41" s="16" t="n">
        <x:v>1</x:v>
      </x:c>
      <x:c r="G41" s="16" t="str">
        <x:v>1-3</x:v>
      </x:c>
      <x:c r="H41" s="16" t="str">
        <x:v>Occasional</x:v>
      </x:c>
      <x:c r="I41" s="16" t="str">
        <x:v>2017</x:v>
      </x:c>
      <x:c r="J41" s="18" t="n">
        <x:v>42737</x:v>
      </x:c>
      <x:c r="K41" s="18" t="n">
        <x:v>42737</x:v>
      </x:c>
      <x:c r="L41" s="16" t="str">
        <x:v>PG2017-WISMA-DAIMAN-ANCHOR</x:v>
      </x:c>
      <x:c r="M41" s="16"/>
      <x:c r="N41" s="16" t="str">
        <x:v>PLOT</x:v>
      </x:c>
      <x:c r="O41" s="16" t="str">
        <x:f>IF(F41&lt;=3,"1-3",IF(F41&lt;=6,"4-6","&gt;=7"))</x:f>
        <x:v>1-3</x:v>
      </x:c>
    </x:row>
    <x:row r="42">
      <x:c r="A42" s="16" t="str">
        <x:v>FLOC-0067</x:v>
      </x:c>
      <x:c r="B42" s="16" t="str">
        <x:v>Jalan Tebrau, Taman Sentosa</x:v>
      </x:c>
      <x:c r="C42" s="16" t="str">
        <x:v>Road-area event reference</x:v>
      </x:c>
      <x:c r="D42" s="17" t="n">
        <x:v>103.7773</x:v>
      </x:c>
      <x:c r="E42" s="17" t="n">
        <x:v>1.4942</x:v>
      </x:c>
      <x:c r="F42" s="16" t="n">
        <x:v>1</x:v>
      </x:c>
      <x:c r="G42" s="16" t="str">
        <x:v>1-3</x:v>
      </x:c>
      <x:c r="H42" s="16" t="str">
        <x:v>Occasional</x:v>
      </x:c>
      <x:c r="I42" s="16" t="str">
        <x:v>2018</x:v>
      </x:c>
      <x:c r="J42" s="18" t="n">
        <x:v>43383</x:v>
      </x:c>
      <x:c r="K42" s="18" t="n">
        <x:v>43383</x:v>
      </x:c>
      <x:c r="L42" s="16"/>
      <x:c r="M42" s="16"/>
      <x:c r="N42" s="16" t="str">
        <x:v>PLOT</x:v>
      </x:c>
      <x:c r="O42" s="16" t="str">
        <x:f>IF(F42&lt;=3,"1-3",IF(F42&lt;=6,"4-6","&gt;=7"))</x:f>
        <x:v>1-3</x:v>
      </x:c>
    </x:row>
    <x:row r="43">
      <x:c r="A43" s="16" t="str">
        <x:v>FLOC-0068</x:v>
      </x:c>
      <x:c r="B43" s="16" t="str">
        <x:v>Jalan Tun Abdul Razak</x:v>
      </x:c>
      <x:c r="C43" s="16" t="str">
        <x:v>ROAD; ROAD/ROAD SEGMENT</x:v>
      </x:c>
      <x:c r="D43" s="17" t="n">
        <x:v>103.7527329</x:v>
      </x:c>
      <x:c r="E43" s="17" t="n">
        <x:v>1.48037910000001</x:v>
      </x:c>
      <x:c r="F43" s="16" t="n">
        <x:v>3</x:v>
      </x:c>
      <x:c r="G43" s="16" t="str">
        <x:v>1-3</x:v>
      </x:c>
      <x:c r="H43" s="16" t="str">
        <x:v>Occasional</x:v>
      </x:c>
      <x:c r="I43" s="16" t="str">
        <x:v>2022;2023;2025</x:v>
      </x:c>
      <x:c r="J43" s="18" t="n">
        <x:v>44775</x:v>
      </x:c>
      <x:c r="K43" s="18" t="n">
        <x:v>46003</x:v>
      </x:c>
      <x:c r="L43" s="16"/>
      <x:c r="M43" s="16" t="str">
        <x:v>HF06</x:v>
      </x:c>
      <x:c r="N43" s="16" t="str">
        <x:v>PLOT</x:v>
      </x:c>
      <x:c r="O43" s="16" t="str">
        <x:f>IF(F43&lt;=3,"1-3",IF(F43&lt;=6,"4-6","&gt;=7"))</x:f>
        <x:v>1-3</x:v>
      </x:c>
    </x:row>
    <x:row r="44">
      <x:c r="A44" s="16" t="str">
        <x:v>FLOC-0069</x:v>
      </x:c>
      <x:c r="B44" s="16" t="str">
        <x:v>Jalan Wong Ah Fook</x:v>
      </x:c>
      <x:c r="C44" s="16" t="str">
        <x:v>ROAD/ROAD CONTEXT; ROAD/ROAD SEGMENT</x:v>
      </x:c>
      <x:c r="D44" s="17" t="n">
        <x:v>103.7656178</x:v>
      </x:c>
      <x:c r="E44" s="17" t="n">
        <x:v>1.4576093</x:v>
      </x:c>
      <x:c r="F44" s="16" t="n">
        <x:v>2</x:v>
      </x:c>
      <x:c r="G44" s="16" t="str">
        <x:v>1-3</x:v>
      </x:c>
      <x:c r="H44" s="16" t="str">
        <x:v>Occasional</x:v>
      </x:c>
      <x:c r="I44" s="16" t="str">
        <x:v>2025;2026</x:v>
      </x:c>
      <x:c r="J44" s="18" t="n">
        <x:v>46003</x:v>
      </x:c>
      <x:c r="K44" s="18" t="n">
        <x:v>46295</x:v>
      </x:c>
      <x:c r="L44" s="16"/>
      <x:c r="M44" s="16" t="str">
        <x:v>HF32</x:v>
      </x:c>
      <x:c r="N44" s="16" t="str">
        <x:v>PLOT</x:v>
      </x:c>
      <x:c r="O44" s="16" t="str">
        <x:f>IF(F44&lt;=3,"1-3",IF(F44&lt;=6,"4-6","&gt;=7"))</x:f>
        <x:v>1-3</x:v>
      </x:c>
    </x:row>
    <x:row r="45">
      <x:c r="A45" s="16" t="str">
        <x:v>FLOC-0070</x:v>
      </x:c>
      <x:c r="B45" s="16" t="str">
        <x:v>Jalan Wong Ah Fook / Sungai Segget Project Area</x:v>
      </x:c>
      <x:c r="C45" s="16" t="str">
        <x:v>ROAD; ROAD/CORRIDOR; Urban road-river/project corridor</x:v>
      </x:c>
      <x:c r="D45" s="17" t="n">
        <x:v>103.76189</x:v>
      </x:c>
      <x:c r="E45" s="17" t="n">
        <x:v>1.46395</x:v>
      </x:c>
      <x:c r="F45" s="16" t="n">
        <x:v>3</x:v>
      </x:c>
      <x:c r="G45" s="16" t="str">
        <x:v>1-3</x:v>
      </x:c>
      <x:c r="H45" s="16" t="str">
        <x:v>Occasional</x:v>
      </x:c>
      <x:c r="I45" s="16" t="str">
        <x:v>2016;2017;2022</x:v>
      </x:c>
      <x:c r="J45" s="18" t="n">
        <x:v>42386</x:v>
      </x:c>
      <x:c r="K45" s="18" t="n">
        <x:v>44775</x:v>
      </x:c>
      <x:c r="L45" s="16" t="str">
        <x:v>PG2016-CBD-SEGGET</x:v>
      </x:c>
      <x:c r="M45" s="16"/>
      <x:c r="N45" s="16" t="str">
        <x:v>PLOT</x:v>
      </x:c>
      <x:c r="O45" s="16" t="str">
        <x:f>IF(F45&lt;=3,"1-3",IF(F45&lt;=6,"4-6","&gt;=7"))</x:f>
        <x:v>1-3</x:v>
      </x:c>
    </x:row>
    <x:row r="46">
      <x:c r="A46" s="16" t="str">
        <x:v>FLOC-0071</x:v>
      </x:c>
      <x:c r="B46" s="16" t="str">
        <x:v>Jalan Yahya Awal</x:v>
      </x:c>
      <x:c r="C46" s="16" t="str">
        <x:v>ROAD; ROAD/ROAD CONTEXT</x:v>
      </x:c>
      <x:c r="D46" s="17" t="n">
        <x:v>103.7553464</x:v>
      </x:c>
      <x:c r="E46" s="17" t="n">
        <x:v>1.46337250000001</x:v>
      </x:c>
      <x:c r="F46" s="16" t="n">
        <x:v>3</x:v>
      </x:c>
      <x:c r="G46" s="16" t="str">
        <x:v>1-3</x:v>
      </x:c>
      <x:c r="H46" s="16" t="str">
        <x:v>Occasional</x:v>
      </x:c>
      <x:c r="I46" s="16" t="str">
        <x:v>2022;2023;2026</x:v>
      </x:c>
      <x:c r="J46" s="18" t="n">
        <x:v>44775</x:v>
      </x:c>
      <x:c r="K46" s="18" t="n">
        <x:v>46295</x:v>
      </x:c>
      <x:c r="L46" s="16"/>
      <x:c r="M46" s="16" t="str">
        <x:v>HF07</x:v>
      </x:c>
      <x:c r="N46" s="16" t="str">
        <x:v>PLOT</x:v>
      </x:c>
      <x:c r="O46" s="16" t="str">
        <x:f>IF(F46&lt;=3,"1-3",IF(F46&lt;=6,"4-6","&gt;=7"))</x:f>
        <x:v>1-3</x:v>
      </x:c>
    </x:row>
    <x:row r="47">
      <x:c r="A47" s="16" t="str">
        <x:v>FLOC-0072</x:v>
      </x:c>
      <x:c r="B47" s="16" t="str">
        <x:v>Kampung Aman</x:v>
      </x:c>
      <x:c r="C47" s="16" t="str">
        <x:v>COMMUNITY/AREA</x:v>
      </x:c>
      <x:c r="D47" s="17" t="n">
        <x:v>103.7368</x:v>
      </x:c>
      <x:c r="E47" s="17" t="n">
        <x:v>1.50516</x:v>
      </x:c>
      <x:c r="F47" s="16" t="n">
        <x:v>1</x:v>
      </x:c>
      <x:c r="G47" s="16" t="str">
        <x:v>1-3</x:v>
      </x:c>
      <x:c r="H47" s="16" t="str">
        <x:v>Occasional</x:v>
      </x:c>
      <x:c r="I47" s="16" t="str">
        <x:v>2023</x:v>
      </x:c>
      <x:c r="J47" s="18" t="n">
        <x:v>44971</x:v>
      </x:c>
      <x:c r="K47" s="18" t="n">
        <x:v>44971</x:v>
      </x:c>
      <x:c r="L47" s="16"/>
      <x:c r="M47" s="16"/>
      <x:c r="N47" s="16" t="str">
        <x:v>PLOT</x:v>
      </x:c>
      <x:c r="O47" s="16" t="str">
        <x:f>IF(F47&lt;=3,"1-3",IF(F47&lt;=6,"4-6","&gt;=7"))</x:f>
        <x:v>1-3</x:v>
      </x:c>
    </x:row>
    <x:row r="48">
      <x:c r="A48" s="16" t="str">
        <x:v>FLOC-0073</x:v>
      </x:c>
      <x:c r="B48" s="16" t="str">
        <x:v>Kampung Bakar Batu</x:v>
      </x:c>
      <x:c r="C48" s="16" t="str">
        <x:v>COMMUNITY/AREA</x:v>
      </x:c>
      <x:c r="D48" s="17" t="n">
        <x:v>103.708604</x:v>
      </x:c>
      <x:c r="E48" s="17" t="n">
        <x:v>1.473954</x:v>
      </x:c>
      <x:c r="F48" s="16" t="n">
        <x:v>1</x:v>
      </x:c>
      <x:c r="G48" s="16" t="str">
        <x:v>1-3</x:v>
      </x:c>
      <x:c r="H48" s="16" t="str">
        <x:v>Occasional</x:v>
      </x:c>
      <x:c r="I48" s="16" t="str">
        <x:v>2017</x:v>
      </x:c>
      <x:c r="J48" s="18" t="n">
        <x:v>42737</x:v>
      </x:c>
      <x:c r="K48" s="18" t="n">
        <x:v>42737</x:v>
      </x:c>
      <x:c r="L48" s="16"/>
      <x:c r="M48" s="16"/>
      <x:c r="N48" s="16" t="str">
        <x:v>PLOT</x:v>
      </x:c>
      <x:c r="O48" s="16" t="str">
        <x:f>IF(F48&lt;=3,"1-3",IF(F48&lt;=6,"4-6","&gt;=7"))</x:f>
        <x:v>1-3</x:v>
      </x:c>
    </x:row>
    <x:row r="49">
      <x:c r="A49" s="16" t="str">
        <x:v>FLOC-0074</x:v>
      </x:c>
      <x:c r="B49" s="16" t="str">
        <x:v>Kampung Baru Muafakat, Gelang Patah</x:v>
      </x:c>
      <x:c r="C49" s="16" t="str">
        <x:v>COMMUNITY; Residential kampung</x:v>
      </x:c>
      <x:c r="D49" s="17" t="n">
        <x:v>103.5947457</x:v>
      </x:c>
      <x:c r="E49" s="17" t="n">
        <x:v>1.4430619</x:v>
      </x:c>
      <x:c r="F49" s="16" t="n">
        <x:v>4</x:v>
      </x:c>
      <x:c r="G49" s="16" t="str">
        <x:v>4-6</x:v>
      </x:c>
      <x:c r="H49" s="16" t="str">
        <x:v>Recurrent</x:v>
      </x:c>
      <x:c r="I49" s="16" t="str">
        <x:v>2020;2022</x:v>
      </x:c>
      <x:c r="J49" s="18" t="n">
        <x:v>44002</x:v>
      </x:c>
      <x:c r="K49" s="18" t="n">
        <x:v>44829</x:v>
      </x:c>
      <x:c r="L49" s="16" t="str">
        <x:v>PG2020-KG-BARU-MUAFAKAT</x:v>
      </x:c>
      <x:c r="M49" s="16"/>
      <x:c r="N49" s="16" t="str">
        <x:v>PLOT</x:v>
      </x:c>
      <x:c r="O49" s="16" t="str">
        <x:f>IF(F49&lt;=3,"1-3",IF(F49&lt;=6,"4-6","&gt;=7"))</x:f>
        <x:v>4-6</x:v>
      </x:c>
    </x:row>
    <x:row r="50">
      <x:c r="A50" s="16" t="str">
        <x:v>FLOC-0075</x:v>
      </x:c>
      <x:c r="B50" s="16" t="str">
        <x:v>Kampung Batu 8 1/2, TUTA</x:v>
      </x:c>
      <x:c r="C50" s="16" t="str">
        <x:v>Kampung</x:v>
      </x:c>
      <x:c r="D50" s="17" t="n">
        <x:v>103.67230887</x:v>
      </x:c>
      <x:c r="E50" s="17" t="n">
        <x:v>1.52340697</x:v>
      </x:c>
      <x:c r="F50" s="16" t="n">
        <x:v>1</x:v>
      </x:c>
      <x:c r="G50" s="16" t="str">
        <x:v>1-3</x:v>
      </x:c>
      <x:c r="H50" s="16" t="str">
        <x:v>Occasional</x:v>
      </x:c>
      <x:c r="I50" s="16" t="str">
        <x:v>2019</x:v>
      </x:c>
      <x:c r="J50" s="18" t="n">
        <x:v>43814</x:v>
      </x:c>
      <x:c r="K50" s="18" t="n">
        <x:v>43814</x:v>
      </x:c>
      <x:c r="L50" s="16"/>
      <x:c r="M50" s="16"/>
      <x:c r="N50" s="16" t="str">
        <x:v>PLOT</x:v>
      </x:c>
      <x:c r="O50" s="16" t="str">
        <x:f>IF(F50&lt;=3,"1-3",IF(F50&lt;=6,"4-6","&gt;=7"))</x:f>
        <x:v>1-3</x:v>
      </x:c>
    </x:row>
    <x:row r="51">
      <x:c r="A51" s="16" t="str">
        <x:v>FLOC-0076</x:v>
      </x:c>
      <x:c r="B51" s="16" t="str">
        <x:v>Kampung Belantik</x:v>
      </x:c>
      <x:c r="C51" s="16" t="str">
        <x:v>COMMUNITY/AREA; Kampung</x:v>
      </x:c>
      <x:c r="D51" s="17" t="n">
        <x:v>103.76650814</x:v>
      </x:c>
      <x:c r="E51" s="17" t="n">
        <x:v>1.51378258</x:v>
      </x:c>
      <x:c r="F51" s="16" t="n">
        <x:v>2</x:v>
      </x:c>
      <x:c r="G51" s="16" t="str">
        <x:v>1-3</x:v>
      </x:c>
      <x:c r="H51" s="16" t="str">
        <x:v>Occasional</x:v>
      </x:c>
      <x:c r="I51" s="16" t="str">
        <x:v>2018;2025</x:v>
      </x:c>
      <x:c r="J51" s="18" t="n">
        <x:v>43383</x:v>
      </x:c>
      <x:c r="K51" s="18" t="n">
        <x:v>45736</x:v>
      </x:c>
      <x:c r="L51" s="16"/>
      <x:c r="M51" s="16"/>
      <x:c r="N51" s="16" t="str">
        <x:v>PLOT</x:v>
      </x:c>
      <x:c r="O51" s="16" t="str">
        <x:f>IF(F51&lt;=3,"1-3",IF(F51&lt;=6,"4-6","&gt;=7"))</x:f>
        <x:v>1-3</x:v>
      </x:c>
    </x:row>
    <x:row r="52">
      <x:c r="A52" s="16" t="str">
        <x:v>FLOC-0077</x:v>
      </x:c>
      <x:c r="B52" s="16" t="str">
        <x:v>Kampung Bendahara</x:v>
      </x:c>
      <x:c r="C52" s="16" t="str">
        <x:v>Kampung</x:v>
      </x:c>
      <x:c r="D52" s="17" t="n">
        <x:v>103.7627931</x:v>
      </x:c>
      <x:c r="E52" s="17" t="n">
        <x:v>1.512616</x:v>
      </x:c>
      <x:c r="F52" s="16" t="n">
        <x:v>1</x:v>
      </x:c>
      <x:c r="G52" s="16" t="str">
        <x:v>1-3</x:v>
      </x:c>
      <x:c r="H52" s="16" t="str">
        <x:v>Occasional</x:v>
      </x:c>
      <x:c r="I52" s="16" t="str">
        <x:v>2018</x:v>
      </x:c>
      <x:c r="J52" s="18" t="n">
        <x:v>43383</x:v>
      </x:c>
      <x:c r="K52" s="18" t="n">
        <x:v>43383</x:v>
      </x:c>
      <x:c r="L52" s="16"/>
      <x:c r="M52" s="16" t="str">
        <x:v>HF11</x:v>
      </x:c>
      <x:c r="N52" s="16" t="str">
        <x:v>PLOT</x:v>
      </x:c>
      <x:c r="O52" s="16" t="str">
        <x:f>IF(F52&lt;=3,"1-3",IF(F52&lt;=6,"4-6","&gt;=7"))</x:f>
        <x:v>1-3</x:v>
      </x:c>
    </x:row>
    <x:row r="53">
      <x:c r="A53" s="16" t="str">
        <x:v>FLOC-0078</x:v>
      </x:c>
      <x:c r="B53" s="16" t="str">
        <x:v>Kampung Bukit Berangan</x:v>
      </x:c>
      <x:c r="C53" s="16" t="str">
        <x:v>COMMUNITY/AREA</x:v>
      </x:c>
      <x:c r="D53" s="17" t="n">
        <x:v>103.9223</x:v>
      </x:c>
      <x:c r="E53" s="17" t="n">
        <x:v>1.6692</x:v>
      </x:c>
      <x:c r="F53" s="16" t="n">
        <x:v>1</x:v>
      </x:c>
      <x:c r="G53" s="16" t="str">
        <x:v>1-3</x:v>
      </x:c>
      <x:c r="H53" s="16" t="str">
        <x:v>Occasional</x:v>
      </x:c>
      <x:c r="I53" s="16" t="str">
        <x:v>2017</x:v>
      </x:c>
      <x:c r="J53" s="18" t="n">
        <x:v>42759</x:v>
      </x:c>
      <x:c r="K53" s="18" t="n">
        <x:v>42759</x:v>
      </x:c>
      <x:c r="L53" s="16"/>
      <x:c r="M53" s="16"/>
      <x:c r="N53" s="16" t="str">
        <x:v>PLOT</x:v>
      </x:c>
      <x:c r="O53" s="16" t="str">
        <x:f>IF(F53&lt;=3,"1-3",IF(F53&lt;=6,"4-6","&gt;=7"))</x:f>
        <x:v>1-3</x:v>
      </x:c>
    </x:row>
    <x:row r="54">
      <x:c r="A54" s="16" t="str">
        <x:v>FLOC-0079</x:v>
      </x:c>
      <x:c r="B54" s="16" t="str">
        <x:v>Kampung Bukit Dagang</x:v>
      </x:c>
      <x:c r="C54" s="16" t="str">
        <x:v>COMMUNITY/AREA; Kampung</x:v>
      </x:c>
      <x:c r="D54" s="17" t="n">
        <x:v>103.924811</x:v>
      </x:c>
      <x:c r="E54" s="17" t="n">
        <x:v>1.59376731</x:v>
      </x:c>
      <x:c r="F54" s="16" t="n">
        <x:v>2</x:v>
      </x:c>
      <x:c r="G54" s="16" t="str">
        <x:v>1-3</x:v>
      </x:c>
      <x:c r="H54" s="16" t="str">
        <x:v>Occasional</x:v>
      </x:c>
      <x:c r="I54" s="16" t="str">
        <x:v>2019;2024</x:v>
      </x:c>
      <x:c r="J54" s="18" t="n">
        <x:v>43814</x:v>
      </x:c>
      <x:c r="K54" s="18" t="n">
        <x:v>45298</x:v>
      </x:c>
      <x:c r="L54" s="16"/>
      <x:c r="M54" s="16"/>
      <x:c r="N54" s="16" t="str">
        <x:v>PLOT</x:v>
      </x:c>
      <x:c r="O54" s="16" t="str">
        <x:f>IF(F54&lt;=3,"1-3",IF(F54&lt;=6,"4-6","&gt;=7"))</x:f>
        <x:v>1-3</x:v>
      </x:c>
    </x:row>
    <x:row r="55">
      <x:c r="A55" s="16" t="str">
        <x:v>FLOC-0080</x:v>
      </x:c>
      <x:c r="B55" s="16" t="str">
        <x:v>Kampung Bunga Ros</x:v>
      </x:c>
      <x:c r="C55" s="16" t="str">
        <x:v>COMMUNITY; COMMUNITY/AREA; Kampung</x:v>
      </x:c>
      <x:c r="D55" s="17" t="n">
        <x:v>103.75965347</x:v>
      </x:c>
      <x:c r="E55" s="17" t="n">
        <x:v>1.53411714</x:v>
      </x:c>
      <x:c r="F55" s="16" t="n">
        <x:v>3</x:v>
      </x:c>
      <x:c r="G55" s="16" t="str">
        <x:v>1-3</x:v>
      </x:c>
      <x:c r="H55" s="16" t="str">
        <x:v>Occasional</x:v>
      </x:c>
      <x:c r="I55" s="16" t="str">
        <x:v>2019;2022;2025</x:v>
      </x:c>
      <x:c r="J55" s="18" t="n">
        <x:v>43814</x:v>
      </x:c>
      <x:c r="K55" s="18" t="n">
        <x:v>45735</x:v>
      </x:c>
      <x:c r="L55" s="16"/>
      <x:c r="M55" s="16"/>
      <x:c r="N55" s="16" t="str">
        <x:v>PLOT</x:v>
      </x:c>
      <x:c r="O55" s="16" t="str">
        <x:f>IF(F55&lt;=3,"1-3",IF(F55&lt;=6,"4-6","&gt;=7"))</x:f>
        <x:v>1-3</x:v>
      </x:c>
    </x:row>
    <x:row r="56">
      <x:c r="A56" s="16" t="str">
        <x:v>FLOC-0082</x:v>
      </x:c>
      <x:c r="B56" s="16" t="str">
        <x:v>Kampung Dato Sulaiman Menteri</x:v>
      </x:c>
      <x:c r="C56" s="16" t="str">
        <x:v>COMMUNITY; Kampung</x:v>
      </x:c>
      <x:c r="D56" s="17" t="n">
        <x:v>103.76665</x:v>
      </x:c>
      <x:c r="E56" s="17" t="n">
        <x:v>1.50759</x:v>
      </x:c>
      <x:c r="F56" s="16" t="n">
        <x:v>2</x:v>
      </x:c>
      <x:c r="G56" s="16" t="str">
        <x:v>1-3</x:v>
      </x:c>
      <x:c r="H56" s="16" t="str">
        <x:v>Occasional</x:v>
      </x:c>
      <x:c r="I56" s="16" t="str">
        <x:v>2018;2022</x:v>
      </x:c>
      <x:c r="J56" s="18" t="n">
        <x:v>43383</x:v>
      </x:c>
      <x:c r="K56" s="18" t="n">
        <x:v>44829</x:v>
      </x:c>
      <x:c r="L56" s="16"/>
      <x:c r="M56" s="16"/>
      <x:c r="N56" s="16" t="str">
        <x:v>PLOT</x:v>
      </x:c>
      <x:c r="O56" s="16" t="str">
        <x:f>IF(F56&lt;=3,"1-3",IF(F56&lt;=6,"4-6","&gt;=7"))</x:f>
        <x:v>1-3</x:v>
      </x:c>
    </x:row>
    <x:row r="57">
      <x:c r="A57" s="16" t="str">
        <x:v>FLOC-0083</x:v>
      </x:c>
      <x:c r="B57" s="16" t="str">
        <x:v>Kampung Dato' Hajah Hasnah Ahmad</x:v>
      </x:c>
      <x:c r="C57" s="16" t="str">
        <x:v>Kampung</x:v>
      </x:c>
      <x:c r="D57" s="17" t="n">
        <x:v>103.76902</x:v>
      </x:c>
      <x:c r="E57" s="17" t="n">
        <x:v>1.50481</x:v>
      </x:c>
      <x:c r="F57" s="16" t="n">
        <x:v>1</x:v>
      </x:c>
      <x:c r="G57" s="16" t="str">
        <x:v>1-3</x:v>
      </x:c>
      <x:c r="H57" s="16" t="str">
        <x:v>Occasional</x:v>
      </x:c>
      <x:c r="I57" s="16" t="str">
        <x:v>2018</x:v>
      </x:c>
      <x:c r="J57" s="18" t="n">
        <x:v>43383</x:v>
      </x:c>
      <x:c r="K57" s="18" t="n">
        <x:v>43383</x:v>
      </x:c>
      <x:c r="L57" s="16"/>
      <x:c r="M57" s="16"/>
      <x:c r="N57" s="16" t="str">
        <x:v>PLOT</x:v>
      </x:c>
      <x:c r="O57" s="16" t="str">
        <x:f>IF(F57&lt;=3,"1-3",IF(F57&lt;=6,"4-6","&gt;=7"))</x:f>
        <x:v>1-3</x:v>
      </x:c>
    </x:row>
    <x:row r="58">
      <x:c r="A58" s="16" t="str">
        <x:v>FLOC-0085</x:v>
      </x:c>
      <x:c r="B58" s="16" t="str">
        <x:v>Kampung Jaya Sepakat</x:v>
      </x:c>
      <x:c r="C58" s="16" t="str">
        <x:v>COMMUNITY/AREA</x:v>
      </x:c>
      <x:c r="D58" s="17" t="n">
        <x:v>103.65153</x:v>
      </x:c>
      <x:c r="E58" s="17" t="n">
        <x:v>1.5874</x:v>
      </x:c>
      <x:c r="F58" s="16" t="n">
        <x:v>1</x:v>
      </x:c>
      <x:c r="G58" s="16" t="str">
        <x:v>1-3</x:v>
      </x:c>
      <x:c r="H58" s="16" t="str">
        <x:v>Occasional</x:v>
      </x:c>
      <x:c r="I58" s="16" t="str">
        <x:v>2017</x:v>
      </x:c>
      <x:c r="J58" s="18" t="n">
        <x:v>42843</x:v>
      </x:c>
      <x:c r="K58" s="18" t="n">
        <x:v>42843</x:v>
      </x:c>
      <x:c r="L58" s="16"/>
      <x:c r="M58" s="16"/>
      <x:c r="N58" s="16" t="str">
        <x:v>PLOT</x:v>
      </x:c>
      <x:c r="O58" s="16" t="str">
        <x:f>IF(F58&lt;=3,"1-3",IF(F58&lt;=6,"4-6","&gt;=7"))</x:f>
        <x:v>1-3</x:v>
      </x:c>
    </x:row>
    <x:row r="59">
      <x:c r="A59" s="16" t="str">
        <x:v>FLOC-0086</x:v>
      </x:c>
      <x:c r="B59" s="16" t="str">
        <x:v>Kampung Kangkar Tebrau</x:v>
      </x:c>
      <x:c r="C59" s="16" t="str">
        <x:v>COMMUNITY; COMMUNITY/AREA</x:v>
      </x:c>
      <x:c r="D59" s="17" t="n">
        <x:v>103.756604173059</x:v>
      </x:c>
      <x:c r="E59" s="17" t="n">
        <x:v>1.531815</x:v>
      </x:c>
      <x:c r="F59" s="16" t="n">
        <x:v>8</x:v>
      </x:c>
      <x:c r="G59" s="16" t="str">
        <x:v>&gt;=7</x:v>
      </x:c>
      <x:c r="H59" s="16" t="str">
        <x:v>High-frequency</x:v>
      </x:c>
      <x:c r="I59" s="16" t="str">
        <x:v>2017;2021;2023;2025</x:v>
      </x:c>
      <x:c r="J59" s="18" t="n">
        <x:v>42838</x:v>
      </x:c>
      <x:c r="K59" s="18" t="n">
        <x:v>45735</x:v>
      </x:c>
      <x:c r="L59" s="16" t="str">
        <x:v>PG2017-KANGKAR-TEBRAU</x:v>
      </x:c>
      <x:c r="M59" s="16" t="str">
        <x:v>HF17</x:v>
      </x:c>
      <x:c r="N59" s="16" t="str">
        <x:v>PLOT</x:v>
      </x:c>
      <x:c r="O59" s="16" t="str">
        <x:f>IF(F59&lt;=3,"1-3",IF(F59&lt;=6,"4-6","&gt;=7"))</x:f>
        <x:v>&gt;=7</x:v>
      </x:c>
    </x:row>
    <x:row r="60">
      <x:c r="A60" s="16" t="str">
        <x:v>FLOC-0087</x:v>
      </x:c>
      <x:c r="B60" s="16" t="str">
        <x:v>Kampung Kempas Permatang</x:v>
      </x:c>
      <x:c r="C60" s="16" t="str">
        <x:v>COMMUNITY/AREA</x:v>
      </x:c>
      <x:c r="D60" s="17" t="n">
        <x:v>103.72438747</x:v>
      </x:c>
      <x:c r="E60" s="17" t="n">
        <x:v>1.52886592</x:v>
      </x:c>
      <x:c r="F60" s="16" t="n">
        <x:v>3</x:v>
      </x:c>
      <x:c r="G60" s="16" t="str">
        <x:v>1-3</x:v>
      </x:c>
      <x:c r="H60" s="16" t="str">
        <x:v>Occasional</x:v>
      </x:c>
      <x:c r="I60" s="16" t="str">
        <x:v>2017</x:v>
      </x:c>
      <x:c r="J60" s="18" t="n">
        <x:v>42737</x:v>
      </x:c>
      <x:c r="K60" s="18" t="n">
        <x:v>43053</x:v>
      </x:c>
      <x:c r="L60" s="16"/>
      <x:c r="M60" s="16"/>
      <x:c r="N60" s="16" t="str">
        <x:v>PLOT</x:v>
      </x:c>
      <x:c r="O60" s="16" t="str">
        <x:f>IF(F60&lt;=3,"1-3",IF(F60&lt;=6,"4-6","&gt;=7"))</x:f>
        <x:v>1-3</x:v>
      </x:c>
    </x:row>
    <x:row r="61">
      <x:c r="A61" s="16" t="str">
        <x:v>FLOC-0088</x:v>
      </x:c>
      <x:c r="B61" s="16" t="str">
        <x:v>Kampung Kurnia, Johor Bahru</x:v>
      </x:c>
      <x:c r="C61" s="16" t="str">
        <x:v>COMMUNITY; COMMUNITY/AREA</x:v>
      </x:c>
      <x:c r="D61" s="17" t="n">
        <x:v>103.75612</x:v>
      </x:c>
      <x:c r="E61" s="17" t="n">
        <x:v>1.49744</x:v>
      </x:c>
      <x:c r="F61" s="16" t="n">
        <x:v>2</x:v>
      </x:c>
      <x:c r="G61" s="16" t="str">
        <x:v>1-3</x:v>
      </x:c>
      <x:c r="H61" s="16" t="str">
        <x:v>Occasional</x:v>
      </x:c>
      <x:c r="I61" s="16" t="str">
        <x:v>2022;2023</x:v>
      </x:c>
      <x:c r="J61" s="18" t="n">
        <x:v>44872</x:v>
      </x:c>
      <x:c r="K61" s="18" t="n">
        <x:v>44971</x:v>
      </x:c>
      <x:c r="L61" s="16"/>
      <x:c r="M61" s="16"/>
      <x:c r="N61" s="16" t="str">
        <x:v>PLOT</x:v>
      </x:c>
      <x:c r="O61" s="16" t="str">
        <x:f>IF(F61&lt;=3,"1-3",IF(F61&lt;=6,"4-6","&gt;=7"))</x:f>
        <x:v>1-3</x:v>
      </x:c>
    </x:row>
    <x:row r="62">
      <x:c r="A62" s="16" t="str">
        <x:v>FLOC-0089</x:v>
      </x:c>
      <x:c r="B62" s="16" t="str">
        <x:v>Kampung Laut Batu 10, Skudai</x:v>
      </x:c>
      <x:c r="C62" s="16" t="str">
        <x:v>COMMUNITY; Kampung; COMMUNITY/AREA</x:v>
      </x:c>
      <x:c r="D62" s="17" t="n">
        <x:v>103.6605</x:v>
      </x:c>
      <x:c r="E62" s="17" t="n">
        <x:v>1.5453</x:v>
      </x:c>
      <x:c r="F62" s="16" t="n">
        <x:v>14</x:v>
      </x:c>
      <x:c r="G62" s="16" t="str">
        <x:v>&gt;=7</x:v>
      </x:c>
      <x:c r="H62" s="16" t="str">
        <x:v>High-frequency</x:v>
      </x:c>
      <x:c r="I62" s="16" t="str">
        <x:v>2017;2019;2020;2021;2022;2025</x:v>
      </x:c>
      <x:c r="J62" s="18" t="n">
        <x:v>42843</x:v>
      </x:c>
      <x:c r="K62" s="18" t="n">
        <x:v>45736</x:v>
      </x:c>
      <x:c r="L62" s="16"/>
      <x:c r="M62" s="16"/>
      <x:c r="N62" s="16" t="str">
        <x:v>PLOT</x:v>
      </x:c>
      <x:c r="O62" s="16" t="str">
        <x:f>IF(F62&lt;=3,"1-3",IF(F62&lt;=6,"4-6","&gt;=7"))</x:f>
        <x:v>&gt;=7</x:v>
      </x:c>
    </x:row>
    <x:row r="63">
      <x:c r="A63" s="16" t="str">
        <x:v>FLOC-0090</x:v>
      </x:c>
      <x:c r="B63" s="16" t="str">
        <x:v>Kampung Maju Jaya</x:v>
      </x:c>
      <x:c r="C63" s="16" t="str">
        <x:v>COMMUNITY; COMMUNITY/AREA; Kampung</x:v>
      </x:c>
      <x:c r="D63" s="17" t="n">
        <x:v>103.7159181</x:v>
      </x:c>
      <x:c r="E63" s="17" t="n">
        <x:v>1.58109209999999</x:v>
      </x:c>
      <x:c r="F63" s="16" t="n">
        <x:v>3</x:v>
      </x:c>
      <x:c r="G63" s="16" t="str">
        <x:v>1-3</x:v>
      </x:c>
      <x:c r="H63" s="16" t="str">
        <x:v>Occasional</x:v>
      </x:c>
      <x:c r="I63" s="16" t="str">
        <x:v>2019;2022;2024</x:v>
      </x:c>
      <x:c r="J63" s="18" t="n">
        <x:v>43814</x:v>
      </x:c>
      <x:c r="K63" s="18" t="n">
        <x:v>45298</x:v>
      </x:c>
      <x:c r="L63" s="16"/>
      <x:c r="M63" s="16" t="str">
        <x:v>HF18</x:v>
      </x:c>
      <x:c r="N63" s="16" t="str">
        <x:v>PLOT</x:v>
      </x:c>
      <x:c r="O63" s="16" t="str">
        <x:f>IF(F63&lt;=3,"1-3",IF(F63&lt;=6,"4-6","&gt;=7"))</x:f>
        <x:v>1-3</x:v>
      </x:c>
    </x:row>
    <x:row r="64">
      <x:c r="A64" s="16" t="str">
        <x:v>FLOC-0091</x:v>
      </x:c>
      <x:c r="B64" s="16" t="str">
        <x:v>Kampung Melayu Lima Kedai</x:v>
      </x:c>
      <x:c r="C64" s="16" t="str">
        <x:v>Residential hamlet</x:v>
      </x:c>
      <x:c r="D64" s="17" t="n">
        <x:v>103.62481</x:v>
      </x:c>
      <x:c r="E64" s="17" t="n">
        <x:v>1.50435</x:v>
      </x:c>
      <x:c r="F64" s="16" t="n">
        <x:v>1</x:v>
      </x:c>
      <x:c r="G64" s="16" t="str">
        <x:v>1-3</x:v>
      </x:c>
      <x:c r="H64" s="16" t="str">
        <x:v>Occasional</x:v>
      </x:c>
      <x:c r="I64" s="16" t="str">
        <x:v>2018</x:v>
      </x:c>
      <x:c r="J64" s="18" t="n">
        <x:v>43395</x:v>
      </x:c>
      <x:c r="K64" s="18" t="n">
        <x:v>43395</x:v>
      </x:c>
      <x:c r="L64" s="16" t="str">
        <x:v>PG2018-MELAYU-LIMA-KEDAI</x:v>
      </x:c>
      <x:c r="M64" s="16"/>
      <x:c r="N64" s="16" t="str">
        <x:v>PLOT</x:v>
      </x:c>
      <x:c r="O64" s="16" t="str">
        <x:f>IF(F64&lt;=3,"1-3",IF(F64&lt;=6,"4-6","&gt;=7"))</x:f>
        <x:v>1-3</x:v>
      </x:c>
    </x:row>
    <x:row r="65">
      <x:c r="A65" s="16" t="str">
        <x:v>FLOC-0092</x:v>
      </x:c>
      <x:c r="B65" s="16" t="str">
        <x:v>Kampung Melayu Majidi</x:v>
      </x:c>
      <x:c r="C65" s="16" t="str">
        <x:v>COMMUNITY; Kampung</x:v>
      </x:c>
      <x:c r="D65" s="17" t="n">
        <x:v>103.75192484</x:v>
      </x:c>
      <x:c r="E65" s="17" t="n">
        <x:v>1.51174352</x:v>
      </x:c>
      <x:c r="F65" s="16" t="n">
        <x:v>3</x:v>
      </x:c>
      <x:c r="G65" s="16" t="str">
        <x:v>1-3</x:v>
      </x:c>
      <x:c r="H65" s="16" t="str">
        <x:v>Occasional</x:v>
      </x:c>
      <x:c r="I65" s="16" t="str">
        <x:v>2018;2021;2022</x:v>
      </x:c>
      <x:c r="J65" s="18" t="n">
        <x:v>43383</x:v>
      </x:c>
      <x:c r="K65" s="18" t="n">
        <x:v>44872</x:v>
      </x:c>
      <x:c r="L65" s="16"/>
      <x:c r="M65" s="16"/>
      <x:c r="N65" s="16" t="str">
        <x:v>PLOT</x:v>
      </x:c>
      <x:c r="O65" s="16" t="str">
        <x:f>IF(F65&lt;=3,"1-3",IF(F65&lt;=6,"4-6","&gt;=7"))</x:f>
        <x:v>1-3</x:v>
      </x:c>
    </x:row>
    <x:row r="66">
      <x:c r="A66" s="16" t="str">
        <x:v>FLOC-0093</x:v>
      </x:c>
      <x:c r="B66" s="16" t="str">
        <x:v>Kampung Melayu Pandan</x:v>
      </x:c>
      <x:c r="C66" s="16" t="str">
        <x:v>COMMUNITY/AREA; Kampung</x:v>
      </x:c>
      <x:c r="D66" s="17" t="n">
        <x:v>103.773858346421</x:v>
      </x:c>
      <x:c r="E66" s="17" t="n">
        <x:v>1.52264915000001</x:v>
      </x:c>
      <x:c r="F66" s="16" t="n">
        <x:v>2</x:v>
      </x:c>
      <x:c r="G66" s="16" t="str">
        <x:v>1-3</x:v>
      </x:c>
      <x:c r="H66" s="16" t="str">
        <x:v>Occasional</x:v>
      </x:c>
      <x:c r="I66" s="16" t="str">
        <x:v>2019;2025</x:v>
      </x:c>
      <x:c r="J66" s="18" t="n">
        <x:v>43760</x:v>
      </x:c>
      <x:c r="K66" s="18" t="n">
        <x:v>45736</x:v>
      </x:c>
      <x:c r="L66" s="16"/>
      <x:c r="M66" s="16" t="str">
        <x:v>HF12</x:v>
      </x:c>
      <x:c r="N66" s="16" t="str">
        <x:v>PLOT</x:v>
      </x:c>
      <x:c r="O66" s="16" t="str">
        <x:f>IF(F66&lt;=3,"1-3",IF(F66&lt;=6,"4-6","&gt;=7"))</x:f>
        <x:v>1-3</x:v>
      </x:c>
    </x:row>
    <x:row r="67">
      <x:c r="A67" s="16" t="str">
        <x:v>FLOC-0094</x:v>
      </x:c>
      <x:c r="B67" s="16" t="str">
        <x:v>Kampung Mohd Amin, Kolam Air</x:v>
      </x:c>
      <x:c r="C67" s="16" t="str">
        <x:v>COMMUNITY; COMMUNITY/AREA; AREA; Kampung</x:v>
      </x:c>
      <x:c r="D67" s="17" t="n">
        <x:v>103.7354126</x:v>
      </x:c>
      <x:c r="E67" s="17" t="n">
        <x:v>1.46736369999999</x:v>
      </x:c>
      <x:c r="F67" s="16" t="n">
        <x:v>10</x:v>
      </x:c>
      <x:c r="G67" s="16" t="str">
        <x:v>&gt;=7</x:v>
      </x:c>
      <x:c r="H67" s="16" t="str">
        <x:v>High-frequency</x:v>
      </x:c>
      <x:c r="I67" s="16" t="str">
        <x:v>2018;2019;2020;2021;2022;2023;2025;2026</x:v>
      </x:c>
      <x:c r="J67" s="18" t="n">
        <x:v>43383</x:v>
      </x:c>
      <x:c r="K67" s="18" t="n">
        <x:v>46295</x:v>
      </x:c>
      <x:c r="L67" s="16"/>
      <x:c r="M67" s="16" t="str">
        <x:v>HF08</x:v>
      </x:c>
      <x:c r="N67" s="16" t="str">
        <x:v>PLOT</x:v>
      </x:c>
      <x:c r="O67" s="16" t="str">
        <x:f>IF(F67&lt;=3,"1-3",IF(F67&lt;=6,"4-6","&gt;=7"))</x:f>
        <x:v>&gt;=7</x:v>
      </x:c>
    </x:row>
    <x:row r="68">
      <x:c r="A68" s="16" t="str">
        <x:v>FLOC-0095</x:v>
      </x:c>
      <x:c r="B68" s="16" t="str">
        <x:v>Kampung Pasir Tebrau</x:v>
      </x:c>
      <x:c r="C68" s="16" t="str">
        <x:v>COMMUNITY; COMMUNITY/AREA; Kampung</x:v>
      </x:c>
      <x:c r="D68" s="17" t="n">
        <x:v>103.74327778</x:v>
      </x:c>
      <x:c r="E68" s="17" t="n">
        <x:v>1.54413889</x:v>
      </x:c>
      <x:c r="F68" s="16" t="n">
        <x:v>6</x:v>
      </x:c>
      <x:c r="G68" s="16" t="str">
        <x:v>4-6</x:v>
      </x:c>
      <x:c r="H68" s="16" t="str">
        <x:v>Recurrent</x:v>
      </x:c>
      <x:c r="I68" s="16" t="str">
        <x:v>2019;2021;2022;2023;2025</x:v>
      </x:c>
      <x:c r="J68" s="18" t="n">
        <x:v>43814</x:v>
      </x:c>
      <x:c r="K68" s="18" t="n">
        <x:v>45735</x:v>
      </x:c>
      <x:c r="L68" s="16"/>
      <x:c r="M68" s="16"/>
      <x:c r="N68" s="16" t="str">
        <x:v>PLOT</x:v>
      </x:c>
      <x:c r="O68" s="16" t="str">
        <x:f>IF(F68&lt;=3,"1-3",IF(F68&lt;=6,"4-6","&gt;=7"))</x:f>
        <x:v>4-6</x:v>
      </x:c>
    </x:row>
    <x:row r="69">
      <x:c r="A69" s="16" t="str">
        <x:v>FLOC-0096</x:v>
      </x:c>
      <x:c r="B69" s="16" t="str">
        <x:v>Kampung Pasir, Tampoi/Skudai</x:v>
      </x:c>
      <x:c r="C69" s="16" t="str">
        <x:v>COMMUNITY; COMMUNITY/AREA; Kampung</x:v>
      </x:c>
      <x:c r="D69" s="17" t="n">
        <x:v>103.6969651</x:v>
      </x:c>
      <x:c r="E69" s="17" t="n">
        <x:v>1.49553030000001</x:v>
      </x:c>
      <x:c r="F69" s="16" t="n">
        <x:v>14</x:v>
      </x:c>
      <x:c r="G69" s="16" t="str">
        <x:v>&gt;=7</x:v>
      </x:c>
      <x:c r="H69" s="16" t="str">
        <x:v>High-frequency</x:v>
      </x:c>
      <x:c r="I69" s="16" t="str">
        <x:v>2017;2020;2021;2022;2023;2025;2026</x:v>
      </x:c>
      <x:c r="J69" s="18" t="n">
        <x:v>43049</x:v>
      </x:c>
      <x:c r="K69" s="18" t="n">
        <x:v>46295</x:v>
      </x:c>
      <x:c r="L69" s="16"/>
      <x:c r="M69" s="16" t="str">
        <x:v>HF14</x:v>
      </x:c>
      <x:c r="N69" s="16" t="str">
        <x:v>PLOT</x:v>
      </x:c>
      <x:c r="O69" s="16" t="str">
        <x:f>IF(F69&lt;=3,"1-3",IF(F69&lt;=6,"4-6","&gt;=7"))</x:f>
        <x:v>&gt;=7</x:v>
      </x:c>
    </x:row>
    <x:row r="70">
      <x:c r="A70" s="16" t="str">
        <x:v>FLOC-0098</x:v>
      </x:c>
      <x:c r="B70" s="16" t="str">
        <x:v>Kampung Paya Kenangan</x:v>
      </x:c>
      <x:c r="C70" s="16" t="str">
        <x:v>COMMUNITY; COMMUNITY/AREA; Kampung</x:v>
      </x:c>
      <x:c r="D70" s="17" t="n">
        <x:v>103.74961954</x:v>
      </x:c>
      <x:c r="E70" s="17" t="n">
        <x:v>1.5403203</x:v>
      </x:c>
      <x:c r="F70" s="16" t="n">
        <x:v>9</x:v>
      </x:c>
      <x:c r="G70" s="16" t="str">
        <x:v>&gt;=7</x:v>
      </x:c>
      <x:c r="H70" s="16" t="str">
        <x:v>High-frequency</x:v>
      </x:c>
      <x:c r="I70" s="16" t="str">
        <x:v>2017;2019;2021;2022;2023;2025</x:v>
      </x:c>
      <x:c r="J70" s="18" t="n">
        <x:v>42843</x:v>
      </x:c>
      <x:c r="K70" s="18" t="n">
        <x:v>45735</x:v>
      </x:c>
      <x:c r="L70" s="16"/>
      <x:c r="M70" s="16"/>
      <x:c r="N70" s="16" t="str">
        <x:v>PLOT</x:v>
      </x:c>
      <x:c r="O70" s="16" t="str">
        <x:f>IF(F70&lt;=3,"1-3",IF(F70&lt;=6,"4-6","&gt;=7"))</x:f>
        <x:v>&gt;=7</x:v>
      </x:c>
    </x:row>
    <x:row r="71">
      <x:c r="A71" s="16" t="str">
        <x:v>FLOC-0099</x:v>
      </x:c>
      <x:c r="B71" s="16" t="str">
        <x:v>Kampung Paya Mengkuang</x:v>
      </x:c>
      <x:c r="C71" s="16" t="str">
        <x:v>COMMUNITY</x:v>
      </x:c>
      <x:c r="D71" s="17" t="n">
        <x:v>103.58727458</x:v>
      </x:c>
      <x:c r="E71" s="17" t="n">
        <x:v>1.37194144</x:v>
      </x:c>
      <x:c r="F71" s="16" t="n">
        <x:v>2</x:v>
      </x:c>
      <x:c r="G71" s="16" t="str">
        <x:v>1-3</x:v>
      </x:c>
      <x:c r="H71" s="16" t="str">
        <x:v>Occasional</x:v>
      </x:c>
      <x:c r="I71" s="16" t="str">
        <x:v>2022</x:v>
      </x:c>
      <x:c r="J71" s="18" t="n">
        <x:v>44685</x:v>
      </x:c>
      <x:c r="K71" s="18" t="n">
        <x:v>44829</x:v>
      </x:c>
      <x:c r="L71" s="16"/>
      <x:c r="M71" s="16"/>
      <x:c r="N71" s="16" t="str">
        <x:v>PLOT</x:v>
      </x:c>
      <x:c r="O71" s="16" t="str">
        <x:f>IF(F71&lt;=3,"1-3",IF(F71&lt;=6,"4-6","&gt;=7"))</x:f>
        <x:v>1-3</x:v>
      </x:c>
    </x:row>
    <x:row r="72">
      <x:c r="A72" s="16" t="str">
        <x:v>FLOC-0105</x:v>
      </x:c>
      <x:c r="B72" s="16" t="str">
        <x:v>Kampung Pengkalan Rinting</x:v>
      </x:c>
      <x:c r="C72" s="16" t="str">
        <x:v>Kampung</x:v>
      </x:c>
      <x:c r="D72" s="17" t="n">
        <x:v>103.70472574</x:v>
      </x:c>
      <x:c r="E72" s="17" t="n">
        <x:v>1.49166007</x:v>
      </x:c>
      <x:c r="F72" s="16" t="n">
        <x:v>1</x:v>
      </x:c>
      <x:c r="G72" s="16" t="str">
        <x:v>1-3</x:v>
      </x:c>
      <x:c r="H72" s="16" t="str">
        <x:v>Occasional</x:v>
      </x:c>
      <x:c r="I72" s="16" t="str">
        <x:v>2020</x:v>
      </x:c>
      <x:c r="J72" s="18" t="n">
        <x:v>44156</x:v>
      </x:c>
      <x:c r="K72" s="18" t="n">
        <x:v>44156</x:v>
      </x:c>
      <x:c r="L72" s="16"/>
      <x:c r="M72" s="16"/>
      <x:c r="N72" s="16" t="str">
        <x:v>PLOT</x:v>
      </x:c>
      <x:c r="O72" s="16" t="str">
        <x:f>IF(F72&lt;=3,"1-3",IF(F72&lt;=6,"4-6","&gt;=7"))</x:f>
        <x:v>1-3</x:v>
      </x:c>
    </x:row>
    <x:row r="73">
      <x:c r="A73" s="16" t="str">
        <x:v>FLOC-0106</x:v>
      </x:c>
      <x:c r="B73" s="16" t="str">
        <x:v>Kampung Plentong</x:v>
      </x:c>
      <x:c r="C73" s="16" t="str">
        <x:v>Kampung</x:v>
      </x:c>
      <x:c r="D73" s="17" t="n">
        <x:v>103.800959</x:v>
      </x:c>
      <x:c r="E73" s="17" t="n">
        <x:v>1.493921</x:v>
      </x:c>
      <x:c r="F73" s="16" t="n">
        <x:v>1</x:v>
      </x:c>
      <x:c r="G73" s="16" t="str">
        <x:v>1-3</x:v>
      </x:c>
      <x:c r="H73" s="16" t="str">
        <x:v>Occasional</x:v>
      </x:c>
      <x:c r="I73" s="16" t="str">
        <x:v>2020</x:v>
      </x:c>
      <x:c r="J73" s="18" t="n">
        <x:v>43986</x:v>
      </x:c>
      <x:c r="K73" s="18" t="n">
        <x:v>43986</x:v>
      </x:c>
      <x:c r="L73" s="16"/>
      <x:c r="M73" s="16"/>
      <x:c r="N73" s="16" t="str">
        <x:v>PLOT</x:v>
      </x:c>
      <x:c r="O73" s="16" t="str">
        <x:f>IF(F73&lt;=3,"1-3",IF(F73&lt;=6,"4-6","&gt;=7"))</x:f>
        <x:v>1-3</x:v>
      </x:c>
    </x:row>
    <x:row r="74">
      <x:c r="A74" s="16" t="str">
        <x:v>FLOC-0107</x:v>
      </x:c>
      <x:c r="B74" s="16" t="str">
        <x:v>Kampung Plentong Baru</x:v>
      </x:c>
      <x:c r="C74" s="16" t="str">
        <x:v>COMMUNITY</x:v>
      </x:c>
      <x:c r="D74" s="17" t="n">
        <x:v>103.8166885</x:v>
      </x:c>
      <x:c r="E74" s="17" t="n">
        <x:v>1.5179158</x:v>
      </x:c>
      <x:c r="F74" s="16" t="n">
        <x:v>1</x:v>
      </x:c>
      <x:c r="G74" s="16" t="str">
        <x:v>1-3</x:v>
      </x:c>
      <x:c r="H74" s="16" t="str">
        <x:v>Occasional</x:v>
      </x:c>
      <x:c r="I74" s="16" t="str">
        <x:v>2022</x:v>
      </x:c>
      <x:c r="J74" s="18" t="n">
        <x:v>44810</x:v>
      </x:c>
      <x:c r="K74" s="18" t="n">
        <x:v>44810</x:v>
      </x:c>
      <x:c r="L74" s="16"/>
      <x:c r="M74" s="16" t="str">
        <x:v>HF13</x:v>
      </x:c>
      <x:c r="N74" s="16" t="str">
        <x:v>PLOT</x:v>
      </x:c>
      <x:c r="O74" s="16" t="str">
        <x:f>IF(F74&lt;=3,"1-3",IF(F74&lt;=6,"4-6","&gt;=7"))</x:f>
        <x:v>1-3</x:v>
      </x:c>
    </x:row>
    <x:row r="75">
      <x:c r="A75" s="16" t="str">
        <x:v>FLOC-0108</x:v>
      </x:c>
      <x:c r="B75" s="16" t="str">
        <x:v>Kampung Pulai, Ulu Pulai</x:v>
      </x:c>
      <x:c r="C75" s="16" t="str">
        <x:v>Kampung</x:v>
      </x:c>
      <x:c r="D75" s="17" t="n">
        <x:v>103.56799503</x:v>
      </x:c>
      <x:c r="E75" s="17" t="n">
        <x:v>1.47115514</x:v>
      </x:c>
      <x:c r="F75" s="16" t="n">
        <x:v>3</x:v>
      </x:c>
      <x:c r="G75" s="16" t="str">
        <x:v>1-3</x:v>
      </x:c>
      <x:c r="H75" s="16" t="str">
        <x:v>Occasional</x:v>
      </x:c>
      <x:c r="I75" s="16" t="str">
        <x:v>2018;2019</x:v>
      </x:c>
      <x:c r="J75" s="18" t="n">
        <x:v>43237</x:v>
      </x:c>
      <x:c r="K75" s="18" t="n">
        <x:v>43760</x:v>
      </x:c>
      <x:c r="L75" s="16"/>
      <x:c r="M75" s="16"/>
      <x:c r="N75" s="16" t="str">
        <x:v>PLOT</x:v>
      </x:c>
      <x:c r="O75" s="16" t="str">
        <x:f>IF(F75&lt;=3,"1-3",IF(F75&lt;=6,"4-6","&gt;=7"))</x:f>
        <x:v>1-3</x:v>
      </x:c>
    </x:row>
    <x:row r="76">
      <x:c r="A76" s="16" t="str">
        <x:v>FLOC-0109</x:v>
      </x:c>
      <x:c r="B76" s="16" t="str">
        <x:v>Kampung Sepakat Baru</x:v>
      </x:c>
      <x:c r="C76" s="16" t="str">
        <x:v>COMMUNITY; Kampung / residential hamlet</x:v>
      </x:c>
      <x:c r="D76" s="17" t="n">
        <x:v>103.66117</x:v>
      </x:c>
      <x:c r="E76" s="17" t="n">
        <x:v>1.56411</x:v>
      </x:c>
      <x:c r="F76" s="16" t="n">
        <x:v>3</x:v>
      </x:c>
      <x:c r="G76" s="16" t="str">
        <x:v>1-3</x:v>
      </x:c>
      <x:c r="H76" s="16" t="str">
        <x:v>Occasional</x:v>
      </x:c>
      <x:c r="I76" s="16" t="str">
        <x:v>2019;2021</x:v>
      </x:c>
      <x:c r="J76" s="18" t="n">
        <x:v>43814</x:v>
      </x:c>
      <x:c r="K76" s="18" t="n">
        <x:v>44206</x:v>
      </x:c>
      <x:c r="L76" s="16" t="str">
        <x:v>PG2019-KG-SEPAKAT-BARU</x:v>
      </x:c>
      <x:c r="M76" s="16"/>
      <x:c r="N76" s="16" t="str">
        <x:v>PLOT</x:v>
      </x:c>
      <x:c r="O76" s="16" t="str">
        <x:f>IF(F76&lt;=3,"1-3",IF(F76&lt;=6,"4-6","&gt;=7"))</x:f>
        <x:v>1-3</x:v>
      </x:c>
    </x:row>
    <x:row r="77">
      <x:c r="A77" s="16" t="str">
        <x:v>FLOC-0110</x:v>
      </x:c>
      <x:c r="B77" s="16" t="str">
        <x:v>Kampung Seri Serdang Baru</x:v>
      </x:c>
      <x:c r="C77" s="16" t="str">
        <x:v>Kampung</x:v>
      </x:c>
      <x:c r="D77" s="17" t="n">
        <x:v>103.68986464</x:v>
      </x:c>
      <x:c r="E77" s="17" t="n">
        <x:v>1.50134219</x:v>
      </x:c>
      <x:c r="F77" s="16" t="n">
        <x:v>1</x:v>
      </x:c>
      <x:c r="G77" s="16" t="str">
        <x:v>1-3</x:v>
      </x:c>
      <x:c r="H77" s="16" t="str">
        <x:v>Occasional</x:v>
      </x:c>
      <x:c r="I77" s="16" t="str">
        <x:v>2020</x:v>
      </x:c>
      <x:c r="J77" s="18" t="n">
        <x:v>44156</x:v>
      </x:c>
      <x:c r="K77" s="18" t="n">
        <x:v>44156</x:v>
      </x:c>
      <x:c r="L77" s="16"/>
      <x:c r="M77" s="16"/>
      <x:c r="N77" s="16" t="str">
        <x:v>PLOT</x:v>
      </x:c>
      <x:c r="O77" s="16" t="str">
        <x:f>IF(F77&lt;=3,"1-3",IF(F77&lt;=6,"4-6","&gt;=7"))</x:f>
        <x:v>1-3</x:v>
      </x:c>
    </x:row>
    <x:row r="78">
      <x:c r="A78" s="16" t="str">
        <x:v>FLOC-0112</x:v>
      </x:c>
      <x:c r="B78" s="16" t="str">
        <x:v>Kampung Skudai Kiri</x:v>
      </x:c>
      <x:c r="C78" s="16" t="str">
        <x:v>Neighborhood</x:v>
      </x:c>
      <x:c r="D78" s="17" t="n">
        <x:v>103.71164</x:v>
      </x:c>
      <x:c r="E78" s="17" t="n">
        <x:v>1.48682</x:v>
      </x:c>
      <x:c r="F78" s="16" t="n">
        <x:v>1</x:v>
      </x:c>
      <x:c r="G78" s="16" t="str">
        <x:v>1-3</x:v>
      </x:c>
      <x:c r="H78" s="16" t="str">
        <x:v>Occasional</x:v>
      </x:c>
      <x:c r="I78" s="16" t="str">
        <x:v>2018</x:v>
      </x:c>
      <x:c r="J78" s="18" t="n">
        <x:v>43210</x:v>
      </x:c>
      <x:c r="K78" s="18" t="n">
        <x:v>43210</x:v>
      </x:c>
      <x:c r="L78" s="16"/>
      <x:c r="M78" s="16"/>
      <x:c r="N78" s="16" t="str">
        <x:v>PLOT</x:v>
      </x:c>
      <x:c r="O78" s="16" t="str">
        <x:f>IF(F78&lt;=3,"1-3",IF(F78&lt;=6,"4-6","&gt;=7"))</x:f>
        <x:v>1-3</x:v>
      </x:c>
    </x:row>
    <x:row r="79">
      <x:c r="A79" s="16" t="str">
        <x:v>FLOC-0113</x:v>
      </x:c>
      <x:c r="B79" s="16" t="str">
        <x:v>Kampung Sri Jaya Baru</x:v>
      </x:c>
      <x:c r="C79" s="16" t="str">
        <x:v>COMMUNITY; Kampung</x:v>
      </x:c>
      <x:c r="D79" s="17" t="n">
        <x:v>103.69059841</x:v>
      </x:c>
      <x:c r="E79" s="17" t="n">
        <x:v>1.49949602</x:v>
      </x:c>
      <x:c r="F79" s="16" t="n">
        <x:v>2</x:v>
      </x:c>
      <x:c r="G79" s="16" t="str">
        <x:v>1-3</x:v>
      </x:c>
      <x:c r="H79" s="16" t="str">
        <x:v>Occasional</x:v>
      </x:c>
      <x:c r="I79" s="16" t="str">
        <x:v>2020;2021</x:v>
      </x:c>
      <x:c r="J79" s="18" t="n">
        <x:v>44156</x:v>
      </x:c>
      <x:c r="K79" s="18" t="n">
        <x:v>44469</x:v>
      </x:c>
      <x:c r="L79" s="16"/>
      <x:c r="M79" s="16"/>
      <x:c r="N79" s="16" t="str">
        <x:v>PLOT</x:v>
      </x:c>
      <x:c r="O79" s="16" t="str">
        <x:f>IF(F79&lt;=3,"1-3",IF(F79&lt;=6,"4-6","&gt;=7"))</x:f>
        <x:v>1-3</x:v>
      </x:c>
    </x:row>
    <x:row r="80">
      <x:c r="A80" s="16" t="str">
        <x:v>FLOC-0114</x:v>
      </x:c>
      <x:c r="B80" s="16" t="str">
        <x:v>Kampung Sri Jaya, Skudai</x:v>
      </x:c>
      <x:c r="C80" s="16" t="str">
        <x:v>Kampung; COMMUNITY/AREA; Neighborhood</x:v>
      </x:c>
      <x:c r="D80" s="17" t="n">
        <x:v>103.68912</x:v>
      </x:c>
      <x:c r="E80" s="17" t="n">
        <x:v>1.49933</x:v>
      </x:c>
      <x:c r="F80" s="16" t="n">
        <x:v>3</x:v>
      </x:c>
      <x:c r="G80" s="16" t="str">
        <x:v>1-3</x:v>
      </x:c>
      <x:c r="H80" s="16" t="str">
        <x:v>Occasional</x:v>
      </x:c>
      <x:c r="I80" s="16" t="str">
        <x:v>2018;2020;2026</x:v>
      </x:c>
      <x:c r="J80" s="18" t="n">
        <x:v>43395</x:v>
      </x:c>
      <x:c r="K80" s="18" t="n">
        <x:v>46295</x:v>
      </x:c>
      <x:c r="L80" s="16"/>
      <x:c r="M80" s="16"/>
      <x:c r="N80" s="16" t="str">
        <x:v>PLOT</x:v>
      </x:c>
      <x:c r="O80" s="16" t="str">
        <x:f>IF(F80&lt;=3,"1-3",IF(F80&lt;=6,"4-6","&gt;=7"))</x:f>
        <x:v>1-3</x:v>
      </x:c>
    </x:row>
    <x:row r="81">
      <x:c r="A81" s="16" t="str">
        <x:v>FLOC-0115</x:v>
      </x:c>
      <x:c r="B81" s="16" t="str">
        <x:v>Kampung Sri Serdang</x:v>
      </x:c>
      <x:c r="C81" s="16" t="str">
        <x:v>COMMUNITY/AREA; Kampung</x:v>
      </x:c>
      <x:c r="D81" s="17" t="n">
        <x:v>103.6919335</x:v>
      </x:c>
      <x:c r="E81" s="17" t="n">
        <x:v>1.50174870000003</x:v>
      </x:c>
      <x:c r="F81" s="16" t="n">
        <x:v>3</x:v>
      </x:c>
      <x:c r="G81" s="16" t="str">
        <x:v>1-3</x:v>
      </x:c>
      <x:c r="H81" s="16" t="str">
        <x:v>Occasional</x:v>
      </x:c>
      <x:c r="I81" s="16" t="str">
        <x:v>2020;2025;2026</x:v>
      </x:c>
      <x:c r="J81" s="18" t="n">
        <x:v>44156</x:v>
      </x:c>
      <x:c r="K81" s="18" t="n">
        <x:v>46295</x:v>
      </x:c>
      <x:c r="L81" s="16"/>
      <x:c r="M81" s="16" t="str">
        <x:v>HF15</x:v>
      </x:c>
      <x:c r="N81" s="16" t="str">
        <x:v>PLOT</x:v>
      </x:c>
      <x:c r="O81" s="16" t="str">
        <x:f>IF(F81&lt;=3,"1-3",IF(F81&lt;=6,"4-6","&gt;=7"))</x:f>
        <x:v>1-3</x:v>
      </x:c>
    </x:row>
    <x:row r="82">
      <x:c r="A82" s="16" t="str">
        <x:v>FLOC-0116</x:v>
      </x:c>
      <x:c r="B82" s="16" t="str">
        <x:v>Kampung Sungai Redan Laut</x:v>
      </x:c>
      <x:c r="C82" s="16" t="str">
        <x:v>COMMUNITY/AREA</x:v>
      </x:c>
      <x:c r="D82" s="17" t="n">
        <x:v>103.9518889</x:v>
      </x:c>
      <x:c r="E82" s="17" t="n">
        <x:v>1.6123889</x:v>
      </x:c>
      <x:c r="F82" s="16" t="n">
        <x:v>1</x:v>
      </x:c>
      <x:c r="G82" s="16" t="str">
        <x:v>1-3</x:v>
      </x:c>
      <x:c r="H82" s="16" t="str">
        <x:v>Occasional</x:v>
      </x:c>
      <x:c r="I82" s="16" t="str">
        <x:v>2017</x:v>
      </x:c>
      <x:c r="J82" s="18" t="n">
        <x:v>42759</x:v>
      </x:c>
      <x:c r="K82" s="18" t="n">
        <x:v>42759</x:v>
      </x:c>
      <x:c r="L82" s="16"/>
      <x:c r="M82" s="16"/>
      <x:c r="N82" s="16" t="str">
        <x:v>PLOT</x:v>
      </x:c>
      <x:c r="O82" s="16" t="str">
        <x:f>IF(F82&lt;=3,"1-3",IF(F82&lt;=6,"4-6","&gt;=7"))</x:f>
        <x:v>1-3</x:v>
      </x:c>
    </x:row>
    <x:row r="83">
      <x:c r="A83" s="16" t="str">
        <x:v>FLOC-0117</x:v>
      </x:c>
      <x:c r="B83" s="16" t="str">
        <x:v>Kampung Sungai Rinting</x:v>
      </x:c>
      <x:c r="C83" s="16" t="str">
        <x:v>COMMUNITY</x:v>
      </x:c>
      <x:c r="D83" s="17" t="n">
        <x:v>103.8743</x:v>
      </x:c>
      <x:c r="E83" s="17" t="n">
        <x:v>1.48054</x:v>
      </x:c>
      <x:c r="F83" s="16" t="n">
        <x:v>1</x:v>
      </x:c>
      <x:c r="G83" s="16" t="str">
        <x:v>1-3</x:v>
      </x:c>
      <x:c r="H83" s="16" t="str">
        <x:v>Occasional</x:v>
      </x:c>
      <x:c r="I83" s="16" t="str">
        <x:v>2021</x:v>
      </x:c>
      <x:c r="J83" s="18" t="n">
        <x:v>44389</x:v>
      </x:c>
      <x:c r="K83" s="18" t="n">
        <x:v>44389</x:v>
      </x:c>
      <x:c r="L83" s="16"/>
      <x:c r="M83" s="16"/>
      <x:c r="N83" s="16" t="str">
        <x:v>PLOT</x:v>
      </x:c>
      <x:c r="O83" s="16" t="str">
        <x:f>IF(F83&lt;=3,"1-3",IF(F83&lt;=6,"4-6","&gt;=7"))</x:f>
        <x:v>1-3</x:v>
      </x:c>
    </x:row>
    <x:row r="84">
      <x:c r="A84" s="16" t="str">
        <x:v>FLOC-0119</x:v>
      </x:c>
      <x:c r="B84" s="16" t="str">
        <x:v>Kampung Sungai Tiram</x:v>
      </x:c>
      <x:c r="C84" s="16" t="str">
        <x:v>COMMUNITY/AREA; Kampung</x:v>
      </x:c>
      <x:c r="D84" s="17" t="n">
        <x:v>103.88063</x:v>
      </x:c>
      <x:c r="E84" s="17" t="n">
        <x:v>1.5844</x:v>
      </x:c>
      <x:c r="F84" s="16" t="n">
        <x:v>5</x:v>
      </x:c>
      <x:c r="G84" s="16" t="str">
        <x:v>4-6</x:v>
      </x:c>
      <x:c r="H84" s="16" t="str">
        <x:v>Recurrent</x:v>
      </x:c>
      <x:c r="I84" s="16" t="str">
        <x:v>2017;2019;2023</x:v>
      </x:c>
      <x:c r="J84" s="18" t="n">
        <x:v>42759</x:v>
      </x:c>
      <x:c r="K84" s="18" t="n">
        <x:v>44986</x:v>
      </x:c>
      <x:c r="L84" s="16"/>
      <x:c r="M84" s="16"/>
      <x:c r="N84" s="16" t="str">
        <x:v>PLOT</x:v>
      </x:c>
      <x:c r="O84" s="16" t="str">
        <x:f>IF(F84&lt;=3,"1-3",IF(F84&lt;=6,"4-6","&gt;=7"))</x:f>
        <x:v>4-6</x:v>
      </x:c>
    </x:row>
    <x:row r="85">
      <x:c r="A85" s="16" t="str">
        <x:v>FLOC-0122</x:v>
      </x:c>
      <x:c r="B85" s="16" t="str">
        <x:v>Kampung Tiram Duku</x:v>
      </x:c>
      <x:c r="C85" s="16" t="str">
        <x:v>COMMUNITY</x:v>
      </x:c>
      <x:c r="D85" s="17" t="n">
        <x:v>103.57953798</x:v>
      </x:c>
      <x:c r="E85" s="17" t="n">
        <x:v>1.38836699</x:v>
      </x:c>
      <x:c r="F85" s="16" t="n">
        <x:v>1</x:v>
      </x:c>
      <x:c r="G85" s="16" t="str">
        <x:v>1-3</x:v>
      </x:c>
      <x:c r="H85" s="16" t="str">
        <x:v>Occasional</x:v>
      </x:c>
      <x:c r="I85" s="16" t="str">
        <x:v>2022</x:v>
      </x:c>
      <x:c r="J85" s="18" t="n">
        <x:v>44829</x:v>
      </x:c>
      <x:c r="K85" s="18" t="n">
        <x:v>44829</x:v>
      </x:c>
      <x:c r="L85" s="16"/>
      <x:c r="M85" s="16"/>
      <x:c r="N85" s="16" t="str">
        <x:v>PLOT</x:v>
      </x:c>
      <x:c r="O85" s="16" t="str">
        <x:f>IF(F85&lt;=3,"1-3",IF(F85&lt;=6,"4-6","&gt;=7"))</x:f>
        <x:v>1-3</x:v>
      </x:c>
    </x:row>
    <x:row r="86">
      <x:c r="A86" s="16" t="str">
        <x:v>FLOC-0123</x:v>
      </x:c>
      <x:c r="B86" s="16" t="str">
        <x:v>Kampung Tuah Jaya</x:v>
      </x:c>
      <x:c r="C86" s="16" t="str">
        <x:v>COMMUNITY/AREA; Residential hamlet</x:v>
      </x:c>
      <x:c r="D86" s="17" t="n">
        <x:v>103.67688</x:v>
      </x:c>
      <x:c r="E86" s="17" t="n">
        <x:v>1.47873</x:v>
      </x:c>
      <x:c r="F86" s="16" t="n">
        <x:v>5</x:v>
      </x:c>
      <x:c r="G86" s="16" t="str">
        <x:v>4-6</x:v>
      </x:c>
      <x:c r="H86" s="16" t="str">
        <x:v>Recurrent</x:v>
      </x:c>
      <x:c r="I86" s="16" t="str">
        <x:v>2017;2019;2020;2026</x:v>
      </x:c>
      <x:c r="J86" s="18" t="n">
        <x:v>42997</x:v>
      </x:c>
      <x:c r="K86" s="18" t="n">
        <x:v>46295</x:v>
      </x:c>
      <x:c r="L86" s="16" t="str">
        <x:v>PG2017-TUAH-JAYA</x:v>
      </x:c>
      <x:c r="M86" s="16"/>
      <x:c r="N86" s="16" t="str">
        <x:v>PLOT</x:v>
      </x:c>
      <x:c r="O86" s="16" t="str">
        <x:f>IF(F86&lt;=3,"1-3",IF(F86&lt;=6,"4-6","&gt;=7"))</x:f>
        <x:v>4-6</x:v>
      </x:c>
    </x:row>
    <x:row r="87">
      <x:c r="A87" s="16" t="str">
        <x:v>FLOC-0124</x:v>
      </x:c>
      <x:c r="B87" s="16" t="str">
        <x:v>Kampung Ubi Baru</x:v>
      </x:c>
      <x:c r="C87" s="16" t="str">
        <x:v>COMMUNITY/AREA; COMMUNITY; Kampung</x:v>
      </x:c>
      <x:c r="D87" s="17" t="n">
        <x:v>103.75707329</x:v>
      </x:c>
      <x:c r="E87" s="17" t="n">
        <x:v>1.5191611</x:v>
      </x:c>
      <x:c r="F87" s="16" t="n">
        <x:v>5</x:v>
      </x:c>
      <x:c r="G87" s="16" t="str">
        <x:v>4-6</x:v>
      </x:c>
      <x:c r="H87" s="16" t="str">
        <x:v>Recurrent</x:v>
      </x:c>
      <x:c r="I87" s="16" t="str">
        <x:v>2017;2018;2022;2023;2026</x:v>
      </x:c>
      <x:c r="J87" s="18" t="n">
        <x:v>42896</x:v>
      </x:c>
      <x:c r="K87" s="18" t="n">
        <x:v>46295</x:v>
      </x:c>
      <x:c r="L87" s="16"/>
      <x:c r="M87" s="16"/>
      <x:c r="N87" s="16" t="str">
        <x:v>PLOT</x:v>
      </x:c>
      <x:c r="O87" s="16" t="str">
        <x:f>IF(F87&lt;=3,"1-3",IF(F87&lt;=6,"4-6","&gt;=7"))</x:f>
        <x:v>4-6</x:v>
      </x:c>
    </x:row>
    <x:row r="88">
      <x:c r="A88" s="16" t="str">
        <x:v>FLOC-0125</x:v>
      </x:c>
      <x:c r="B88" s="16" t="str">
        <x:v>Kampung Ulu Pandan</x:v>
      </x:c>
      <x:c r="C88" s="16" t="str">
        <x:v>COMMUNITY/AREA</x:v>
      </x:c>
      <x:c r="D88" s="17" t="n">
        <x:v>103.7683272</x:v>
      </x:c>
      <x:c r="E88" s="17" t="n">
        <x:v>1.53455009999999</x:v>
      </x:c>
      <x:c r="F88" s="16" t="n">
        <x:v>1</x:v>
      </x:c>
      <x:c r="G88" s="16" t="str">
        <x:v>1-3</x:v>
      </x:c>
      <x:c r="H88" s="16" t="str">
        <x:v>Occasional</x:v>
      </x:c>
      <x:c r="I88" s="16" t="str">
        <x:v>2025</x:v>
      </x:c>
      <x:c r="J88" s="18" t="n">
        <x:v>45735</x:v>
      </x:c>
      <x:c r="K88" s="18" t="n">
        <x:v>45735</x:v>
      </x:c>
      <x:c r="L88" s="16"/>
      <x:c r="M88" s="16" t="str">
        <x:v>HF42</x:v>
      </x:c>
      <x:c r="N88" s="16" t="str">
        <x:v>PLOT</x:v>
      </x:c>
      <x:c r="O88" s="16" t="str">
        <x:f>IF(F88&lt;=3,"1-3",IF(F88&lt;=6,"4-6","&gt;=7"))</x:f>
        <x:v>1-3</x:v>
      </x:c>
    </x:row>
    <x:row r="89">
      <x:c r="A89" s="16" t="str">
        <x:v>FLOC-0129</x:v>
      </x:c>
      <x:c r="B89" s="16" t="str">
        <x:v>Kempas Denai</x:v>
      </x:c>
      <x:c r="C89" s="16" t="str">
        <x:v>ROAD/AREA</x:v>
      </x:c>
      <x:c r="D89" s="17" t="n">
        <x:v>103.71851</x:v>
      </x:c>
      <x:c r="E89" s="17" t="n">
        <x:v>1.514607</x:v>
      </x:c>
      <x:c r="F89" s="16" t="n">
        <x:v>1</x:v>
      </x:c>
      <x:c r="G89" s="16" t="str">
        <x:v>1-3</x:v>
      </x:c>
      <x:c r="H89" s="16" t="str">
        <x:v>Occasional</x:v>
      </x:c>
      <x:c r="I89" s="16" t="str">
        <x:v>2021</x:v>
      </x:c>
      <x:c r="J89" s="18" t="n">
        <x:v>44469</x:v>
      </x:c>
      <x:c r="K89" s="18" t="n">
        <x:v>44469</x:v>
      </x:c>
      <x:c r="L89" s="16"/>
      <x:c r="M89" s="16"/>
      <x:c r="N89" s="16" t="str">
        <x:v>PLOT</x:v>
      </x:c>
      <x:c r="O89" s="16" t="str">
        <x:f>IF(F89&lt;=3,"1-3",IF(F89&lt;=6,"4-6","&gt;=7"))</x:f>
        <x:v>1-3</x:v>
      </x:c>
    </x:row>
    <x:row r="90">
      <x:c r="A90" s="16" t="str">
        <x:v>FLOC-0130</x:v>
      </x:c>
      <x:c r="B90" s="16" t="str">
        <x:v>Kempas Lurah</x:v>
      </x:c>
      <x:c r="C90" s="16" t="str">
        <x:v>COMMUNITY</x:v>
      </x:c>
      <x:c r="D90" s="17" t="n">
        <x:v>103.71579344</x:v>
      </x:c>
      <x:c r="E90" s="17" t="n">
        <x:v>1.52911376</x:v>
      </x:c>
      <x:c r="F90" s="16" t="n">
        <x:v>1</x:v>
      </x:c>
      <x:c r="G90" s="16" t="str">
        <x:v>1-3</x:v>
      </x:c>
      <x:c r="H90" s="16" t="str">
        <x:v>Occasional</x:v>
      </x:c>
      <x:c r="I90" s="16" t="str">
        <x:v>2021</x:v>
      </x:c>
      <x:c r="J90" s="18" t="n">
        <x:v>44469</x:v>
      </x:c>
      <x:c r="K90" s="18" t="n">
        <x:v>44469</x:v>
      </x:c>
      <x:c r="L90" s="16" t="str">
        <x:v>PG2021-KEMPAS-LURAH</x:v>
      </x:c>
      <x:c r="M90" s="16"/>
      <x:c r="N90" s="16" t="str">
        <x:v>PLOT</x:v>
      </x:c>
      <x:c r="O90" s="16" t="str">
        <x:f>IF(F90&lt;=3,"1-3",IF(F90&lt;=6,"4-6","&gt;=7"))</x:f>
        <x:v>1-3</x:v>
      </x:c>
    </x:row>
    <x:row r="91">
      <x:c r="A91" s="16" t="str">
        <x:v>FLOC-0131</x:v>
      </x:c>
      <x:c r="B91" s="16" t="str">
        <x:v>Kempas Permatang</x:v>
      </x:c>
      <x:c r="C91" s="16" t="str">
        <x:v>ROAD/AREA</x:v>
      </x:c>
      <x:c r="D91" s="17" t="n">
        <x:v>103.72755</x:v>
      </x:c>
      <x:c r="E91" s="17" t="n">
        <x:v>1.52696</x:v>
      </x:c>
      <x:c r="F91" s="16" t="n">
        <x:v>1</x:v>
      </x:c>
      <x:c r="G91" s="16" t="str">
        <x:v>1-3</x:v>
      </x:c>
      <x:c r="H91" s="16" t="str">
        <x:v>Occasional</x:v>
      </x:c>
      <x:c r="I91" s="16" t="str">
        <x:v>2021</x:v>
      </x:c>
      <x:c r="J91" s="18" t="n">
        <x:v>44469</x:v>
      </x:c>
      <x:c r="K91" s="18" t="n">
        <x:v>44469</x:v>
      </x:c>
      <x:c r="L91" s="16"/>
      <x:c r="M91" s="16"/>
      <x:c r="N91" s="16" t="str">
        <x:v>PLOT</x:v>
      </x:c>
      <x:c r="O91" s="16" t="str">
        <x:f>IF(F91&lt;=3,"1-3",IF(F91&lt;=6,"4-6","&gt;=7"))</x:f>
        <x:v>1-3</x:v>
      </x:c>
    </x:row>
    <x:row r="92">
      <x:c r="A92" s="16" t="str">
        <x:v>FLOC-0132</x:v>
      </x:c>
      <x:c r="B92" s="16" t="str">
        <x:v>Kg. Dato Hajah Hasnah</x:v>
      </x:c>
      <x:c r="C92" s="16" t="str">
        <x:v>COMMUNITY/AREA</x:v>
      </x:c>
      <x:c r="D92" s="17" t="n">
        <x:v>103.76977282</x:v>
      </x:c>
      <x:c r="E92" s="17" t="n">
        <x:v>1.50468654</x:v>
      </x:c>
      <x:c r="F92" s="16" t="n">
        <x:v>2</x:v>
      </x:c>
      <x:c r="G92" s="16" t="str">
        <x:v>1-3</x:v>
      </x:c>
      <x:c r="H92" s="16" t="str">
        <x:v>Occasional</x:v>
      </x:c>
      <x:c r="I92" s="16" t="str">
        <x:v>2023;2026</x:v>
      </x:c>
      <x:c r="J92" s="18" t="n">
        <x:v>44971</x:v>
      </x:c>
      <x:c r="K92" s="18" t="n">
        <x:v>46295</x:v>
      </x:c>
      <x:c r="L92" s="16"/>
      <x:c r="M92" s="16"/>
      <x:c r="N92" s="16" t="str">
        <x:v>PLOT</x:v>
      </x:c>
      <x:c r="O92" s="16" t="str">
        <x:f>IF(F92&lt;=3,"1-3",IF(F92&lt;=6,"4-6","&gt;=7"))</x:f>
        <x:v>1-3</x:v>
      </x:c>
    </x:row>
    <x:row r="93">
      <x:c r="A93" s="16" t="str">
        <x:v>FLOC-0133</x:v>
      </x:c>
      <x:c r="B93" s="16" t="str">
        <x:v>Kg. Paya Sg Redan</x:v>
      </x:c>
      <x:c r="C93" s="16" t="str">
        <x:v>COMMUNITY/AREA</x:v>
      </x:c>
      <x:c r="D93" s="17" t="n">
        <x:v>103.931586</x:v>
      </x:c>
      <x:c r="E93" s="17" t="n">
        <x:v>1.619208</x:v>
      </x:c>
      <x:c r="F93" s="16" t="n">
        <x:v>3</x:v>
      </x:c>
      <x:c r="G93" s="16" t="str">
        <x:v>1-3</x:v>
      </x:c>
      <x:c r="H93" s="16" t="str">
        <x:v>Occasional</x:v>
      </x:c>
      <x:c r="I93" s="16" t="str">
        <x:v>2017;2024</x:v>
      </x:c>
      <x:c r="J93" s="18" t="n">
        <x:v>42758</x:v>
      </x:c>
      <x:c r="K93" s="18" t="n">
        <x:v>45295</x:v>
      </x:c>
      <x:c r="L93" s="16"/>
      <x:c r="M93" s="16"/>
      <x:c r="N93" s="16" t="str">
        <x:v>PLOT</x:v>
      </x:c>
      <x:c r="O93" s="16" t="str">
        <x:f>IF(F93&lt;=3,"1-3",IF(F93&lt;=6,"4-6","&gt;=7"))</x:f>
        <x:v>1-3</x:v>
      </x:c>
    </x:row>
    <x:row r="94">
      <x:c r="A94" s="16" t="str">
        <x:v>FLOC-0134</x:v>
      </x:c>
      <x:c r="B94" s="16" t="str">
        <x:v>Kg. Sentosa (Cahaya Baru / eastern Johor Bahru)</x:v>
      </x:c>
      <x:c r="C94" s="16" t="str">
        <x:v>COMMUNITY/AREA; Kampung</x:v>
      </x:c>
      <x:c r="D94" s="17" t="n">
        <x:v>103.92735539</x:v>
      </x:c>
      <x:c r="E94" s="17" t="n">
        <x:v>1.52125286</x:v>
      </x:c>
      <x:c r="F94" s="16" t="n">
        <x:v>3</x:v>
      </x:c>
      <x:c r="G94" s="16" t="str">
        <x:v>1-3</x:v>
      </x:c>
      <x:c r="H94" s="16" t="str">
        <x:v>Occasional</x:v>
      </x:c>
      <x:c r="I94" s="16" t="str">
        <x:v>2017;2019;2020</x:v>
      </x:c>
      <x:c r="J94" s="18" t="n">
        <x:v>42759</x:v>
      </x:c>
      <x:c r="K94" s="18" t="n">
        <x:v>43956</x:v>
      </x:c>
      <x:c r="L94" s="16"/>
      <x:c r="M94" s="16"/>
      <x:c r="N94" s="16" t="str">
        <x:v>PLOT</x:v>
      </x:c>
      <x:c r="O94" s="16" t="str">
        <x:f>IF(F94&lt;=3,"1-3",IF(F94&lt;=6,"4-6","&gt;=7"))</x:f>
        <x:v>1-3</x:v>
      </x:c>
    </x:row>
    <x:row r="95">
      <x:c r="A95" s="16" t="str">
        <x:v>FLOC-0135</x:v>
      </x:c>
      <x:c r="B95" s="16" t="str">
        <x:v>Kg. Sentosa Barat</x:v>
      </x:c>
      <x:c r="C95" s="16" t="str">
        <x:v>COMMUNITY; COMMUNITY/AREA</x:v>
      </x:c>
      <x:c r="D95" s="17" t="n">
        <x:v>103.92185516</x:v>
      </x:c>
      <x:c r="E95" s="17" t="n">
        <x:v>1.52194889</x:v>
      </x:c>
      <x:c r="F95" s="16" t="n">
        <x:v>9</x:v>
      </x:c>
      <x:c r="G95" s="16" t="str">
        <x:v>&gt;=7</x:v>
      </x:c>
      <x:c r="H95" s="16" t="str">
        <x:v>High-frequency</x:v>
      </x:c>
      <x:c r="I95" s="16" t="str">
        <x:v>2017;2021;2022;2023</x:v>
      </x:c>
      <x:c r="J95" s="18" t="n">
        <x:v>42843</x:v>
      </x:c>
      <x:c r="K95" s="18" t="n">
        <x:v>45261</x:v>
      </x:c>
      <x:c r="L95" s="16"/>
      <x:c r="M95" s="16"/>
      <x:c r="N95" s="16" t="str">
        <x:v>PLOT</x:v>
      </x:c>
      <x:c r="O95" s="16" t="str">
        <x:f>IF(F95&lt;=3,"1-3",IF(F95&lt;=6,"4-6","&gt;=7"))</x:f>
        <x:v>&gt;=7</x:v>
      </x:c>
    </x:row>
    <x:row r="96">
      <x:c r="A96" s="16" t="str">
        <x:v>FLOC-0136</x:v>
      </x:c>
      <x:c r="B96" s="16" t="str">
        <x:v>Kg. Sentosa Damai</x:v>
      </x:c>
      <x:c r="C96" s="16" t="str">
        <x:v>COMMUNITY; COMMUNITY/AREA</x:v>
      </x:c>
      <x:c r="D96" s="17" t="n">
        <x:v>103.93562865</x:v>
      </x:c>
      <x:c r="E96" s="17" t="n">
        <x:v>1.52139605</x:v>
      </x:c>
      <x:c r="F96" s="16" t="n">
        <x:v>6</x:v>
      </x:c>
      <x:c r="G96" s="16" t="str">
        <x:v>4-6</x:v>
      </x:c>
      <x:c r="H96" s="16" t="str">
        <x:v>Recurrent</x:v>
      </x:c>
      <x:c r="I96" s="16" t="str">
        <x:v>2021;2023;2024</x:v>
      </x:c>
      <x:c r="J96" s="18" t="n">
        <x:v>44198</x:v>
      </x:c>
      <x:c r="K96" s="18" t="n">
        <x:v>45295</x:v>
      </x:c>
      <x:c r="L96" s="16"/>
      <x:c r="M96" s="16"/>
      <x:c r="N96" s="16" t="str">
        <x:v>PLOT</x:v>
      </x:c>
      <x:c r="O96" s="16" t="str">
        <x:f>IF(F96&lt;=3,"1-3",IF(F96&lt;=6,"4-6","&gt;=7"))</x:f>
        <x:v>4-6</x:v>
      </x:c>
    </x:row>
    <x:row r="97">
      <x:c r="A97" s="16" t="str">
        <x:v>FLOC-0137</x:v>
      </x:c>
      <x:c r="B97" s="16" t="str">
        <x:v>Kg. Seri Aman / Batu Pulai</x:v>
      </x:c>
      <x:c r="C97" s="16" t="str">
        <x:v>COMMUNITY; COMMUNITY/AREA</x:v>
      </x:c>
      <x:c r="D97" s="17" t="n">
        <x:v>103.9404605</x:v>
      </x:c>
      <x:c r="E97" s="17" t="n">
        <x:v>1.47435541</x:v>
      </x:c>
      <x:c r="F97" s="16" t="n">
        <x:v>2</x:v>
      </x:c>
      <x:c r="G97" s="16" t="str">
        <x:v>1-3</x:v>
      </x:c>
      <x:c r="H97" s="16" t="str">
        <x:v>Occasional</x:v>
      </x:c>
      <x:c r="I97" s="16" t="str">
        <x:v>2021;2023</x:v>
      </x:c>
      <x:c r="J97" s="18" t="n">
        <x:v>44441</x:v>
      </x:c>
      <x:c r="K97" s="18" t="n">
        <x:v>45261</x:v>
      </x:c>
      <x:c r="L97" s="16"/>
      <x:c r="M97" s="16"/>
      <x:c r="N97" s="16" t="str">
        <x:v>PLOT</x:v>
      </x:c>
      <x:c r="O97" s="16" t="str">
        <x:f>IF(F97&lt;=3,"1-3",IF(F97&lt;=6,"4-6","&gt;=7"))</x:f>
        <x:v>1-3</x:v>
      </x:c>
    </x:row>
    <x:row r="98">
      <x:c r="A98" s="16" t="str">
        <x:v>FLOC-0138</x:v>
      </x:c>
      <x:c r="B98" s="16" t="str">
        <x:v>Kg. Sg. Serai</x:v>
      </x:c>
      <x:c r="C98" s="16" t="str">
        <x:v>COMMUNITY/AREA</x:v>
      </x:c>
      <x:c r="D98" s="17" t="n">
        <x:v>103.9220255</x:v>
      </x:c>
      <x:c r="E98" s="17" t="n">
        <x:v>1.6536289</x:v>
      </x:c>
      <x:c r="F98" s="16" t="n">
        <x:v>2</x:v>
      </x:c>
      <x:c r="G98" s="16" t="str">
        <x:v>1-3</x:v>
      </x:c>
      <x:c r="H98" s="16" t="str">
        <x:v>Occasional</x:v>
      </x:c>
      <x:c r="I98" s="16" t="str">
        <x:v>2017;2024</x:v>
      </x:c>
      <x:c r="J98" s="18" t="n">
        <x:v>42759</x:v>
      </x:c>
      <x:c r="K98" s="18" t="n">
        <x:v>45295</x:v>
      </x:c>
      <x:c r="L98" s="16"/>
      <x:c r="M98" s="16"/>
      <x:c r="N98" s="16" t="str">
        <x:v>PLOT</x:v>
      </x:c>
      <x:c r="O98" s="16" t="str">
        <x:f>IF(F98&lt;=3,"1-3",IF(F98&lt;=6,"4-6","&gt;=7"))</x:f>
        <x:v>1-3</x:v>
      </x:c>
    </x:row>
    <x:row r="99">
      <x:c r="A99" s="16" t="str">
        <x:v>FLOC-0139</x:v>
      </x:c>
      <x:c r="B99" s="16" t="str">
        <x:v>KIPMall Tampoi</x:v>
      </x:c>
      <x:c r="C99" s="16" t="str">
        <x:v>AREA/LOCALITY</x:v>
      </x:c>
      <x:c r="D99" s="17" t="n">
        <x:v>103.687206</x:v>
      </x:c>
      <x:c r="E99" s="17" t="n">
        <x:v>1.508748</x:v>
      </x:c>
      <x:c r="F99" s="16" t="n">
        <x:v>1</x:v>
      </x:c>
      <x:c r="G99" s="16" t="str">
        <x:v>1-3</x:v>
      </x:c>
      <x:c r="H99" s="16" t="str">
        <x:v>Occasional</x:v>
      </x:c>
      <x:c r="I99" s="16" t="str">
        <x:v>2017</x:v>
      </x:c>
      <x:c r="J99" s="18" t="n">
        <x:v>42737</x:v>
      </x:c>
      <x:c r="K99" s="18" t="n">
        <x:v>42737</x:v>
      </x:c>
      <x:c r="L99" s="16" t="str">
        <x:v>PG2017-KIPMALL-TAMPOI</x:v>
      </x:c>
      <x:c r="M99" s="16"/>
      <x:c r="N99" s="16" t="str">
        <x:v>PLOT</x:v>
      </x:c>
      <x:c r="O99" s="16" t="str">
        <x:f>IF(F99&lt;=3,"1-3",IF(F99&lt;=6,"4-6","&gt;=7"))</x:f>
        <x:v>1-3</x:v>
      </x:c>
    </x:row>
    <x:row r="100">
      <x:c r="A100" s="16" t="str">
        <x:v>FLOC-0140</x:v>
      </x:c>
      <x:c r="B100" s="16" t="str">
        <x:v>Klinik Desa Kangkar Tebrau</x:v>
      </x:c>
      <x:c r="C100" s="16" t="str">
        <x:v>CRITICAL FACILITY</x:v>
      </x:c>
      <x:c r="D100" s="17" t="n">
        <x:v>103.75802</x:v>
      </x:c>
      <x:c r="E100" s="17" t="n">
        <x:v>1.53597</x:v>
      </x:c>
      <x:c r="F100" s="16" t="n">
        <x:v>1</x:v>
      </x:c>
      <x:c r="G100" s="16" t="str">
        <x:v>1-3</x:v>
      </x:c>
      <x:c r="H100" s="16" t="str">
        <x:v>Occasional</x:v>
      </x:c>
      <x:c r="I100" s="16" t="str">
        <x:v>2025</x:v>
      </x:c>
      <x:c r="J100" s="18" t="n">
        <x:v>45737</x:v>
      </x:c>
      <x:c r="K100" s="18" t="n">
        <x:v>45737</x:v>
      </x:c>
      <x:c r="L100" s="16"/>
      <x:c r="M100" s="16"/>
      <x:c r="N100" s="16" t="str">
        <x:v>PLOT</x:v>
      </x:c>
      <x:c r="O100" s="16" t="str">
        <x:f>IF(F100&lt;=3,"1-3",IF(F100&lt;=6,"4-6","&gt;=7"))</x:f>
        <x:v>1-3</x:v>
      </x:c>
    </x:row>
    <x:row r="101">
      <x:c r="A101" s="16" t="str">
        <x:v>FLOC-0141</x:v>
      </x:c>
      <x:c r="B101" s="16" t="str">
        <x:v>Klinik Desa Plentong</x:v>
      </x:c>
      <x:c r="C101" s="16" t="str">
        <x:v>CRITICAL FACILITY</x:v>
      </x:c>
      <x:c r="D101" s="17" t="n">
        <x:v>103.82057</x:v>
      </x:c>
      <x:c r="E101" s="17" t="n">
        <x:v>1.5225</x:v>
      </x:c>
      <x:c r="F101" s="16" t="n">
        <x:v>1</x:v>
      </x:c>
      <x:c r="G101" s="16" t="str">
        <x:v>1-3</x:v>
      </x:c>
      <x:c r="H101" s="16" t="str">
        <x:v>Occasional</x:v>
      </x:c>
      <x:c r="I101" s="16" t="str">
        <x:v>2025</x:v>
      </x:c>
      <x:c r="J101" s="18" t="n">
        <x:v>45737</x:v>
      </x:c>
      <x:c r="K101" s="18" t="n">
        <x:v>45737</x:v>
      </x:c>
      <x:c r="L101" s="16"/>
      <x:c r="M101" s="16"/>
      <x:c r="N101" s="16" t="str">
        <x:v>PLOT</x:v>
      </x:c>
      <x:c r="O101" s="16" t="str">
        <x:f>IF(F101&lt;=3,"1-3",IF(F101&lt;=6,"4-6","&gt;=7"))</x:f>
        <x:v>1-3</x:v>
      </x:c>
    </x:row>
    <x:row r="102">
      <x:c r="A102" s="16" t="str">
        <x:v>FLOC-0142</x:v>
      </x:c>
      <x:c r="B102" s="16" t="str">
        <x:v>KSL City Mall</x:v>
      </x:c>
      <x:c r="C102" s="16" t="str">
        <x:v>FACILITY/POI</x:v>
      </x:c>
      <x:c r="D102" s="17" t="n">
        <x:v>103.76228</x:v>
      </x:c>
      <x:c r="E102" s="17" t="n">
        <x:v>1.48537</x:v>
      </x:c>
      <x:c r="F102" s="16" t="n">
        <x:v>1</x:v>
      </x:c>
      <x:c r="G102" s="16" t="str">
        <x:v>1-3</x:v>
      </x:c>
      <x:c r="H102" s="16" t="str">
        <x:v>Occasional</x:v>
      </x:c>
      <x:c r="I102" s="16" t="str">
        <x:v>2026</x:v>
      </x:c>
      <x:c r="J102" s="18" t="n">
        <x:v>46295</x:v>
      </x:c>
      <x:c r="K102" s="18" t="n">
        <x:v>46295</x:v>
      </x:c>
      <x:c r="L102" s="16"/>
      <x:c r="M102" s="16"/>
      <x:c r="N102" s="16" t="str">
        <x:v>PLOT</x:v>
      </x:c>
      <x:c r="O102" s="16" t="str">
        <x:f>IF(F102&lt;=3,"1-3",IF(F102&lt;=6,"4-6","&gt;=7"))</x:f>
        <x:v>1-3</x:v>
      </x:c>
    </x:row>
    <x:row r="103">
      <x:c r="A103" s="16" t="str">
        <x:v>FLOC-0144</x:v>
      </x:c>
      <x:c r="B103" s="16" t="str">
        <x:v>Larkin Perdana</x:v>
      </x:c>
      <x:c r="C103" s="16" t="str">
        <x:v>COMMUNITY/AREA</x:v>
      </x:c>
      <x:c r="D103" s="17" t="n">
        <x:v>103.74826</x:v>
      </x:c>
      <x:c r="E103" s="17" t="n">
        <x:v>1.50108</x:v>
      </x:c>
      <x:c r="F103" s="16" t="n">
        <x:v>1</x:v>
      </x:c>
      <x:c r="G103" s="16" t="str">
        <x:v>1-3</x:v>
      </x:c>
      <x:c r="H103" s="16" t="str">
        <x:v>Occasional</x:v>
      </x:c>
      <x:c r="I103" s="16" t="str">
        <x:v>2023</x:v>
      </x:c>
      <x:c r="J103" s="18" t="n">
        <x:v>44971</x:v>
      </x:c>
      <x:c r="K103" s="18" t="n">
        <x:v>44971</x:v>
      </x:c>
      <x:c r="L103" s="16"/>
      <x:c r="M103" s="16"/>
      <x:c r="N103" s="16" t="str">
        <x:v>PLOT</x:v>
      </x:c>
      <x:c r="O103" s="16" t="str">
        <x:f>IF(F103&lt;=3,"1-3",IF(F103&lt;=6,"4-6","&gt;=7"))</x:f>
        <x:v>1-3</x:v>
      </x:c>
    </x:row>
    <x:row r="104">
      <x:c r="A104" s="16" t="str">
        <x:v>FLOC-0145</x:v>
      </x:c>
      <x:c r="B104" s="16" t="str">
        <x:v>Lebuhraya Pasir Gudang</x:v>
      </x:c>
      <x:c r="C104" s="16" t="str">
        <x:v>ROAD</x:v>
      </x:c>
      <x:c r="D104" s="17" t="n">
        <x:v>103.7149533</x:v>
      </x:c>
      <x:c r="E104" s="17" t="n">
        <x:v>1.5118305</x:v>
      </x:c>
      <x:c r="F104" s="16" t="n">
        <x:v>1</x:v>
      </x:c>
      <x:c r="G104" s="16" t="str">
        <x:v>1-3</x:v>
      </x:c>
      <x:c r="H104" s="16" t="str">
        <x:v>Occasional</x:v>
      </x:c>
      <x:c r="I104" s="16" t="str">
        <x:v>2021</x:v>
      </x:c>
      <x:c r="J104" s="18" t="n">
        <x:v>44389</x:v>
      </x:c>
      <x:c r="K104" s="18" t="n">
        <x:v>44389</x:v>
      </x:c>
      <x:c r="L104" s="16"/>
      <x:c r="M104" s="16"/>
      <x:c r="N104" s="16" t="str">
        <x:v>PLOT</x:v>
      </x:c>
      <x:c r="O104" s="16" t="str">
        <x:f>IF(F104&lt;=3,"1-3",IF(F104&lt;=6,"4-6","&gt;=7"))</x:f>
        <x:v>1-3</x:v>
      </x:c>
    </x:row>
    <x:row r="105">
      <x:c r="A105" s="16" t="str">
        <x:v>FLOC-0148</x:v>
      </x:c>
      <x:c r="B105" s="16" t="str">
        <x:v>Lorong Aris / Kg. Batu 8 1/2, Skudai</x:v>
      </x:c>
      <x:c r="C105" s="16" t="str">
        <x:v>ROAD/SUBAREA</x:v>
      </x:c>
      <x:c r="D105" s="17" t="n">
        <x:v>103.67230887</x:v>
      </x:c>
      <x:c r="E105" s="17" t="n">
        <x:v>1.52340697</x:v>
      </x:c>
      <x:c r="F105" s="16" t="n">
        <x:v>2</x:v>
      </x:c>
      <x:c r="G105" s="16" t="str">
        <x:v>1-3</x:v>
      </x:c>
      <x:c r="H105" s="16" t="str">
        <x:v>Occasional</x:v>
      </x:c>
      <x:c r="I105" s="16" t="str">
        <x:v>2021</x:v>
      </x:c>
      <x:c r="J105" s="18" t="n">
        <x:v>44198</x:v>
      </x:c>
      <x:c r="K105" s="18" t="n">
        <x:v>44206</x:v>
      </x:c>
      <x:c r="L105" s="16"/>
      <x:c r="M105" s="16"/>
      <x:c r="N105" s="16" t="str">
        <x:v>PLOT</x:v>
      </x:c>
      <x:c r="O105" s="16" t="str">
        <x:f>IF(F105&lt;=3,"1-3",IF(F105&lt;=6,"4-6","&gt;=7"))</x:f>
        <x:v>1-3</x:v>
      </x:c>
    </x:row>
    <x:row r="106">
      <x:c r="A106" s="16" t="str">
        <x:v>FLOC-0150</x:v>
      </x:c>
      <x:c r="B106" s="16" t="str">
        <x:v>Majidee</x:v>
      </x:c>
      <x:c r="C106" s="16" t="str">
        <x:v>COMMUNITY/AREA</x:v>
      </x:c>
      <x:c r="D106" s="17" t="n">
        <x:v>103.7579076</x:v>
      </x:c>
      <x:c r="E106" s="17" t="n">
        <x:v>1.5145389</x:v>
      </x:c>
      <x:c r="F106" s="16" t="n">
        <x:v>1</x:v>
      </x:c>
      <x:c r="G106" s="16" t="str">
        <x:v>1-3</x:v>
      </x:c>
      <x:c r="H106" s="16" t="str">
        <x:v>Occasional</x:v>
      </x:c>
      <x:c r="I106" s="16" t="str">
        <x:v>2023</x:v>
      </x:c>
      <x:c r="J106" s="18" t="n">
        <x:v>45266</x:v>
      </x:c>
      <x:c r="K106" s="18" t="n">
        <x:v>45266</x:v>
      </x:c>
      <x:c r="L106" s="16"/>
      <x:c r="M106" s="16" t="str">
        <x:v>HF36</x:v>
      </x:c>
      <x:c r="N106" s="16" t="str">
        <x:v>PLOT</x:v>
      </x:c>
      <x:c r="O106" s="16" t="str">
        <x:f>IF(F106&lt;=3,"1-3",IF(F106&lt;=6,"4-6","&gt;=7"))</x:f>
        <x:v>1-3</x:v>
      </x:c>
    </x:row>
    <x:row r="107">
      <x:c r="A107" s="16" t="str">
        <x:v>FLOC-0151</x:v>
      </x:c>
      <x:c r="B107" s="16" t="str">
        <x:v>Maktab Sultan Abu Bakar / English College</x:v>
      </x:c>
      <x:c r="C107" s="16" t="str">
        <x:v>FACILITY/POI</x:v>
      </x:c>
      <x:c r="D107" s="17" t="n">
        <x:v>103.73922</x:v>
      </x:c>
      <x:c r="E107" s="17" t="n">
        <x:v>1.46358</x:v>
      </x:c>
      <x:c r="F107" s="16" t="n">
        <x:v>1</x:v>
      </x:c>
      <x:c r="G107" s="16" t="str">
        <x:v>1-3</x:v>
      </x:c>
      <x:c r="H107" s="16" t="str">
        <x:v>Occasional</x:v>
      </x:c>
      <x:c r="I107" s="16" t="str">
        <x:v>2026</x:v>
      </x:c>
      <x:c r="J107" s="18" t="n">
        <x:v>46295</x:v>
      </x:c>
      <x:c r="K107" s="18" t="n">
        <x:v>46295</x:v>
      </x:c>
      <x:c r="L107" s="16"/>
      <x:c r="M107" s="16"/>
      <x:c r="N107" s="16" t="str">
        <x:v>PLOT</x:v>
      </x:c>
      <x:c r="O107" s="16" t="str">
        <x:f>IF(F107&lt;=3,"1-3",IF(F107&lt;=6,"4-6","&gt;=7"))</x:f>
        <x:v>1-3</x:v>
      </x:c>
    </x:row>
    <x:row r="108">
      <x:c r="A108" s="16" t="str">
        <x:v>FLOC-0152</x:v>
      </x:c>
      <x:c r="B108" s="16" t="str">
        <x:v>Masjid Kg. Kangkar Tebrau</x:v>
      </x:c>
      <x:c r="C108" s="16" t="str">
        <x:v>CRITICAL FACILITY</x:v>
      </x:c>
      <x:c r="D108" s="17" t="n">
        <x:v>103.75623</x:v>
      </x:c>
      <x:c r="E108" s="17" t="n">
        <x:v>1.53382</x:v>
      </x:c>
      <x:c r="F108" s="16" t="n">
        <x:v>1</x:v>
      </x:c>
      <x:c r="G108" s="16" t="str">
        <x:v>1-3</x:v>
      </x:c>
      <x:c r="H108" s="16" t="str">
        <x:v>Occasional</x:v>
      </x:c>
      <x:c r="I108" s="16" t="str">
        <x:v>2025</x:v>
      </x:c>
      <x:c r="J108" s="18" t="n">
        <x:v>45668</x:v>
      </x:c>
      <x:c r="K108" s="18" t="n">
        <x:v>45668</x:v>
      </x:c>
      <x:c r="L108" s="16"/>
      <x:c r="M108" s="16"/>
      <x:c r="N108" s="16" t="str">
        <x:v>PLOT</x:v>
      </x:c>
      <x:c r="O108" s="16" t="str">
        <x:f>IF(F108&lt;=3,"1-3",IF(F108&lt;=6,"4-6","&gt;=7"))</x:f>
        <x:v>1-3</x:v>
      </x:c>
    </x:row>
    <x:row r="109">
      <x:c r="A109" s="16" t="str">
        <x:v>FLOC-0154</x:v>
      </x:c>
      <x:c r="B109" s="16" t="str">
        <x:v>Pandan</x:v>
      </x:c>
      <x:c r="C109" s="16" t="str">
        <x:v>AREA/RESIDENTIAL</x:v>
      </x:c>
      <x:c r="D109" s="17" t="n">
        <x:v>103.7639473</x:v>
      </x:c>
      <x:c r="E109" s="17" t="n">
        <x:v>1.52182970000001</x:v>
      </x:c>
      <x:c r="F109" s="16" t="n">
        <x:v>1</x:v>
      </x:c>
      <x:c r="G109" s="16" t="str">
        <x:v>1-3</x:v>
      </x:c>
      <x:c r="H109" s="16" t="str">
        <x:v>Occasional</x:v>
      </x:c>
      <x:c r="I109" s="16" t="str">
        <x:v>2025</x:v>
      </x:c>
      <x:c r="J109" s="18" t="n">
        <x:v>45736</x:v>
      </x:c>
      <x:c r="K109" s="18" t="n">
        <x:v>45736</x:v>
      </x:c>
      <x:c r="L109" s="16"/>
      <x:c r="M109" s="16" t="str">
        <x:v>HF43</x:v>
      </x:c>
      <x:c r="N109" s="16" t="str">
        <x:v>PLOT</x:v>
      </x:c>
      <x:c r="O109" s="16" t="str">
        <x:f>IF(F109&lt;=3,"1-3",IF(F109&lt;=6,"4-6","&gt;=7"))</x:f>
        <x:v>1-3</x:v>
      </x:c>
    </x:row>
    <x:row r="110">
      <x:c r="A110" s="16" t="str">
        <x:v>FLOC-0155</x:v>
      </x:c>
      <x:c r="B110" s="16" t="str">
        <x:v>Perling / Taman Perling</x:v>
      </x:c>
      <x:c r="C110" s="16" t="str">
        <x:v>AREA/RESIDENTIAL</x:v>
      </x:c>
      <x:c r="D110" s="17" t="n">
        <x:v>103.683194</x:v>
      </x:c>
      <x:c r="E110" s="17" t="n">
        <x:v>1.487722</x:v>
      </x:c>
      <x:c r="F110" s="16" t="n">
        <x:v>1</x:v>
      </x:c>
      <x:c r="G110" s="16" t="str">
        <x:v>1-3</x:v>
      </x:c>
      <x:c r="H110" s="16" t="str">
        <x:v>Occasional</x:v>
      </x:c>
      <x:c r="I110" s="16" t="str">
        <x:v>2025</x:v>
      </x:c>
      <x:c r="J110" s="18" t="n">
        <x:v>45736</x:v>
      </x:c>
      <x:c r="K110" s="18" t="n">
        <x:v>45736</x:v>
      </x:c>
      <x:c r="L110" s="16"/>
      <x:c r="M110" s="16"/>
      <x:c r="N110" s="16" t="str">
        <x:v>PLOT</x:v>
      </x:c>
      <x:c r="O110" s="16" t="str">
        <x:f>IF(F110&lt;=3,"1-3",IF(F110&lt;=6,"4-6","&gt;=7"))</x:f>
        <x:v>1-3</x:v>
      </x:c>
    </x:row>
    <x:row r="111">
      <x:c r="A111" s="16" t="str">
        <x:v>FLOC-0156</x:v>
      </x:c>
      <x:c r="B111" s="16" t="str">
        <x:v>Persiaran Abu Bakar Sultan</x:v>
      </x:c>
      <x:c r="C111" s="16" t="str">
        <x:v>ROAD</x:v>
      </x:c>
      <x:c r="D111" s="17" t="n">
        <x:v>103.7190029</x:v>
      </x:c>
      <x:c r="E111" s="17" t="n">
        <x:v>1.4843025</x:v>
      </x:c>
      <x:c r="F111" s="16" t="n">
        <x:v>1</x:v>
      </x:c>
      <x:c r="G111" s="16" t="str">
        <x:v>1-3</x:v>
      </x:c>
      <x:c r="H111" s="16" t="str">
        <x:v>Occasional</x:v>
      </x:c>
      <x:c r="I111" s="16" t="str">
        <x:v>2022</x:v>
      </x:c>
      <x:c r="J111" s="18" t="n">
        <x:v>44775</x:v>
      </x:c>
      <x:c r="K111" s="18" t="n">
        <x:v>44775</x:v>
      </x:c>
      <x:c r="L111" s="16"/>
      <x:c r="M111" s="16" t="str">
        <x:v>HF33</x:v>
      </x:c>
      <x:c r="N111" s="16" t="str">
        <x:v>PLOT</x:v>
      </x:c>
      <x:c r="O111" s="16" t="str">
        <x:f>IF(F111&lt;=3,"1-3",IF(F111&lt;=6,"4-6","&gt;=7"))</x:f>
        <x:v>1-3</x:v>
      </x:c>
    </x:row>
    <x:row r="112">
      <x:c r="A112" s="16" t="str">
        <x:v>FLOC-0157</x:v>
      </x:c>
      <x:c r="B112" s="16" t="str">
        <x:v>Puteri Harbour Iskandar Puteri</x:v>
      </x:c>
      <x:c r="C112" s="16" t="str">
        <x:v>AREA</x:v>
      </x:c>
      <x:c r="D112" s="17" t="n">
        <x:v>103.66077</x:v>
      </x:c>
      <x:c r="E112" s="17" t="n">
        <x:v>1.41407400000001</x:v>
      </x:c>
      <x:c r="F112" s="16" t="n">
        <x:v>1</x:v>
      </x:c>
      <x:c r="G112" s="16" t="str">
        <x:v>1-3</x:v>
      </x:c>
      <x:c r="H112" s="16" t="str">
        <x:v>Occasional</x:v>
      </x:c>
      <x:c r="I112" s="16" t="str">
        <x:v>2022</x:v>
      </x:c>
      <x:c r="J112" s="18" t="n">
        <x:v>44809</x:v>
      </x:c>
      <x:c r="K112" s="18" t="n">
        <x:v>44809</x:v>
      </x:c>
      <x:c r="L112" s="16"/>
      <x:c r="M112" s="16" t="str">
        <x:v>HF39</x:v>
      </x:c>
      <x:c r="N112" s="16" t="str">
        <x:v>PLOT</x:v>
      </x:c>
      <x:c r="O112" s="16" t="str">
        <x:f>IF(F112&lt;=3,"1-3",IF(F112&lt;=6,"4-6","&gt;=7"))</x:f>
        <x:v>1-3</x:v>
      </x:c>
    </x:row>
    <x:row r="113">
      <x:c r="A113" s="16" t="str">
        <x:v>FLOC-0161</x:v>
      </x:c>
      <x:c r="B113" s="16" t="str">
        <x:v>Sekolah Agama Bandar Johor Bahru</x:v>
      </x:c>
      <x:c r="C113" s="16" t="str">
        <x:v>FACILITY/POI</x:v>
      </x:c>
      <x:c r="D113" s="17" t="n">
        <x:v>103.75113</x:v>
      </x:c>
      <x:c r="E113" s="17" t="n">
        <x:v>1.46787</x:v>
      </x:c>
      <x:c r="F113" s="16" t="n">
        <x:v>1</x:v>
      </x:c>
      <x:c r="G113" s="16" t="str">
        <x:v>1-3</x:v>
      </x:c>
      <x:c r="H113" s="16" t="str">
        <x:v>Occasional</x:v>
      </x:c>
      <x:c r="I113" s="16" t="str">
        <x:v>2026</x:v>
      </x:c>
      <x:c r="J113" s="18" t="n">
        <x:v>46295</x:v>
      </x:c>
      <x:c r="K113" s="18" t="n">
        <x:v>46295</x:v>
      </x:c>
      <x:c r="L113" s="16"/>
      <x:c r="M113" s="16"/>
      <x:c r="N113" s="16" t="str">
        <x:v>PLOT</x:v>
      </x:c>
      <x:c r="O113" s="16" t="str">
        <x:f>IF(F113&lt;=3,"1-3",IF(F113&lt;=6,"4-6","&gt;=7"))</x:f>
        <x:v>1-3</x:v>
      </x:c>
    </x:row>
    <x:row r="114">
      <x:c r="A114" s="16" t="str">
        <x:v>FLOC-0162</x:v>
      </x:c>
      <x:c r="B114" s="16" t="str">
        <x:v>Sekolah Kebangsaan Kangkar Tebrau</x:v>
      </x:c>
      <x:c r="C114" s="16" t="str">
        <x:v>CRITICAL FACILITY</x:v>
      </x:c>
      <x:c r="D114" s="17" t="n">
        <x:v>103.7555</x:v>
      </x:c>
      <x:c r="E114" s="17" t="n">
        <x:v>1.53241</x:v>
      </x:c>
      <x:c r="F114" s="16" t="n">
        <x:v>2</x:v>
      </x:c>
      <x:c r="G114" s="16" t="str">
        <x:v>1-3</x:v>
      </x:c>
      <x:c r="H114" s="16" t="str">
        <x:v>Occasional</x:v>
      </x:c>
      <x:c r="I114" s="16" t="str">
        <x:v>2025</x:v>
      </x:c>
      <x:c r="J114" s="18" t="n">
        <x:v>45668</x:v>
      </x:c>
      <x:c r="K114" s="18" t="n">
        <x:v>45736</x:v>
      </x:c>
      <x:c r="L114" s="16"/>
      <x:c r="M114" s="16"/>
      <x:c r="N114" s="16" t="str">
        <x:v>PLOT</x:v>
      </x:c>
      <x:c r="O114" s="16" t="str">
        <x:f>IF(F114&lt;=3,"1-3",IF(F114&lt;=6,"4-6","&gt;=7"))</x:f>
        <x:v>1-3</x:v>
      </x:c>
    </x:row>
    <x:row r="115">
      <x:c r="A115" s="16" t="str">
        <x:v>FLOC-0165</x:v>
      </x:c>
      <x:c r="B115" s="16" t="str">
        <x:v>SK Bukit Mutiara</x:v>
      </x:c>
      <x:c r="C115" s="16" t="str">
        <x:v>CRITICAL FACILITY</x:v>
      </x:c>
      <x:c r="D115" s="17" t="n">
        <x:v>103.741375207901</x:v>
      </x:c>
      <x:c r="E115" s="17" t="n">
        <x:v>1.54085596501295</x:v>
      </x:c>
      <x:c r="F115" s="16" t="n">
        <x:v>1</x:v>
      </x:c>
      <x:c r="G115" s="16" t="str">
        <x:v>1-3</x:v>
      </x:c>
      <x:c r="H115" s="16" t="str">
        <x:v>Occasional</x:v>
      </x:c>
      <x:c r="I115" s="16" t="str">
        <x:v>2024</x:v>
      </x:c>
      <x:c r="J115" s="18" t="n">
        <x:v>45298</x:v>
      </x:c>
      <x:c r="K115" s="18" t="n">
        <x:v>45298</x:v>
      </x:c>
      <x:c r="L115" s="16"/>
      <x:c r="M115" s="16"/>
      <x:c r="N115" s="16" t="str">
        <x:v>PLOT</x:v>
      </x:c>
      <x:c r="O115" s="16" t="str">
        <x:f>IF(F115&lt;=3,"1-3",IF(F115&lt;=6,"4-6","&gt;=7"))</x:f>
        <x:v>1-3</x:v>
      </x:c>
    </x:row>
    <x:row r="116">
      <x:c r="A116" s="16" t="str">
        <x:v>FLOC-0166</x:v>
      </x:c>
      <x:c r="B116" s="16" t="str">
        <x:v>SK Kampung Maju Jaya</x:v>
      </x:c>
      <x:c r="C116" s="16" t="str">
        <x:v>CRITICAL FACILITY</x:v>
      </x:c>
      <x:c r="D116" s="17" t="n">
        <x:v>103.718275204555</x:v>
      </x:c>
      <x:c r="E116" s="17" t="n">
        <x:v>1.5804887</x:v>
      </x:c>
      <x:c r="F116" s="16" t="n">
        <x:v>2</x:v>
      </x:c>
      <x:c r="G116" s="16" t="str">
        <x:v>1-3</x:v>
      </x:c>
      <x:c r="H116" s="16" t="str">
        <x:v>Occasional</x:v>
      </x:c>
      <x:c r="I116" s="16" t="str">
        <x:v>2024;2025</x:v>
      </x:c>
      <x:c r="J116" s="18" t="n">
        <x:v>45298</x:v>
      </x:c>
      <x:c r="K116" s="18" t="n">
        <x:v>45736</x:v>
      </x:c>
      <x:c r="L116" s="16"/>
      <x:c r="M116" s="16" t="str">
        <x:v>HF44</x:v>
      </x:c>
      <x:c r="N116" s="16" t="str">
        <x:v>PLOT</x:v>
      </x:c>
      <x:c r="O116" s="16" t="str">
        <x:f>IF(F116&lt;=3,"1-3",IF(F116&lt;=6,"4-6","&gt;=7"))</x:f>
        <x:v>1-3</x:v>
      </x:c>
    </x:row>
    <x:row r="117">
      <x:c r="A117" s="16" t="str">
        <x:v>FLOC-0167</x:v>
      </x:c>
      <x:c r="B117" s="16" t="str">
        <x:v>SK Sungai Tiram</x:v>
      </x:c>
      <x:c r="C117" s="16" t="str">
        <x:v>CRITICAL FACILITY</x:v>
      </x:c>
      <x:c r="D117" s="17" t="n">
        <x:v>103.879771828651</x:v>
      </x:c>
      <x:c r="E117" s="17" t="n">
        <x:v>1.58516029538754</x:v>
      </x:c>
      <x:c r="F117" s="16" t="n">
        <x:v>1</x:v>
      </x:c>
      <x:c r="G117" s="16" t="str">
        <x:v>1-3</x:v>
      </x:c>
      <x:c r="H117" s="16" t="str">
        <x:v>Occasional</x:v>
      </x:c>
      <x:c r="I117" s="16" t="str">
        <x:v>2024</x:v>
      </x:c>
      <x:c r="J117" s="18" t="n">
        <x:v>45298</x:v>
      </x:c>
      <x:c r="K117" s="18" t="n">
        <x:v>45298</x:v>
      </x:c>
      <x:c r="L117" s="16"/>
      <x:c r="M117" s="16"/>
      <x:c r="N117" s="16" t="str">
        <x:v>PLOT</x:v>
      </x:c>
      <x:c r="O117" s="16" t="str">
        <x:f>IF(F117&lt;=3,"1-3",IF(F117&lt;=6,"4-6","&gt;=7"))</x:f>
        <x:v>1-3</x:v>
      </x:c>
    </x:row>
    <x:row r="118">
      <x:c r="A118" s="16" t="str">
        <x:v>FLOC-0168</x:v>
      </x:c>
      <x:c r="B118" s="16" t="str">
        <x:v>SK Taman Tampoi Utama</x:v>
      </x:c>
      <x:c r="C118" s="16" t="str">
        <x:v>CRITICAL FACILITY</x:v>
      </x:c>
      <x:c r="D118" s="17" t="n">
        <x:v>103.680172562599</x:v>
      </x:c>
      <x:c r="E118" s="17" t="n">
        <x:v>1.51604363425928</x:v>
      </x:c>
      <x:c r="F118" s="16" t="n">
        <x:v>1</x:v>
      </x:c>
      <x:c r="G118" s="16" t="str">
        <x:v>1-3</x:v>
      </x:c>
      <x:c r="H118" s="16" t="str">
        <x:v>Occasional</x:v>
      </x:c>
      <x:c r="I118" s="16" t="str">
        <x:v>2025</x:v>
      </x:c>
      <x:c r="J118" s="18" t="n">
        <x:v>45736</x:v>
      </x:c>
      <x:c r="K118" s="18" t="n">
        <x:v>45736</x:v>
      </x:c>
      <x:c r="L118" s="16"/>
      <x:c r="M118" s="16"/>
      <x:c r="N118" s="16" t="str">
        <x:v>PLOT</x:v>
      </x:c>
      <x:c r="O118" s="16" t="str">
        <x:f>IF(F118&lt;=3,"1-3",IF(F118&lt;=6,"4-6","&gt;=7"))</x:f>
        <x:v>1-3</x:v>
      </x:c>
    </x:row>
    <x:row r="119">
      <x:c r="A119" s="16" t="str">
        <x:v>FLOC-0169</x:v>
      </x:c>
      <x:c r="B119" s="16" t="str">
        <x:v>Sungai Tiram PPS catchment</x:v>
      </x:c>
      <x:c r="C119" s="16" t="str">
        <x:v>AREA/COMMUNITY</x:v>
      </x:c>
      <x:c r="D119" s="17" t="n">
        <x:v>103.8806315</x:v>
      </x:c>
      <x:c r="E119" s="17" t="n">
        <x:v>1.5843974</x:v>
      </x:c>
      <x:c r="F119" s="16" t="n">
        <x:v>1</x:v>
      </x:c>
      <x:c r="G119" s="16" t="str">
        <x:v>1-3</x:v>
      </x:c>
      <x:c r="H119" s="16" t="str">
        <x:v>Occasional</x:v>
      </x:c>
      <x:c r="I119" s="16" t="str">
        <x:v>2022</x:v>
      </x:c>
      <x:c r="J119" s="18" t="n">
        <x:v>44564</x:v>
      </x:c>
      <x:c r="K119" s="18" t="n">
        <x:v>44564</x:v>
      </x:c>
      <x:c r="L119" s="16"/>
      <x:c r="M119" s="16"/>
      <x:c r="N119" s="16" t="str">
        <x:v>PLOT</x:v>
      </x:c>
      <x:c r="O119" s="16" t="str">
        <x:f>IF(F119&lt;=3,"1-3",IF(F119&lt;=6,"4-6","&gt;=7"))</x:f>
        <x:v>1-3</x:v>
      </x:c>
    </x:row>
    <x:row r="120">
      <x:c r="A120" s="16" t="str">
        <x:v>FLOC-0172</x:v>
      </x:c>
      <x:c r="B120" s="16" t="str">
        <x:v>Taman Abad</x:v>
      </x:c>
      <x:c r="C120" s="16" t="str">
        <x:v>COMMUNITY/AREA</x:v>
      </x:c>
      <x:c r="D120" s="17" t="n">
        <x:v>103.7595973</x:v>
      </x:c>
      <x:c r="E120" s="17" t="n">
        <x:v>1.482543</x:v>
      </x:c>
      <x:c r="F120" s="16" t="n">
        <x:v>1</x:v>
      </x:c>
      <x:c r="G120" s="16" t="str">
        <x:v>1-3</x:v>
      </x:c>
      <x:c r="H120" s="16" t="str">
        <x:v>Occasional</x:v>
      </x:c>
      <x:c r="I120" s="16" t="str">
        <x:v>2023</x:v>
      </x:c>
      <x:c r="J120" s="18" t="n">
        <x:v>45266</x:v>
      </x:c>
      <x:c r="K120" s="18" t="n">
        <x:v>45266</x:v>
      </x:c>
      <x:c r="L120" s="16"/>
      <x:c r="M120" s="16"/>
      <x:c r="N120" s="16" t="str">
        <x:v>PLOT</x:v>
      </x:c>
      <x:c r="O120" s="16" t="str">
        <x:f>IF(F120&lt;=3,"1-3",IF(F120&lt;=6,"4-6","&gt;=7"))</x:f>
        <x:v>1-3</x:v>
      </x:c>
    </x:row>
    <x:row r="121">
      <x:c r="A121" s="16" t="str">
        <x:v>FLOC-0173</x:v>
      </x:c>
      <x:c r="B121" s="16" t="str">
        <x:v>Taman Bunga Ros</x:v>
      </x:c>
      <x:c r="C121" s="16" t="str">
        <x:v>COMMUNITY/AREA</x:v>
      </x:c>
      <x:c r="D121" s="17" t="n">
        <x:v>103.8206509</x:v>
      </x:c>
      <x:c r="E121" s="17" t="n">
        <x:v>1.5212749</x:v>
      </x:c>
      <x:c r="F121" s="16" t="n">
        <x:v>1</x:v>
      </x:c>
      <x:c r="G121" s="16" t="str">
        <x:v>1-3</x:v>
      </x:c>
      <x:c r="H121" s="16" t="str">
        <x:v>Occasional</x:v>
      </x:c>
      <x:c r="I121" s="16" t="str">
        <x:v>2023</x:v>
      </x:c>
      <x:c r="J121" s="18" t="n">
        <x:v>45261</x:v>
      </x:c>
      <x:c r="K121" s="18" t="n">
        <x:v>45261</x:v>
      </x:c>
      <x:c r="L121" s="16"/>
      <x:c r="M121" s="16" t="str">
        <x:v>HF37</x:v>
      </x:c>
      <x:c r="N121" s="16" t="str">
        <x:v>PLOT</x:v>
      </x:c>
      <x:c r="O121" s="16" t="str">
        <x:f>IF(F121&lt;=3,"1-3",IF(F121&lt;=6,"4-6","&gt;=7"))</x:f>
        <x:v>1-3</x:v>
      </x:c>
    </x:row>
    <x:row r="122">
      <x:c r="A122" s="16" t="str">
        <x:v>FLOC-0174</x:v>
      </x:c>
      <x:c r="B122" s="16" t="str">
        <x:v>Taman Damai Jaya</x:v>
      </x:c>
      <x:c r="C122" s="16" t="str">
        <x:v>Neighborhood; Residential neighbourhood</x:v>
      </x:c>
      <x:c r="D122" s="17" t="n">
        <x:v>103.64612</x:v>
      </x:c>
      <x:c r="E122" s="17" t="n">
        <x:v>1.5035</x:v>
      </x:c>
      <x:c r="F122" s="16" t="n">
        <x:v>2</x:v>
      </x:c>
      <x:c r="G122" s="16" t="str">
        <x:v>1-3</x:v>
      </x:c>
      <x:c r="H122" s="16" t="str">
        <x:v>Occasional</x:v>
      </x:c>
      <x:c r="I122" s="16" t="str">
        <x:v>2018;2020</x:v>
      </x:c>
      <x:c r="J122" s="18" t="n">
        <x:v>43395</x:v>
      </x:c>
      <x:c r="K122" s="18" t="n">
        <x:v>44017</x:v>
      </x:c>
      <x:c r="L122" s="16" t="str">
        <x:v>PG2018-TAMAN-DAMAI-JAYA</x:v>
      </x:c>
      <x:c r="M122" s="16"/>
      <x:c r="N122" s="16" t="str">
        <x:v>PLOT</x:v>
      </x:c>
      <x:c r="O122" s="16" t="str">
        <x:f>IF(F122&lt;=3,"1-3",IF(F122&lt;=6,"4-6","&gt;=7"))</x:f>
        <x:v>1-3</x:v>
      </x:c>
    </x:row>
    <x:row r="123">
      <x:c r="A123" s="16" t="str">
        <x:v>FLOC-0175</x:v>
      </x:c>
      <x:c r="B123" s="16" t="str">
        <x:v>Taman Dato Syed Mohammad Idrus</x:v>
      </x:c>
      <x:c r="C123" s="16" t="str">
        <x:v>Locality / residential area</x:v>
      </x:c>
      <x:c r="D123" s="17" t="n">
        <x:v>103.5923</x:v>
      </x:c>
      <x:c r="E123" s="17" t="n">
        <x:v>1.4417</x:v>
      </x:c>
      <x:c r="F123" s="16" t="n">
        <x:v>1</x:v>
      </x:c>
      <x:c r="G123" s="16" t="str">
        <x:v>1-3</x:v>
      </x:c>
      <x:c r="H123" s="16" t="str">
        <x:v>Occasional</x:v>
      </x:c>
      <x:c r="I123" s="16" t="str">
        <x:v>2020</x:v>
      </x:c>
      <x:c r="J123" s="18" t="n">
        <x:v>44002</x:v>
      </x:c>
      <x:c r="K123" s="18" t="n">
        <x:v>44002</x:v>
      </x:c>
      <x:c r="L123" s="16"/>
      <x:c r="M123" s="16"/>
      <x:c r="N123" s="16" t="str">
        <x:v>PLOT</x:v>
      </x:c>
      <x:c r="O123" s="16" t="str">
        <x:f>IF(F123&lt;=3,"1-3",IF(F123&lt;=6,"4-6","&gt;=7"))</x:f>
        <x:v>1-3</x:v>
      </x:c>
    </x:row>
    <x:row r="124">
      <x:c r="A124" s="16" t="str">
        <x:v>FLOC-0177</x:v>
      </x:c>
      <x:c r="B124" s="16" t="str">
        <x:v>Taman Desa Mutiara</x:v>
      </x:c>
      <x:c r="C124" s="16" t="str">
        <x:v>AREA/RESIDENTIAL</x:v>
      </x:c>
      <x:c r="D124" s="17" t="n">
        <x:v>103.747256167436</x:v>
      </x:c>
      <x:c r="E124" s="17" t="n">
        <x:v>1.5406298</x:v>
      </x:c>
      <x:c r="F124" s="16" t="n">
        <x:v>1</x:v>
      </x:c>
      <x:c r="G124" s="16" t="str">
        <x:v>1-3</x:v>
      </x:c>
      <x:c r="H124" s="16" t="str">
        <x:v>Occasional</x:v>
      </x:c>
      <x:c r="I124" s="16" t="str">
        <x:v>2025</x:v>
      </x:c>
      <x:c r="J124" s="18" t="n">
        <x:v>45736</x:v>
      </x:c>
      <x:c r="K124" s="18" t="n">
        <x:v>45736</x:v>
      </x:c>
      <x:c r="L124" s="16"/>
      <x:c r="M124" s="16" t="str">
        <x:v>HF45</x:v>
      </x:c>
      <x:c r="N124" s="16" t="str">
        <x:v>PLOT</x:v>
      </x:c>
      <x:c r="O124" s="16" t="str">
        <x:f>IF(F124&lt;=3,"1-3",IF(F124&lt;=6,"4-6","&gt;=7"))</x:f>
        <x:v>1-3</x:v>
      </x:c>
    </x:row>
    <x:row r="125">
      <x:c r="A125" s="16" t="str">
        <x:v>FLOC-0178</x:v>
      </x:c>
      <x:c r="B125" s="16" t="str">
        <x:v>Taman Istimewa</x:v>
      </x:c>
      <x:c r="C125" s="16" t="str">
        <x:v>Neighborhood</x:v>
      </x:c>
      <x:c r="D125" s="17" t="n">
        <x:v>103.7698568</x:v>
      </x:c>
      <x:c r="E125" s="17" t="n">
        <x:v>1.5305637</x:v>
      </x:c>
      <x:c r="F125" s="16" t="n">
        <x:v>1</x:v>
      </x:c>
      <x:c r="G125" s="16" t="str">
        <x:v>1-3</x:v>
      </x:c>
      <x:c r="H125" s="16" t="str">
        <x:v>Occasional</x:v>
      </x:c>
      <x:c r="I125" s="16" t="str">
        <x:v>2019</x:v>
      </x:c>
      <x:c r="J125" s="18" t="n">
        <x:v>43513</x:v>
      </x:c>
      <x:c r="K125" s="18" t="n">
        <x:v>43513</x:v>
      </x:c>
      <x:c r="L125" s="16"/>
      <x:c r="M125" s="16" t="str">
        <x:v>HF19</x:v>
      </x:c>
      <x:c r="N125" s="16" t="str">
        <x:v>PLOT</x:v>
      </x:c>
      <x:c r="O125" s="16" t="str">
        <x:f>IF(F125&lt;=3,"1-3",IF(F125&lt;=6,"4-6","&gt;=7"))</x:f>
        <x:v>1-3</x:v>
      </x:c>
    </x:row>
    <x:row r="126">
      <x:c r="A126" s="16" t="str">
        <x:v>FLOC-0179</x:v>
      </x:c>
      <x:c r="B126" s="16" t="str">
        <x:v>Taman Johor Jaya</x:v>
      </x:c>
      <x:c r="C126" s="16" t="str">
        <x:v>RESIDENTIAL</x:v>
      </x:c>
      <x:c r="D126" s="17" t="n">
        <x:v>103.8024</x:v>
      </x:c>
      <x:c r="E126" s="17" t="n">
        <x:v>1.5428</x:v>
      </x:c>
      <x:c r="F126" s="16" t="n">
        <x:v>1</x:v>
      </x:c>
      <x:c r="G126" s="16" t="str">
        <x:v>1-3</x:v>
      </x:c>
      <x:c r="H126" s="16" t="str">
        <x:v>Occasional</x:v>
      </x:c>
      <x:c r="I126" s="16" t="str">
        <x:v>2021</x:v>
      </x:c>
      <x:c r="J126" s="18" t="n">
        <x:v>44469</x:v>
      </x:c>
      <x:c r="K126" s="18" t="n">
        <x:v>44469</x:v>
      </x:c>
      <x:c r="L126" s="16"/>
      <x:c r="M126" s="16"/>
      <x:c r="N126" s="16" t="str">
        <x:v>PLOT</x:v>
      </x:c>
      <x:c r="O126" s="16" t="str">
        <x:f>IF(F126&lt;=3,"1-3",IF(F126&lt;=6,"4-6","&gt;=7"))</x:f>
        <x:v>1-3</x:v>
      </x:c>
    </x:row>
    <x:row r="127">
      <x:c r="A127" s="16" t="str">
        <x:v>FLOC-0180</x:v>
      </x:c>
      <x:c r="B127" s="16" t="str">
        <x:v>Taman Kolam Air</x:v>
      </x:c>
      <x:c r="C127" s="16" t="str">
        <x:v>AREA; AREA/RESIDENTIAL</x:v>
      </x:c>
      <x:c r="D127" s="17" t="n">
        <x:v>103.736444</x:v>
      </x:c>
      <x:c r="E127" s="17" t="n">
        <x:v>1.473837</x:v>
      </x:c>
      <x:c r="F127" s="16" t="n">
        <x:v>2</x:v>
      </x:c>
      <x:c r="G127" s="16" t="str">
        <x:v>1-3</x:v>
      </x:c>
      <x:c r="H127" s="16" t="str">
        <x:v>Occasional</x:v>
      </x:c>
      <x:c r="I127" s="16" t="str">
        <x:v>2021;2026</x:v>
      </x:c>
      <x:c r="J127" s="18" t="n">
        <x:v>44469</x:v>
      </x:c>
      <x:c r="K127" s="18" t="n">
        <x:v>46295</x:v>
      </x:c>
      <x:c r="L127" s="16"/>
      <x:c r="M127" s="16"/>
      <x:c r="N127" s="16" t="str">
        <x:v>PLOT</x:v>
      </x:c>
      <x:c r="O127" s="16" t="str">
        <x:f>IF(F127&lt;=3,"1-3",IF(F127&lt;=6,"4-6","&gt;=7"))</x:f>
        <x:v>1-3</x:v>
      </x:c>
    </x:row>
    <x:row r="128">
      <x:c r="A128" s="16" t="str">
        <x:v>FLOC-0181</x:v>
      </x:c>
      <x:c r="B128" s="16" t="str">
        <x:v>Taman Mawar</x:v>
      </x:c>
      <x:c r="C128" s="16" t="str">
        <x:v>RESIDENTIAL</x:v>
      </x:c>
      <x:c r="D128" s="17" t="n">
        <x:v>103.8948094913</x:v>
      </x:c>
      <x:c r="E128" s="17" t="n">
        <x:v>1.4696218674</x:v>
      </x:c>
      <x:c r="F128" s="16" t="n">
        <x:v>1</x:v>
      </x:c>
      <x:c r="G128" s="16" t="str">
        <x:v>1-3</x:v>
      </x:c>
      <x:c r="H128" s="16" t="str">
        <x:v>Occasional</x:v>
      </x:c>
      <x:c r="I128" s="16" t="str">
        <x:v>2021</x:v>
      </x:c>
      <x:c r="J128" s="18" t="n">
        <x:v>44389</x:v>
      </x:c>
      <x:c r="K128" s="18" t="n">
        <x:v>44389</x:v>
      </x:c>
      <x:c r="L128" s="16" t="str">
        <x:v>PG2021-TAMAN-MAWAR</x:v>
      </x:c>
      <x:c r="M128" s="16"/>
      <x:c r="N128" s="16" t="str">
        <x:v>PLOT</x:v>
      </x:c>
      <x:c r="O128" s="16" t="str">
        <x:f>IF(F128&lt;=3,"1-3",IF(F128&lt;=6,"4-6","&gt;=7"))</x:f>
        <x:v>1-3</x:v>
      </x:c>
    </x:row>
    <x:row r="129">
      <x:c r="A129" s="16" t="str">
        <x:v>FLOC-0182</x:v>
      </x:c>
      <x:c r="B129" s="16" t="str">
        <x:v>Taman Melodies</x:v>
      </x:c>
      <x:c r="C129" s="16" t="str">
        <x:v>COMMUNITY/AREA; RESIDENTIAL</x:v>
      </x:c>
      <x:c r="D129" s="17" t="n">
        <x:v>103.7613894</x:v>
      </x:c>
      <x:c r="E129" s="17" t="n">
        <x:v>1.49019649999999</x:v>
      </x:c>
      <x:c r="F129" s="16" t="n">
        <x:v>2</x:v>
      </x:c>
      <x:c r="G129" s="16" t="str">
        <x:v>1-3</x:v>
      </x:c>
      <x:c r="H129" s="16" t="str">
        <x:v>Occasional</x:v>
      </x:c>
      <x:c r="I129" s="16" t="str">
        <x:v>2022;2023</x:v>
      </x:c>
      <x:c r="J129" s="18" t="n">
        <x:v>44872</x:v>
      </x:c>
      <x:c r="K129" s="18" t="n">
        <x:v>45266</x:v>
      </x:c>
      <x:c r="L129" s="16"/>
      <x:c r="M129" s="16" t="str">
        <x:v>HF34</x:v>
      </x:c>
      <x:c r="N129" s="16" t="str">
        <x:v>PLOT</x:v>
      </x:c>
      <x:c r="O129" s="16" t="str">
        <x:f>IF(F129&lt;=3,"1-3",IF(F129&lt;=6,"4-6","&gt;=7"))</x:f>
        <x:v>1-3</x:v>
      </x:c>
    </x:row>
    <x:row r="130">
      <x:c r="A130" s="16" t="str">
        <x:v>FLOC-0183</x:v>
      </x:c>
      <x:c r="B130" s="16" t="str">
        <x:v>Taman Nong Chik</x:v>
      </x:c>
      <x:c r="C130" s="16" t="str">
        <x:v>AREA/RESIDENTIAL; COMMUNITY/AREA</x:v>
      </x:c>
      <x:c r="D130" s="17" t="n">
        <x:v>103.7395647</x:v>
      </x:c>
      <x:c r="E130" s="17" t="n">
        <x:v>1.47655640000002</x:v>
      </x:c>
      <x:c r="F130" s="16" t="n">
        <x:v>2</x:v>
      </x:c>
      <x:c r="G130" s="16" t="str">
        <x:v>1-3</x:v>
      </x:c>
      <x:c r="H130" s="16" t="str">
        <x:v>Occasional</x:v>
      </x:c>
      <x:c r="I130" s="16" t="str">
        <x:v>2023;2025</x:v>
      </x:c>
      <x:c r="J130" s="18" t="n">
        <x:v>45266</x:v>
      </x:c>
      <x:c r="K130" s="18" t="n">
        <x:v>46003</x:v>
      </x:c>
      <x:c r="L130" s="16"/>
      <x:c r="M130" s="16" t="str">
        <x:v>HF35</x:v>
      </x:c>
      <x:c r="N130" s="16" t="str">
        <x:v>PLOT</x:v>
      </x:c>
      <x:c r="O130" s="16" t="str">
        <x:f>IF(F130&lt;=3,"1-3",IF(F130&lt;=6,"4-6","&gt;=7"))</x:f>
        <x:v>1-3</x:v>
      </x:c>
    </x:row>
    <x:row r="131">
      <x:c r="A131" s="16" t="str">
        <x:v>FLOC-0184</x:v>
      </x:c>
      <x:c r="B131" s="16" t="str">
        <x:v>Taman Nusa Bayu</x:v>
      </x:c>
      <x:c r="C131" s="16" t="str">
        <x:v>Residential neighborhood</x:v>
      </x:c>
      <x:c r="D131" s="17" t="n">
        <x:v>103.60088</x:v>
      </x:c>
      <x:c r="E131" s="17" t="n">
        <x:v>1.48009</x:v>
      </x:c>
      <x:c r="F131" s="16" t="n">
        <x:v>1</x:v>
      </x:c>
      <x:c r="G131" s="16" t="str">
        <x:v>1-3</x:v>
      </x:c>
      <x:c r="H131" s="16" t="str">
        <x:v>Occasional</x:v>
      </x:c>
      <x:c r="I131" s="16" t="str">
        <x:v>2019</x:v>
      </x:c>
      <x:c r="J131" s="18" t="n">
        <x:v>43760</x:v>
      </x:c>
      <x:c r="K131" s="18" t="n">
        <x:v>43760</x:v>
      </x:c>
      <x:c r="L131" s="16" t="str">
        <x:v>PG2019-TAMAN-NUSA-BAYU</x:v>
      </x:c>
      <x:c r="M131" s="16"/>
      <x:c r="N131" s="16" t="str">
        <x:v>PLOT</x:v>
      </x:c>
      <x:c r="O131" s="16" t="str">
        <x:f>IF(F131&lt;=3,"1-3",IF(F131&lt;=6,"4-6","&gt;=7"))</x:f>
        <x:v>1-3</x:v>
      </x:c>
    </x:row>
    <x:row r="132">
      <x:c r="A132" s="16" t="str">
        <x:v>FLOC-0185</x:v>
      </x:c>
      <x:c r="B132" s="16" t="str">
        <x:v>Taman Nusantara Prima</x:v>
      </x:c>
      <x:c r="C132" s="16" t="str">
        <x:v>Neighborhood</x:v>
      </x:c>
      <x:c r="D132" s="17" t="n">
        <x:v>103.58949</x:v>
      </x:c>
      <x:c r="E132" s="17" t="n">
        <x:v>1.47979</x:v>
      </x:c>
      <x:c r="F132" s="16" t="n">
        <x:v>1</x:v>
      </x:c>
      <x:c r="G132" s="16" t="str">
        <x:v>1-3</x:v>
      </x:c>
      <x:c r="H132" s="16" t="str">
        <x:v>Occasional</x:v>
      </x:c>
      <x:c r="I132" s="16" t="str">
        <x:v>2019</x:v>
      </x:c>
      <x:c r="J132" s="18" t="n">
        <x:v>43760</x:v>
      </x:c>
      <x:c r="K132" s="18" t="n">
        <x:v>43760</x:v>
      </x:c>
      <x:c r="L132" s="16"/>
      <x:c r="M132" s="16"/>
      <x:c r="N132" s="16" t="str">
        <x:v>PLOT</x:v>
      </x:c>
      <x:c r="O132" s="16" t="str">
        <x:f>IF(F132&lt;=3,"1-3",IF(F132&lt;=6,"4-6","&gt;=7"))</x:f>
        <x:v>1-3</x:v>
      </x:c>
    </x:row>
    <x:row r="133">
      <x:c r="A133" s="16" t="str">
        <x:v>FLOC-0186</x:v>
      </x:c>
      <x:c r="B133" s="16" t="str">
        <x:v>Taman Pasir Putih</x:v>
      </x:c>
      <x:c r="C133" s="16" t="str">
        <x:v>RESIDENTIAL</x:v>
      </x:c>
      <x:c r="D133" s="17" t="n">
        <x:v>103.93887</x:v>
      </x:c>
      <x:c r="E133" s="17" t="n">
        <x:v>1.47292</x:v>
      </x:c>
      <x:c r="F133" s="16" t="n">
        <x:v>1</x:v>
      </x:c>
      <x:c r="G133" s="16" t="str">
        <x:v>1-3</x:v>
      </x:c>
      <x:c r="H133" s="16" t="str">
        <x:v>Occasional</x:v>
      </x:c>
      <x:c r="I133" s="16" t="str">
        <x:v>2021</x:v>
      </x:c>
      <x:c r="J133" s="18" t="n">
        <x:v>44441</x:v>
      </x:c>
      <x:c r="K133" s="18" t="n">
        <x:v>44441</x:v>
      </x:c>
      <x:c r="L133" s="16"/>
      <x:c r="M133" s="16"/>
      <x:c r="N133" s="16" t="str">
        <x:v>PLOT</x:v>
      </x:c>
      <x:c r="O133" s="16" t="str">
        <x:f>IF(F133&lt;=3,"1-3",IF(F133&lt;=6,"4-6","&gt;=7"))</x:f>
        <x:v>1-3</x:v>
      </x:c>
    </x:row>
    <x:row r="134">
      <x:c r="A134" s="16" t="str">
        <x:v>FLOC-0187</x:v>
      </x:c>
      <x:c r="B134" s="16" t="str">
        <x:v>Taman Pelangi</x:v>
      </x:c>
      <x:c r="C134" s="16" t="str">
        <x:v>AREA/RESIDENTIAL</x:v>
      </x:c>
      <x:c r="D134" s="17" t="n">
        <x:v>103.7738869</x:v>
      </x:c>
      <x:c r="E134" s="17" t="n">
        <x:v>1.478838</x:v>
      </x:c>
      <x:c r="F134" s="16" t="n">
        <x:v>1</x:v>
      </x:c>
      <x:c r="G134" s="16" t="str">
        <x:v>1-3</x:v>
      </x:c>
      <x:c r="H134" s="16" t="str">
        <x:v>Occasional</x:v>
      </x:c>
      <x:c r="I134" s="16" t="str">
        <x:v>2025</x:v>
      </x:c>
      <x:c r="J134" s="18" t="n">
        <x:v>46003</x:v>
      </x:c>
      <x:c r="K134" s="18" t="n">
        <x:v>46003</x:v>
      </x:c>
      <x:c r="L134" s="16"/>
      <x:c r="M134" s="16"/>
      <x:c r="N134" s="16" t="str">
        <x:v>PLOT</x:v>
      </x:c>
      <x:c r="O134" s="16" t="str">
        <x:f>IF(F134&lt;=3,"1-3",IF(F134&lt;=6,"4-6","&gt;=7"))</x:f>
        <x:v>1-3</x:v>
      </x:c>
    </x:row>
    <x:row r="135">
      <x:c r="A135" s="16" t="str">
        <x:v>FLOC-0188</x:v>
      </x:c>
      <x:c r="B135" s="16" t="str">
        <x:v>Taman Perling</x:v>
      </x:c>
      <x:c r="C135" s="16" t="str">
        <x:v>AREA/RESIDENTIAL</x:v>
      </x:c>
      <x:c r="D135" s="17" t="n">
        <x:v>103.6827079</x:v>
      </x:c>
      <x:c r="E135" s="17" t="n">
        <x:v>1.481217</x:v>
      </x:c>
      <x:c r="F135" s="16" t="n">
        <x:v>1</x:v>
      </x:c>
      <x:c r="G135" s="16" t="str">
        <x:v>1-3</x:v>
      </x:c>
      <x:c r="H135" s="16" t="str">
        <x:v>Occasional</x:v>
      </x:c>
      <x:c r="I135" s="16" t="str">
        <x:v>2026</x:v>
      </x:c>
      <x:c r="J135" s="18" t="n">
        <x:v>46295</x:v>
      </x:c>
      <x:c r="K135" s="18" t="n">
        <x:v>46295</x:v>
      </x:c>
      <x:c r="L135" s="16"/>
      <x:c r="M135" s="16"/>
      <x:c r="N135" s="16" t="str">
        <x:v>PLOT</x:v>
      </x:c>
      <x:c r="O135" s="16" t="str">
        <x:f>IF(F135&lt;=3,"1-3",IF(F135&lt;=6,"4-6","&gt;=7"))</x:f>
        <x:v>1-3</x:v>
      </x:c>
    </x:row>
    <x:row r="136">
      <x:c r="A136" s="16" t="str">
        <x:v>FLOC-0189</x:v>
      </x:c>
      <x:c r="B136" s="16" t="str">
        <x:v>Taman Rinting</x:v>
      </x:c>
      <x:c r="C136" s="16" t="str">
        <x:v>RESIDENTIAL</x:v>
      </x:c>
      <x:c r="D136" s="17" t="n">
        <x:v>103.8788</x:v>
      </x:c>
      <x:c r="E136" s="17" t="n">
        <x:v>1.4959</x:v>
      </x:c>
      <x:c r="F136" s="16" t="n">
        <x:v>1</x:v>
      </x:c>
      <x:c r="G136" s="16" t="str">
        <x:v>1-3</x:v>
      </x:c>
      <x:c r="H136" s="16" t="str">
        <x:v>Occasional</x:v>
      </x:c>
      <x:c r="I136" s="16" t="str">
        <x:v>2021</x:v>
      </x:c>
      <x:c r="J136" s="18" t="n">
        <x:v>44389</x:v>
      </x:c>
      <x:c r="K136" s="18" t="n">
        <x:v>44389</x:v>
      </x:c>
      <x:c r="L136" s="16"/>
      <x:c r="M136" s="16"/>
      <x:c r="N136" s="16" t="str">
        <x:v>PLOT</x:v>
      </x:c>
      <x:c r="O136" s="16" t="str">
        <x:f>IF(F136&lt;=3,"1-3",IF(F136&lt;=6,"4-6","&gt;=7"))</x:f>
        <x:v>1-3</x:v>
      </x:c>
    </x:row>
    <x:row r="137">
      <x:c r="A137" s="16" t="str">
        <x:v>FLOC-0190</x:v>
      </x:c>
      <x:c r="B137" s="16" t="str">
        <x:v>Taman Setia Indah</x:v>
      </x:c>
      <x:c r="C137" s="16" t="str">
        <x:v>COMMUNITY/AREA; Township / quarter</x:v>
      </x:c>
      <x:c r="D137" s="17" t="n">
        <x:v>103.7592769</x:v>
      </x:c>
      <x:c r="E137" s="17" t="n">
        <x:v>1.56898939999998</x:v>
      </x:c>
      <x:c r="F137" s="16" t="n">
        <x:v>2</x:v>
      </x:c>
      <x:c r="G137" s="16" t="str">
        <x:v>1-3</x:v>
      </x:c>
      <x:c r="H137" s="16" t="str">
        <x:v>Occasional</x:v>
      </x:c>
      <x:c r="I137" s="16" t="str">
        <x:v>2019;2024</x:v>
      </x:c>
      <x:c r="J137" s="18" t="n">
        <x:v>43760</x:v>
      </x:c>
      <x:c r="K137" s="18" t="n">
        <x:v>45302</x:v>
      </x:c>
      <x:c r="L137" s="16"/>
      <x:c r="M137" s="16" t="str">
        <x:v>HF20</x:v>
      </x:c>
      <x:c r="N137" s="16" t="str">
        <x:v>PLOT</x:v>
      </x:c>
      <x:c r="O137" s="16" t="str">
        <x:f>IF(F137&lt;=3,"1-3",IF(F137&lt;=6,"4-6","&gt;=7"))</x:f>
        <x:v>1-3</x:v>
      </x:c>
    </x:row>
    <x:row r="138">
      <x:c r="A138" s="16" t="str">
        <x:v>FLOC-0191</x:v>
      </x:c>
      <x:c r="B138" s="16" t="str">
        <x:v>Taman Skudai Baru</x:v>
      </x:c>
      <x:c r="C138" s="16" t="str">
        <x:v>RESIDENTIAL</x:v>
      </x:c>
      <x:c r="D138" s="17" t="n">
        <x:v>103.6448842</x:v>
      </x:c>
      <x:c r="E138" s="17" t="n">
        <x:v>1.510224</x:v>
      </x:c>
      <x:c r="F138" s="16" t="n">
        <x:v>1</x:v>
      </x:c>
      <x:c r="G138" s="16" t="str">
        <x:v>1-3</x:v>
      </x:c>
      <x:c r="H138" s="16" t="str">
        <x:v>Occasional</x:v>
      </x:c>
      <x:c r="I138" s="16" t="str">
        <x:v>2021</x:v>
      </x:c>
      <x:c r="J138" s="18" t="n">
        <x:v>44469</x:v>
      </x:c>
      <x:c r="K138" s="18" t="n">
        <x:v>44469</x:v>
      </x:c>
      <x:c r="L138" s="16"/>
      <x:c r="M138" s="16"/>
      <x:c r="N138" s="16" t="str">
        <x:v>PLOT</x:v>
      </x:c>
      <x:c r="O138" s="16" t="str">
        <x:f>IF(F138&lt;=3,"1-3",IF(F138&lt;=6,"4-6","&gt;=7"))</x:f>
        <x:v>1-3</x:v>
      </x:c>
    </x:row>
    <x:row r="139">
      <x:c r="A139" s="16" t="str">
        <x:v>FLOC-0192</x:v>
      </x:c>
      <x:c r="B139" s="16" t="str">
        <x:v>Taman Sri Bahagia</x:v>
      </x:c>
      <x:c r="C139" s="16" t="str">
        <x:v>COMMUNITY/AREA</x:v>
      </x:c>
      <x:c r="D139" s="17" t="n">
        <x:v>103.72822</x:v>
      </x:c>
      <x:c r="E139" s="17" t="n">
        <x:v>1.51083</x:v>
      </x:c>
      <x:c r="F139" s="16" t="n">
        <x:v>1</x:v>
      </x:c>
      <x:c r="G139" s="16" t="str">
        <x:v>1-3</x:v>
      </x:c>
      <x:c r="H139" s="16" t="str">
        <x:v>Occasional</x:v>
      </x:c>
      <x:c r="I139" s="16" t="str">
        <x:v>2023</x:v>
      </x:c>
      <x:c r="J139" s="18" t="n">
        <x:v>44971</x:v>
      </x:c>
      <x:c r="K139" s="18" t="n">
        <x:v>44971</x:v>
      </x:c>
      <x:c r="L139" s="16"/>
      <x:c r="M139" s="16"/>
      <x:c r="N139" s="16" t="str">
        <x:v>PLOT</x:v>
      </x:c>
      <x:c r="O139" s="16" t="str">
        <x:f>IF(F139&lt;=3,"1-3",IF(F139&lt;=6,"4-6","&gt;=7"))</x:f>
        <x:v>1-3</x:v>
      </x:c>
    </x:row>
    <x:row r="140">
      <x:c r="A140" s="16" t="str">
        <x:v>FLOC-0193</x:v>
      </x:c>
      <x:c r="B140" s="16" t="str">
        <x:v>Taman Tampoi Indah</x:v>
      </x:c>
      <x:c r="C140" s="16" t="str">
        <x:v>AREA/RESIDENTIAL</x:v>
      </x:c>
      <x:c r="D140" s="17" t="n">
        <x:v>103.6818886</x:v>
      </x:c>
      <x:c r="E140" s="17" t="n">
        <x:v>1.51047560000001</x:v>
      </x:c>
      <x:c r="F140" s="16" t="n">
        <x:v>1</x:v>
      </x:c>
      <x:c r="G140" s="16" t="str">
        <x:v>1-3</x:v>
      </x:c>
      <x:c r="H140" s="16" t="str">
        <x:v>Occasional</x:v>
      </x:c>
      <x:c r="I140" s="16" t="str">
        <x:v>2025</x:v>
      </x:c>
      <x:c r="J140" s="18" t="n">
        <x:v>45736</x:v>
      </x:c>
      <x:c r="K140" s="18" t="n">
        <x:v>45736</x:v>
      </x:c>
      <x:c r="L140" s="16"/>
      <x:c r="M140" s="16" t="str">
        <x:v>HF16</x:v>
      </x:c>
      <x:c r="N140" s="16" t="str">
        <x:v>PLOT</x:v>
      </x:c>
      <x:c r="O140" s="16" t="str">
        <x:f>IF(F140&lt;=3,"1-3",IF(F140&lt;=6,"4-6","&gt;=7"))</x:f>
        <x:v>1-3</x:v>
      </x:c>
    </x:row>
    <x:row r="141">
      <x:c r="A141" s="16" t="str">
        <x:v>FLOC-0194</x:v>
      </x:c>
      <x:c r="B141" s="16" t="str">
        <x:v>Taman Tampoi Utama</x:v>
      </x:c>
      <x:c r="C141" s="16" t="str">
        <x:v>AREA/RESIDENTIAL; Neighborhood</x:v>
      </x:c>
      <x:c r="D141" s="17" t="n">
        <x:v>103.6859554</x:v>
      </x:c>
      <x:c r="E141" s="17" t="n">
        <x:v>1.50251799999999</x:v>
      </x:c>
      <x:c r="F141" s="16" t="n">
        <x:v>2</x:v>
      </x:c>
      <x:c r="G141" s="16" t="str">
        <x:v>1-3</x:v>
      </x:c>
      <x:c r="H141" s="16" t="str">
        <x:v>Occasional</x:v>
      </x:c>
      <x:c r="I141" s="16" t="str">
        <x:v>2020;2025</x:v>
      </x:c>
      <x:c r="J141" s="18" t="n">
        <x:v>44156</x:v>
      </x:c>
      <x:c r="K141" s="18" t="n">
        <x:v>45736</x:v>
      </x:c>
      <x:c r="L141" s="16"/>
      <x:c r="M141" s="16" t="str">
        <x:v>HF40</x:v>
      </x:c>
      <x:c r="N141" s="16" t="str">
        <x:v>PLOT</x:v>
      </x:c>
      <x:c r="O141" s="16" t="str">
        <x:f>IF(F141&lt;=3,"1-3",IF(F141&lt;=6,"4-6","&gt;=7"))</x:f>
        <x:v>1-3</x:v>
      </x:c>
    </x:row>
    <x:row r="142">
      <x:c r="A142" s="16" t="str">
        <x:v>FLOC-0195</x:v>
      </x:c>
      <x:c r="B142" s="16" t="str">
        <x:v>Taman Tasik / Taman Merdeka</x:v>
      </x:c>
      <x:c r="C142" s="16" t="str">
        <x:v>AREA/RESIDENTIAL; COMMUNITY/AREA</x:v>
      </x:c>
      <x:c r="D142" s="17" t="n">
        <x:v>103.7359187</x:v>
      </x:c>
      <x:c r="E142" s="17" t="n">
        <x:v>1.4794199</x:v>
      </x:c>
      <x:c r="F142" s="16" t="n">
        <x:v>2</x:v>
      </x:c>
      <x:c r="G142" s="16" t="str">
        <x:v>1-3</x:v>
      </x:c>
      <x:c r="H142" s="16" t="str">
        <x:v>Occasional</x:v>
      </x:c>
      <x:c r="I142" s="16" t="str">
        <x:v>2023;2025</x:v>
      </x:c>
      <x:c r="J142" s="18" t="n">
        <x:v>45266</x:v>
      </x:c>
      <x:c r="K142" s="18" t="n">
        <x:v>46003</x:v>
      </x:c>
      <x:c r="L142" s="16"/>
      <x:c r="M142" s="16"/>
      <x:c r="N142" s="16" t="str">
        <x:v>PLOT</x:v>
      </x:c>
      <x:c r="O142" s="16" t="str">
        <x:f>IF(F142&lt;=3,"1-3",IF(F142&lt;=6,"4-6","&gt;=7"))</x:f>
        <x:v>1-3</x:v>
      </x:c>
    </x:row>
    <x:row r="143">
      <x:c r="A143" s="16" t="str">
        <x:v>FLOC-0196</x:v>
      </x:c>
      <x:c r="B143" s="16" t="str">
        <x:v>Wisma Persekutuan Johor Bahru</x:v>
      </x:c>
      <x:c r="C143" s="16" t="str">
        <x:v>FACILITY/POI</x:v>
      </x:c>
      <x:c r="D143" s="17" t="n">
        <x:v>103.75878</x:v>
      </x:c>
      <x:c r="E143" s="17" t="n">
        <x:v>1.46036</x:v>
      </x:c>
      <x:c r="F143" s="16" t="n">
        <x:v>1</x:v>
      </x:c>
      <x:c r="G143" s="16" t="str">
        <x:v>1-3</x:v>
      </x:c>
      <x:c r="H143" s="16" t="str">
        <x:v>Occasional</x:v>
      </x:c>
      <x:c r="I143" s="16" t="str">
        <x:v>2026</x:v>
      </x:c>
      <x:c r="J143" s="18" t="n">
        <x:v>46295</x:v>
      </x:c>
      <x:c r="K143" s="18" t="n">
        <x:v>46295</x:v>
      </x:c>
      <x:c r="L143" s="16"/>
      <x:c r="M143" s="16"/>
      <x:c r="N143" s="16" t="str">
        <x:v>PLOT</x:v>
      </x:c>
      <x:c r="O143" s="16" t="str">
        <x:f>IF(F143&lt;=3,"1-3",IF(F143&lt;=6,"4-6","&gt;=7"))</x:f>
        <x:v>1-3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44" hidden="0" customWidth="1"/>
  </x:cols>
  <x:sheetData>
    <x:row r="1">
      <x:c r="A1" s="10" t="str">
        <x:v>Frequency_Band</x:v>
      </x:c>
      <x:c r="B1" s="10" t="str">
        <x:v>Frequency_Class</x:v>
      </x:c>
      <x:c r="C1" s="10" t="str">
        <x:v>Final_Location_Count</x:v>
      </x:c>
      <x:c r="D1" s="10" t="str">
        <x:v>Definition</x:v>
      </x:c>
    </x:row>
    <x:row r="2">
      <x:c r="A2" t="str">
        <x:v>1-3</x:v>
      </x:c>
      <x:c r="B2" t="str">
        <x:v>Occasional</x:v>
      </x:c>
      <x:c r="C2" t="n">
        <x:v>129</x:v>
      </x:c>
      <x:c r="D2" t="str">
        <x:v>1-3 independent flood episodes</x:v>
      </x:c>
    </x:row>
    <x:row r="3">
      <x:c r="A3" t="str">
        <x:v>4-6</x:v>
      </x:c>
      <x:c r="B3" t="str">
        <x:v>Recurrent</x:v>
      </x:c>
      <x:c r="C3" t="n">
        <x:v>7</x:v>
      </x:c>
      <x:c r="D3" t="str">
        <x:v>4-6 independent flood episodes</x:v>
      </x:c>
    </x:row>
    <x:row r="4">
      <x:c r="A4" t="str">
        <x:v>&gt;=7</x:v>
      </x:c>
      <x:c r="B4" t="str">
        <x:v>High-frequency</x:v>
      </x:c>
      <x:c r="C4" t="n">
        <x:v>6</x:v>
      </x:c>
      <x:c r="D4" t="str">
        <x:v>&gt;=7 independent flood episodes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12" hidden="0" customWidth="1"/>
  </x:cols>
  <x:sheetData>
    <x:row r="1">
      <x:c r="A1" s="10" t="str">
        <x:v>QA_Item</x:v>
      </x:c>
      <x:c r="B1" s="10" t="str">
        <x:v>Value</x:v>
      </x:c>
      <x:c r="C1" s="10" t="str">
        <x:v>Status</x:v>
      </x:c>
    </x:row>
    <x:row r="2">
      <x:c r="A2" t="str">
        <x:v>Plot-ready unique final locations</x:v>
      </x:c>
      <x:c r="B2" t="n">
        <x:v>142</x:v>
      </x:c>
      <x:c r="C2" t="str">
        <x:v>PASS</x:v>
      </x:c>
    </x:row>
    <x:row r="3">
      <x:c r="A3" t="str">
        <x:v>Missing longitude</x:v>
      </x:c>
      <x:c r="B3" t="n">
        <x:v>0</x:v>
      </x:c>
      <x:c r="C3" t="str">
        <x:v>PASS</x:v>
      </x:c>
    </x:row>
    <x:row r="4">
      <x:c r="A4" t="str">
        <x:v>Missing latitude</x:v>
      </x:c>
      <x:c r="B4" t="n">
        <x:v>0</x:v>
      </x:c>
      <x:c r="C4" t="str">
        <x:v>PASS</x:v>
      </x:c>
    </x:row>
    <x:row r="5">
      <x:c r="A5" t="str">
        <x:v>Count &lt; 1</x:v>
      </x:c>
      <x:c r="B5" t="n">
        <x:v>0</x:v>
      </x:c>
      <x:c r="C5" t="str">
        <x:v>PASS</x:v>
      </x:c>
    </x:row>
    <x:row r="6">
      <x:c r="A6" t="str">
        <x:v>Fixed45 points represented in final master</x:v>
      </x:c>
      <x:c r="B6" t="n">
        <x:v>45</x:v>
      </x:c>
      <x:c r="C6" t="str">
        <x:v>PASS</x:v>
      </x:c>
    </x:row>
    <x:row r="7">
      <x:c r="A7" t="str">
        <x:v>Validated polygons represented</x:v>
      </x:c>
      <x:c r="B7" t="n">
        <x:v>14</x:v>
      </x:c>
      <x:c r="C7" t="str">
        <x:v>PASS</x:v>
      </x:c>
    </x:row>
  </x:sheetData>
  <x:pageMargins left="0.7" right="0.7" top="0.75" bottom="0.75" header="0.3" footer="0.3"/>
</x:worksheet>
</file>