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dd4b633c5c04068" /></Relationships>
</file>

<file path=xl/workbook.xml><?xml version="1.0" encoding="utf-8"?>
<x:workbook xmlns:x="http://schemas.openxmlformats.org/spreadsheetml/2006/main">
  <x:sheets>
    <x:sheet xmlns:r="http://schemas.openxmlformats.org/officeDocument/2006/relationships" name="00_README" sheetId="1" r:id="R879dd5d8bf1c49df"/>
    <x:sheet xmlns:r="http://schemas.openxmlformats.org/officeDocument/2006/relationships" name="01_2021_Event_Master" sheetId="2" r:id="R6638d55c82c6484d"/>
    <x:sheet xmlns:r="http://schemas.openxmlformats.org/officeDocument/2006/relationships" name="02_2021_Source_Register" sheetId="3" r:id="R1a852a76e74f44aa"/>
    <x:sheet xmlns:r="http://schemas.openxmlformats.org/officeDocument/2006/relationships" name="03_2021_Spatial_Resolution" sheetId="4" r:id="R0a29469f89464fc7"/>
    <x:sheet xmlns:r="http://schemas.openxmlformats.org/officeDocument/2006/relationships" name="04_2021_Open_Objects" sheetId="5" r:id="R32512a0d9347419e"/>
    <x:sheet xmlns:r="http://schemas.openxmlformats.org/officeDocument/2006/relationships" name="05_Carry_Forward_R012" sheetId="6" r:id="Rfa573775e73345af"/>
    <x:sheet xmlns:r="http://schemas.openxmlformats.org/officeDocument/2006/relationships" name="06_QA_Event_Spatial" sheetId="7" r:id="R7c13b9c2937a455b"/>
    <x:sheet xmlns:r="http://schemas.openxmlformats.org/officeDocument/2006/relationships" name="07_2021_Polygon_Master" sheetId="8" r:id="R81b1a5b190704971"/>
    <x:sheet xmlns:r="http://schemas.openxmlformats.org/officeDocument/2006/relationships" name="08_QA_2021_Closure" sheetId="9" r:id="R8e2b416a0cc548e5"/>
    <x:sheet xmlns:r="http://schemas.openxmlformats.org/officeDocument/2006/relationships" name="09_2022_Event_Master" sheetId="10" r:id="Rcaf10129f68343ba"/>
    <x:sheet xmlns:r="http://schemas.openxmlformats.org/officeDocument/2006/relationships" name="10_2022_Episodes" sheetId="11" r:id="R86f51bb16edd4da8"/>
    <x:sheet xmlns:r="http://schemas.openxmlformats.org/officeDocument/2006/relationships" name="11_2022_Source_Register" sheetId="12" r:id="R7dd6490cfac94d07"/>
    <x:sheet xmlns:r="http://schemas.openxmlformats.org/officeDocument/2006/relationships" name="12_2022_Spatial_Resolution" sheetId="13" r:id="Rdeed0b5e858a4dc4"/>
    <x:sheet xmlns:r="http://schemas.openxmlformats.org/officeDocument/2006/relationships" name="13_2022_Open_Objects" sheetId="14" r:id="R25e77b8c6f9a4030"/>
    <x:sheet xmlns:r="http://schemas.openxmlformats.org/officeDocument/2006/relationships" name="14_QA_2022_Event_Spatial" sheetId="15" r:id="Redd821f0416c41b3"/>
    <x:sheet xmlns:r="http://schemas.openxmlformats.org/officeDocument/2006/relationships" name="15_2022_Polygon_Reuse" sheetId="16" r:id="R4a257b12e44b4688"/>
    <x:sheet xmlns:r="http://schemas.openxmlformats.org/officeDocument/2006/relationships" name="16_QA_2022_Closure" sheetId="17" r:id="R32d32dc62a604760"/>
    <x:sheet xmlns:r="http://schemas.openxmlformats.org/officeDocument/2006/relationships" name="17_2023_Event_Master" sheetId="18" r:id="R2b8c8b088ae44087"/>
    <x:sheet xmlns:r="http://schemas.openxmlformats.org/officeDocument/2006/relationships" name="18_2023_Episodes" sheetId="19" r:id="R580acaae12c44625"/>
    <x:sheet xmlns:r="http://schemas.openxmlformats.org/officeDocument/2006/relationships" name="19_2023_Source_Register" sheetId="20" r:id="R723a528b04da4e64"/>
    <x:sheet xmlns:r="http://schemas.openxmlformats.org/officeDocument/2006/relationships" name="20_2023_Spatial_Resolution" sheetId="21" r:id="R1cc3ff24b1324f47"/>
    <x:sheet xmlns:r="http://schemas.openxmlformats.org/officeDocument/2006/relationships" name="21_2023_Unresolved_Candidates" sheetId="22" r:id="Rabf6f050ad0f4aeb"/>
    <x:sheet xmlns:r="http://schemas.openxmlformats.org/officeDocument/2006/relationships" name="22_2023_Open_Objects" sheetId="23" r:id="R93b3fc86652e492f"/>
    <x:sheet xmlns:r="http://schemas.openxmlformats.org/officeDocument/2006/relationships" name="23_QA_2023_Event_Spatial" sheetId="24" r:id="R4d23655b532644eb"/>
    <x:sheet xmlns:r="http://schemas.openxmlformats.org/officeDocument/2006/relationships" name="24_2023_Polygon_Reuse" sheetId="25" r:id="Ra0b1dabac4de4f3e"/>
    <x:sheet xmlns:r="http://schemas.openxmlformats.org/officeDocument/2006/relationships" name="25_QA_2023_Closure" sheetId="26" r:id="R2a236040d0fa4063"/>
    <x:sheet xmlns:r="http://schemas.openxmlformats.org/officeDocument/2006/relationships" name="26_2024_Event_Master" sheetId="27" r:id="Re96c75e225df4ab0"/>
    <x:sheet xmlns:r="http://schemas.openxmlformats.org/officeDocument/2006/relationships" name="27_2024_Episodes" sheetId="28" r:id="R92ba793f79504f52"/>
    <x:sheet xmlns:r="http://schemas.openxmlformats.org/officeDocument/2006/relationships" name="28_2024_Source_Register" sheetId="29" r:id="R854ee65de52441df"/>
    <x:sheet xmlns:r="http://schemas.openxmlformats.org/officeDocument/2006/relationships" name="29_2024_Spatial_Resolution" sheetId="30" r:id="Rd0cc731803b942ce"/>
    <x:sheet xmlns:r="http://schemas.openxmlformats.org/officeDocument/2006/relationships" name="30_2024_Unresolved_Candidates" sheetId="31" r:id="Rdf8d2123dd954bb7"/>
    <x:sheet xmlns:r="http://schemas.openxmlformats.org/officeDocument/2006/relationships" name="31_2024_Open_Objects" sheetId="32" r:id="Re294f47d6bb045b3"/>
    <x:sheet xmlns:r="http://schemas.openxmlformats.org/officeDocument/2006/relationships" name="32_QA_2024_Event_Spatial" sheetId="33" r:id="Reb8e2f82a9a44d6f"/>
    <x:sheet xmlns:r="http://schemas.openxmlformats.org/officeDocument/2006/relationships" name="33_2024_Polygon_Reuse" sheetId="34" r:id="Rd318f5ee6d884b57"/>
    <x:sheet xmlns:r="http://schemas.openxmlformats.org/officeDocument/2006/relationships" name="34_QA_2024_Closure" sheetId="35" r:id="R531b5894a4594970"/>
    <x:sheet xmlns:r="http://schemas.openxmlformats.org/officeDocument/2006/relationships" name="35_2025_Event_Master" sheetId="36" r:id="R8b9bcea3ee674189"/>
    <x:sheet xmlns:r="http://schemas.openxmlformats.org/officeDocument/2006/relationships" name="36_2025_Episodes" sheetId="37" r:id="R45b9c907e13649c7"/>
    <x:sheet xmlns:r="http://schemas.openxmlformats.org/officeDocument/2006/relationships" name="37_2025_Source_Register" sheetId="38" r:id="R2dee0247cb834a31"/>
    <x:sheet xmlns:r="http://schemas.openxmlformats.org/officeDocument/2006/relationships" name="38_2025_Spatial_Resolution" sheetId="39" r:id="R8a47181bd1394c8a"/>
    <x:sheet xmlns:r="http://schemas.openxmlformats.org/officeDocument/2006/relationships" name="39_2025_Unresolved_Candidates" sheetId="40" r:id="R4be9dce94a104314"/>
    <x:sheet xmlns:r="http://schemas.openxmlformats.org/officeDocument/2006/relationships" name="40_2025_Open_Objects" sheetId="41" r:id="Rdd3eb2638159415f"/>
    <x:sheet xmlns:r="http://schemas.openxmlformats.org/officeDocument/2006/relationships" name="41_QA_2025_Event_Spatial" sheetId="42" r:id="R3aec699efc944c31"/>
    <x:sheet xmlns:r="http://schemas.openxmlformats.org/officeDocument/2006/relationships" name="42_2025_Polygon_Reuse" sheetId="43" r:id="R514a9415e71041ee"/>
    <x:sheet xmlns:r="http://schemas.openxmlformats.org/officeDocument/2006/relationships" name="43_QA_2025_Closure" sheetId="44" r:id="R941c1e0e0a474d65"/>
    <x:sheet xmlns:r="http://schemas.openxmlformats.org/officeDocument/2006/relationships" name="44_2026_Event_Master" sheetId="45" r:id="Rc5f627db02444e93"/>
    <x:sheet xmlns:r="http://schemas.openxmlformats.org/officeDocument/2006/relationships" name="45_2026_Episodes" sheetId="46" r:id="R9dd56afbafdf4c2a"/>
    <x:sheet xmlns:r="http://schemas.openxmlformats.org/officeDocument/2006/relationships" name="46_2026_Source_Register" sheetId="47" r:id="R9a9f99df723b48fd"/>
    <x:sheet xmlns:r="http://schemas.openxmlformats.org/officeDocument/2006/relationships" name="47_2026_Spatial_Resolution" sheetId="48" r:id="R21c5657886094cde"/>
    <x:sheet xmlns:r="http://schemas.openxmlformats.org/officeDocument/2006/relationships" name="48_2026_Unresolved_Candidates" sheetId="49" r:id="R98d39e7a71c24772"/>
    <x:sheet xmlns:r="http://schemas.openxmlformats.org/officeDocument/2006/relationships" name="49_2026_Open_Objects" sheetId="50" r:id="R3b7653dac9534862"/>
    <x:sheet xmlns:r="http://schemas.openxmlformats.org/officeDocument/2006/relationships" name="50_QA_2026_Event_Spatial" sheetId="51" r:id="R9267777a8bfa44e8"/>
    <x:sheet xmlns:r="http://schemas.openxmlformats.org/officeDocument/2006/relationships" name="51_2026_Polygon_Reuse" sheetId="52" r:id="R63bf207b56ec45bf"/>
    <x:sheet xmlns:r="http://schemas.openxmlformats.org/officeDocument/2006/relationships" name="52_QA_2026_Closure" sheetId="53" r:id="R1da585dcfe144b93"/>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8">
    <x:fill>
      <x:patternFill patternType="none"/>
    </x:fill>
    <x:fill>
      <x:patternFill patternType="gray125"/>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63">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center"/>
    </x:xf>
    <x:xf numFmtId="0" fontId="1" fillId="2" borderId="0" xfId="0" applyNumberFormat="1" applyFont="1" applyFill="1" applyBorder="1" applyAlignment="1">
      <x:alignment horizontal="center"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vertical="center" wrapText="1"/>
    </x:xf>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vertical="center" wrapText="1"/>
    </x:xf>
    <x:xf numFmtId="0" fontId="1" fillId="2" borderId="0" xfId="0" applyNumberFormat="1" applyFont="1" applyFill="1" applyBorder="1" applyAlignment="1">
      <x:alignment horizontal="center"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horizontal="center" vertical="top" wrapText="1"/>
    </x:xf>
    <x:xf numFmtId="0" fontId="0" fillId="0" borderId="1" xfId="0" applyNumberFormat="1" applyFont="1" applyFill="1" applyBorder="1" applyAlignment="1">
      <x:alignment vertical="top" wrapText="1"/>
    </x:xf>
    <x:xf numFmtId="0" fontId="0" fillId="0" borderId="0" xfId="0">
      <x:extLst>
        <x:ext uri="{C7286773-470A-42A8-94C5-96B5CB345126}">
          <xfpb:xfComplement xmlns:xfpb="http://schemas.microsoft.com/office/spreadsheetml/2022/featurepropertybag" i="0"/>
        </x:ext>
      </x:extLst>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wrapText="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1" fillId="3" borderId="0" xfId="0" applyNumberFormat="1" applyFont="1" applyFill="1" applyBorder="1" applyAlignment="1">
      <x:alignment horizontal="center" vertical="top" wrapText="1"/>
    </x:xf>
    <x:xf numFmtId="0" fontId="1" fillId="3" borderId="0" xfId="0" applyNumberFormat="1" applyFont="1" applyFill="1" applyBorder="1" applyAlignment="1">
      <x:alignment horizontal="center"/>
    </x:xf>
    <x:xf numFmtId="0" fontId="0" fillId="4" borderId="0" xfId="0" applyNumberFormat="1" applyFont="1" applyFill="1" applyBorder="1"/>
    <x:xf numFmtId="0" fontId="1" fillId="4" borderId="0" xfId="0" applyNumberFormat="1" applyFont="1" applyFill="1" applyBorder="1"/>
    <x:xf numFmtId="0" fontId="1" fillId="4" borderId="0" xfId="0" applyNumberFormat="1" applyFont="1" applyFill="1" applyBorder="1" applyAlignment="1">
      <x:alignment wrapText="1"/>
    </x:xf>
    <x:xf numFmtId="0" fontId="1" fillId="4" borderId="0" xfId="0" applyNumberFormat="1" applyFont="1" applyFill="1" applyBorder="1" applyAlignment="1">
      <x:alignment horizontal="center" wrapText="1"/>
    </x:xf>
    <x:xf numFmtId="0" fontId="1" fillId="4" borderId="0" xfId="0" applyNumberFormat="1" applyFont="1" applyFill="1" applyBorder="1" applyAlignment="1">
      <x:alignment horizontal="center" vertical="center" wrapText="1"/>
    </x:xf>
    <x:xf numFmtId="0" fontId="1" fillId="4" borderId="0" xfId="0" applyNumberFormat="1" applyFont="1" applyFill="1" applyBorder="1" applyAlignment="1">
      <x:alignment horizontal="center" vertical="top" wrapText="1"/>
    </x:xf>
    <x:xf numFmtId="0" fontId="1" fillId="4" borderId="0" xfId="0" applyNumberFormat="1" applyFont="1" applyFill="1" applyBorder="1" applyAlignment="1">
      <x:alignment horizontal="center"/>
    </x:xf>
    <x:xf numFmtId="0" fontId="0" fillId="5" borderId="0" xfId="0" applyNumberFormat="1" applyFont="1" applyFill="1" applyBorder="1"/>
    <x:xf numFmtId="0" fontId="1" fillId="5" borderId="0" xfId="0" applyNumberFormat="1" applyFont="1" applyFill="1" applyBorder="1"/>
    <x:xf numFmtId="0" fontId="1" fillId="5" borderId="0" xfId="0" applyNumberFormat="1" applyFont="1" applyFill="1" applyBorder="1" applyAlignment="1">
      <x:alignment wrapText="1"/>
    </x:xf>
    <x:xf numFmtId="0" fontId="1" fillId="5" borderId="0" xfId="0" applyNumberFormat="1" applyFont="1" applyFill="1" applyBorder="1" applyAlignment="1">
      <x:alignment horizontal="center" wrapText="1"/>
    </x:xf>
    <x:xf numFmtId="0" fontId="1" fillId="5" borderId="0" xfId="0" applyNumberFormat="1" applyFont="1" applyFill="1" applyBorder="1" applyAlignment="1">
      <x:alignment horizontal="center" vertical="center" wrapText="1"/>
    </x:xf>
    <x:xf numFmtId="0" fontId="1" fillId="5" borderId="0" xfId="0" applyNumberFormat="1" applyFont="1" applyFill="1" applyBorder="1" applyAlignment="1">
      <x:alignment horizontal="center" vertical="top" wrapText="1"/>
    </x:xf>
    <x:xf numFmtId="0" fontId="1" fillId="5" borderId="0" xfId="0" applyNumberFormat="1" applyFont="1" applyFill="1" applyBorder="1" applyAlignment="1">
      <x:alignment horizontal="center"/>
    </x:xf>
    <x:xf numFmtId="0" fontId="0" fillId="6" borderId="0" xfId="0" applyNumberFormat="1" applyFont="1" applyFill="1" applyBorder="1"/>
    <x:xf numFmtId="0" fontId="1" fillId="6" borderId="0" xfId="0" applyNumberFormat="1" applyFont="1" applyFill="1" applyBorder="1"/>
    <x:xf numFmtId="0" fontId="1" fillId="6" borderId="0" xfId="0" applyNumberFormat="1" applyFont="1" applyFill="1" applyBorder="1" applyAlignment="1">
      <x:alignment wrapText="1"/>
    </x:xf>
    <x:xf numFmtId="0" fontId="1" fillId="6" borderId="0" xfId="0" applyNumberFormat="1" applyFont="1" applyFill="1" applyBorder="1" applyAlignment="1">
      <x:alignment horizontal="center" wrapText="1"/>
    </x:xf>
    <x:xf numFmtId="0" fontId="1" fillId="6" borderId="0" xfId="0" applyNumberFormat="1" applyFont="1" applyFill="1" applyBorder="1" applyAlignment="1">
      <x:alignment horizontal="center" vertical="center" wrapText="1"/>
    </x:xf>
    <x:xf numFmtId="0" fontId="1" fillId="6" borderId="0" xfId="0" applyNumberFormat="1" applyFont="1" applyFill="1" applyBorder="1" applyAlignment="1">
      <x:alignment horizontal="center" vertical="top" wrapText="1"/>
    </x:xf>
    <x:xf numFmtId="0" fontId="1" fillId="6" borderId="0" xfId="0" applyNumberFormat="1" applyFont="1" applyFill="1" applyBorder="1" applyAlignment="1">
      <x:alignment horizontal="center"/>
    </x:xf>
    <x:xf numFmtId="0" fontId="0" fillId="7" borderId="0" xfId="0" applyNumberFormat="1" applyFont="1" applyFill="1" applyBorder="1"/>
    <x:xf numFmtId="0" fontId="1" fillId="7" borderId="0" xfId="0" applyNumberFormat="1" applyFont="1" applyFill="1" applyBorder="1"/>
    <x:xf numFmtId="0" fontId="1" fillId="7" borderId="0" xfId="0" applyNumberFormat="1" applyFont="1" applyFill="1" applyBorder="1" applyAlignment="1">
      <x:alignment wrapText="1"/>
    </x:xf>
    <x:xf numFmtId="0" fontId="1" fillId="7" borderId="0" xfId="0" applyNumberFormat="1" applyFont="1" applyFill="1" applyBorder="1" applyAlignment="1">
      <x:alignment horizontal="center" wrapText="1"/>
    </x:xf>
    <x:xf numFmtId="0" fontId="1" fillId="7" borderId="0" xfId="0" applyNumberFormat="1" applyFont="1" applyFill="1" applyBorder="1" applyAlignment="1">
      <x:alignment horizontal="center" vertical="center" wrapText="1"/>
    </x:xf>
    <x:xf numFmtId="0" fontId="1" fillId="7" borderId="0" xfId="0" applyNumberFormat="1" applyFont="1" applyFill="1" applyBorder="1" applyAlignment="1">
      <x:alignment horizontal="center" vertical="top" wrapText="1"/>
    </x:xf>
    <x:xf numFmtId="0" fontId="1" fillId="7" borderId="0" xfId="0" applyNumberFormat="1" applyFont="1" applyFill="1" applyBorder="1" applyAlignment="1">
      <x:alignment horizontal="center"/>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4be491af8a34f1e" /><Relationship Type="http://schemas.openxmlformats.org/officeDocument/2006/relationships/theme" Target="/xl/theme/theme1.xml" Id="R3edd92c813444473" /><Relationship Type="http://schemas.microsoft.com/office/2022/11/relationships/FeaturePropertyBag" Target="/xl/featurePropertyBag/featurePropertyBag.xml" Id="Re84f81a39c4d4bc8" /><Relationship Type="http://schemas.openxmlformats.org/officeDocument/2006/relationships/sharedStrings" Target="/xl/sharedStrings.xml" Id="Rbf34484be3014311" /><Relationship Type="http://schemas.openxmlformats.org/officeDocument/2006/relationships/worksheet" Target="/xl/worksheets/sheet1.xml" Id="R879dd5d8bf1c49df" /><Relationship Type="http://schemas.openxmlformats.org/officeDocument/2006/relationships/worksheet" Target="/xl/worksheets/sheet2.xml" Id="R6638d55c82c6484d" /><Relationship Type="http://schemas.openxmlformats.org/officeDocument/2006/relationships/worksheet" Target="/xl/worksheets/sheet3.xml" Id="R1a852a76e74f44aa" /><Relationship Type="http://schemas.openxmlformats.org/officeDocument/2006/relationships/worksheet" Target="/xl/worksheets/sheet4.xml" Id="R0a29469f89464fc7" /><Relationship Type="http://schemas.openxmlformats.org/officeDocument/2006/relationships/worksheet" Target="/xl/worksheets/sheet5.xml" Id="R32512a0d9347419e" /><Relationship Type="http://schemas.openxmlformats.org/officeDocument/2006/relationships/worksheet" Target="/xl/worksheets/sheet6.xml" Id="Rfa573775e73345af" /><Relationship Type="http://schemas.openxmlformats.org/officeDocument/2006/relationships/worksheet" Target="/xl/worksheets/sheet7.xml" Id="R7c13b9c2937a455b" /><Relationship Type="http://schemas.openxmlformats.org/officeDocument/2006/relationships/worksheet" Target="/xl/worksheets/sheet8.xml" Id="R81b1a5b190704971" /><Relationship Type="http://schemas.openxmlformats.org/officeDocument/2006/relationships/worksheet" Target="/xl/worksheets/sheet9.xml" Id="R8e2b416a0cc548e5" /><Relationship Type="http://schemas.openxmlformats.org/officeDocument/2006/relationships/worksheet" Target="/xl/worksheets/sheet10.xml" Id="Rcaf10129f68343ba" /><Relationship Type="http://schemas.openxmlformats.org/officeDocument/2006/relationships/worksheet" Target="/xl/worksheets/sheet11.xml" Id="R86f51bb16edd4da8" /><Relationship Type="http://schemas.openxmlformats.org/officeDocument/2006/relationships/worksheet" Target="/xl/worksheets/sheet12.xml" Id="R7dd6490cfac94d07" /><Relationship Type="http://schemas.openxmlformats.org/officeDocument/2006/relationships/worksheet" Target="/xl/worksheets/sheet13.xml" Id="Rdeed0b5e858a4dc4" /><Relationship Type="http://schemas.openxmlformats.org/officeDocument/2006/relationships/worksheet" Target="/xl/worksheets/sheet14.xml" Id="R25e77b8c6f9a4030" /><Relationship Type="http://schemas.openxmlformats.org/officeDocument/2006/relationships/worksheet" Target="/xl/worksheets/sheet15.xml" Id="Redd821f0416c41b3" /><Relationship Type="http://schemas.openxmlformats.org/officeDocument/2006/relationships/worksheet" Target="/xl/worksheets/sheet16.xml" Id="R4a257b12e44b4688" /><Relationship Type="http://schemas.openxmlformats.org/officeDocument/2006/relationships/worksheet" Target="/xl/worksheets/sheet17.xml" Id="R32d32dc62a604760" /><Relationship Type="http://schemas.openxmlformats.org/officeDocument/2006/relationships/worksheet" Target="/xl/worksheets/sheet18.xml" Id="R2b8c8b088ae44087" /><Relationship Type="http://schemas.openxmlformats.org/officeDocument/2006/relationships/worksheet" Target="/xl/worksheets/sheet19.xml" Id="R580acaae12c44625" /><Relationship Type="http://schemas.openxmlformats.org/officeDocument/2006/relationships/worksheet" Target="/xl/worksheets/sheet20.xml" Id="R723a528b04da4e64" /><Relationship Type="http://schemas.openxmlformats.org/officeDocument/2006/relationships/worksheet" Target="/xl/worksheets/sheet21.xml" Id="R1cc3ff24b1324f47" /><Relationship Type="http://schemas.openxmlformats.org/officeDocument/2006/relationships/worksheet" Target="/xl/worksheets/sheet22.xml" Id="Rabf6f050ad0f4aeb" /><Relationship Type="http://schemas.openxmlformats.org/officeDocument/2006/relationships/worksheet" Target="/xl/worksheets/sheet23.xml" Id="R93b3fc86652e492f" /><Relationship Type="http://schemas.openxmlformats.org/officeDocument/2006/relationships/worksheet" Target="/xl/worksheets/sheet24.xml" Id="R4d23655b532644eb" /><Relationship Type="http://schemas.openxmlformats.org/officeDocument/2006/relationships/worksheet" Target="/xl/worksheets/sheet25.xml" Id="Ra0b1dabac4de4f3e" /><Relationship Type="http://schemas.openxmlformats.org/officeDocument/2006/relationships/worksheet" Target="/xl/worksheets/sheet26.xml" Id="R2a236040d0fa4063" /><Relationship Type="http://schemas.openxmlformats.org/officeDocument/2006/relationships/worksheet" Target="/xl/worksheets/sheet27.xml" Id="Re96c75e225df4ab0" /><Relationship Type="http://schemas.openxmlformats.org/officeDocument/2006/relationships/worksheet" Target="/xl/worksheets/sheet28.xml" Id="R92ba793f79504f52" /><Relationship Type="http://schemas.openxmlformats.org/officeDocument/2006/relationships/worksheet" Target="/xl/worksheets/sheet29.xml" Id="R854ee65de52441df" /><Relationship Type="http://schemas.openxmlformats.org/officeDocument/2006/relationships/worksheet" Target="/xl/worksheets/sheet30.xml" Id="Rd0cc731803b942ce" /><Relationship Type="http://schemas.openxmlformats.org/officeDocument/2006/relationships/worksheet" Target="/xl/worksheets/sheet31.xml" Id="Rdf8d2123dd954bb7" /><Relationship Type="http://schemas.openxmlformats.org/officeDocument/2006/relationships/worksheet" Target="/xl/worksheets/sheet32.xml" Id="Re294f47d6bb045b3" /><Relationship Type="http://schemas.openxmlformats.org/officeDocument/2006/relationships/worksheet" Target="/xl/worksheets/sheet33.xml" Id="Reb8e2f82a9a44d6f" /><Relationship Type="http://schemas.openxmlformats.org/officeDocument/2006/relationships/worksheet" Target="/xl/worksheets/sheet34.xml" Id="Rd318f5ee6d884b57" /><Relationship Type="http://schemas.openxmlformats.org/officeDocument/2006/relationships/worksheet" Target="/xl/worksheets/sheet35.xml" Id="R531b5894a4594970" /><Relationship Type="http://schemas.openxmlformats.org/officeDocument/2006/relationships/worksheet" Target="/xl/worksheets/sheet36.xml" Id="R8b9bcea3ee674189" /><Relationship Type="http://schemas.openxmlformats.org/officeDocument/2006/relationships/worksheet" Target="/xl/worksheets/sheet37.xml" Id="R45b9c907e13649c7" /><Relationship Type="http://schemas.openxmlformats.org/officeDocument/2006/relationships/worksheet" Target="/xl/worksheets/sheet38.xml" Id="R2dee0247cb834a31" /><Relationship Type="http://schemas.openxmlformats.org/officeDocument/2006/relationships/worksheet" Target="/xl/worksheets/sheet39.xml" Id="R8a47181bd1394c8a" /><Relationship Type="http://schemas.openxmlformats.org/officeDocument/2006/relationships/worksheet" Target="/xl/worksheets/sheet40.xml" Id="R4be9dce94a104314" /><Relationship Type="http://schemas.openxmlformats.org/officeDocument/2006/relationships/worksheet" Target="/xl/worksheets/sheet41.xml" Id="Rdd3eb2638159415f" /><Relationship Type="http://schemas.openxmlformats.org/officeDocument/2006/relationships/worksheet" Target="/xl/worksheets/sheet42.xml" Id="R3aec699efc944c31" /><Relationship Type="http://schemas.openxmlformats.org/officeDocument/2006/relationships/worksheet" Target="/xl/worksheets/sheet43.xml" Id="R514a9415e71041ee" /><Relationship Type="http://schemas.openxmlformats.org/officeDocument/2006/relationships/worksheet" Target="/xl/worksheets/sheet44.xml" Id="R941c1e0e0a474d65" /><Relationship Type="http://schemas.openxmlformats.org/officeDocument/2006/relationships/worksheet" Target="/xl/worksheets/sheet45.xml" Id="Rc5f627db02444e93" /><Relationship Type="http://schemas.openxmlformats.org/officeDocument/2006/relationships/worksheet" Target="/xl/worksheets/sheet46.xml" Id="R9dd56afbafdf4c2a" /><Relationship Type="http://schemas.openxmlformats.org/officeDocument/2006/relationships/worksheet" Target="/xl/worksheets/sheet47.xml" Id="R9a9f99df723b48fd" /><Relationship Type="http://schemas.openxmlformats.org/officeDocument/2006/relationships/worksheet" Target="/xl/worksheets/sheet48.xml" Id="R21c5657886094cde" /><Relationship Type="http://schemas.openxmlformats.org/officeDocument/2006/relationships/worksheet" Target="/xl/worksheets/sheet49.xml" Id="R98d39e7a71c24772" /><Relationship Type="http://schemas.openxmlformats.org/officeDocument/2006/relationships/worksheet" Target="/xl/worksheets/sheet50.xml" Id="R3b7653dac9534862" /><Relationship Type="http://schemas.openxmlformats.org/officeDocument/2006/relationships/worksheet" Target="/xl/worksheets/sheet51.xml" Id="R9267777a8bfa44e8" /><Relationship Type="http://schemas.openxmlformats.org/officeDocument/2006/relationships/worksheet" Target="/xl/worksheets/sheet52.xml" Id="R63bf207b56ec45bf" /><Relationship Type="http://schemas.openxmlformats.org/officeDocument/2006/relationships/worksheet" Target="/xl/worksheets/sheet53.xml" Id="R1da585dcfe144b93"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40" hidden="0" customWidth="1"/>
    <x:col min="2" max="2" width="108" hidden="0" customWidth="1"/>
  </x:cols>
  <x:sheetData>
    <x:row r="1">
      <x:c r="A1" s="8" t="str">
        <x:v>Item</x:v>
      </x:c>
      <x:c r="B1" s="8" t="str">
        <x:v>Definition / status</x:v>
      </x:c>
    </x:row>
    <x:row r="2">
      <x:c r="A2" s="9" t="str">
        <x:v>Formal parent baseline</x:v>
      </x:c>
      <x:c r="B2" s="9" t="str">
        <x:v>R012_JB_Flood_Spatial_Baseline_2020_Polygon_Closure.xlsx</x:v>
      </x:c>
    </x:row>
    <x:row r="3">
      <x:c r="A3" s="9" t="str">
        <x:v>2021 scope</x:v>
      </x:c>
      <x:c r="B3" s="9" t="str">
        <x:v>2021 only. No 2022 data are included.</x:v>
      </x:c>
    </x:row>
    <x:row r="4">
      <x:c r="A4" s="9" t="str">
        <x:v>Event counting unit</x:v>
      </x:c>
      <x:c r="B4" s="9" t="str">
        <x:v>One row = one event-location record; locations in the same flood episode share a Dedup_Group_ID.</x:v>
      </x:c>
    </x:row>
    <x:row r="5">
      <x:c r="A5" s="9" t="str">
        <x:v>Duplicate rule</x:v>
      </x:c>
      <x:c r="B5" s="9" t="str">
        <x:v>Multiple reports of the same location in the same episode do not add event counts.</x:v>
      </x:c>
    </x:row>
    <x:row r="6">
      <x:c r="A6" s="9" t="str">
        <x:v>A1/A2 rule</x:v>
      </x:c>
      <x:c r="B6" s="9" t="str">
        <x:v>Older A1/A2 checkpoints were used only as search leads; formal 2021 rows were re-verified against cited sources.</x:v>
      </x:c>
    </x:row>
    <x:row r="7">
      <x:c r="A7" s="9" t="str">
        <x:v>Polygon rule</x:v>
      </x:c>
      <x:c r="B7" s="9" t="str">
        <x:v>Closed analysis polygon requires defensible source geometry. Community/facility polygons are not automatically inundation footprints.</x:v>
      </x:c>
    </x:row>
    <x:row r="8">
      <x:c r="A8" s="9" t="str">
        <x:v>Road rule</x:v>
      </x:c>
      <x:c r="B8" s="9" t="str">
        <x:v>A whole named road/highway is never assumed flooded; exact affected start/end segment remains OPEN without evidence.</x:v>
      </x:c>
    </x:row>
    <x:row r="9">
      <x:c r="A9" s="9" t="str">
        <x:v>2021 event-location rows</x:v>
      </x:c>
      <x:c r="B9" s="9" t="n">
        <x:v>46</x:v>
      </x:c>
    </x:row>
    <x:row r="10">
      <x:c r="A10" s="9" t="str">
        <x:v>2021 episode groups</x:v>
      </x:c>
      <x:c r="B10" s="9" t="n">
        <x:v>8</x:v>
      </x:c>
    </x:row>
    <x:row r="11">
      <x:c r="A11" s="9" t="str">
        <x:v>2021 unique spatial objects</x:v>
      </x:c>
      <x:c r="B11" s="9" t="n">
        <x:v>31</x:v>
      </x:c>
    </x:row>
    <x:row r="12">
      <x:c r="A12" s="9" t="str">
        <x:v>Strict Point-GIS-ready objects</x:v>
      </x:c>
      <x:c r="B12" s="9" t="n">
        <x:v>15</x:v>
      </x:c>
    </x:row>
    <x:row r="13">
      <x:c r="A13" s="9" t="str">
        <x:v>New closed polygons</x:v>
      </x:c>
      <x:c r="B13" s="9" t="n">
        <x:v>2</x:v>
      </x:c>
    </x:row>
    <x:row r="14">
      <x:c r="A14" s="9" t="str">
        <x:v>Reused closed polygons</x:v>
      </x:c>
      <x:c r="B14" s="9" t="n">
        <x:v>2</x:v>
      </x:c>
    </x:row>
    <x:row r="15">
      <x:c r="A15" s="9" t="str">
        <x:v>Directly usable 2021 closed analysis regions</x:v>
      </x:c>
      <x:c r="B15" s="9" t="n">
        <x:v>4</x:v>
      </x:c>
    </x:row>
    <x:row r="16">
      <x:c r="A16" s="9" t="str">
        <x:v>Cumulative event rows through 2020</x:v>
      </x:c>
      <x:c r="B16" s="9" t="n">
        <x:v>111</x:v>
      </x:c>
    </x:row>
    <x:row r="17">
      <x:c r="A17" s="9" t="str">
        <x:v>Cumulative event rows through 2021</x:v>
      </x:c>
      <x:c r="B17" s="9" t="n">
        <x:v>157</x:v>
      </x:c>
    </x:row>
    <x:row r="18">
      <x:c r="A18" s="9" t="str">
        <x:v>Cumulative closed polygons through 2020</x:v>
      </x:c>
      <x:c r="B18" s="9" t="n">
        <x:v>12</x:v>
      </x:c>
    </x:row>
    <x:row r="19">
      <x:c r="A19" s="9" t="str">
        <x:v>Cumulative closed polygons through 2021</x:v>
      </x:c>
      <x:c r="B19" s="9" t="n">
        <x:v>14</x:v>
      </x:c>
    </x:row>
    <x:row r="20">
      <x:c r="A20" s="9" t="str">
        <x:v>R012 byte-safety note</x:v>
      </x:c>
      <x:c r="B20" s="9" t="str">
        <x:v>R013/R014 are incremental 2021 layers keyed to R012; they do not renumber or overwrite the 77 frozen Location_IDs in R012.</x:v>
      </x:c>
    </x:row>
    <x:row r="21">
      <x:c r="A21" s="9" t="str">
        <x:v>2021 annual status</x:v>
      </x:c>
      <x:c r="B21" s="9" t="str">
        <x:v>Current defensible geometry frozen; unresolved road/subarea/identity objects retained for manual analysis.</x:v>
      </x:c>
    </x:row>
    <x:row r="22">
      <x:c r="A22" s="9" t="str">
        <x:v>Next-year rule</x:v>
      </x:c>
      <x:c r="B22" s="9" t="str">
        <x:v>STOP after 2021. Do not start 2022 without a new explicit instruction.</x:v>
      </x:c>
    </x:row>
    <x:row r="23">
      <x:c r="A23" s="9" t="str">
        <x:v>2022 EVENT + SPATIAL AUDIT</x:v>
      </x:c>
      <x:c r="B23" s="9" t="str">
        <x:v>R015 extends validated R014 and processes 2022 only.</x:v>
      </x:c>
    </x:row>
    <x:row r="24">
      <x:c r="A24" s="9" t="str">
        <x:v>2022 annual frequency backbone</x:v>
      </x:c>
      <x:c r="B24" s="9" t="str">
        <x:v>JPS annual report: Johor Bahru total 10 floods = 1 monsoon + 9 flash floods.</x:v>
      </x:c>
    </x:row>
    <x:row r="25">
      <x:c r="A25" s="9" t="str">
        <x:v>2022 event-location rows</x:v>
      </x:c>
      <x:c r="B25" s="9" t="n">
        <x:v>41</x:v>
      </x:c>
    </x:row>
    <x:row r="26">
      <x:c r="A26" s="9" t="str">
        <x:v>2022 episode groups</x:v>
      </x:c>
      <x:c r="B26" s="9" t="n">
        <x:v>10</x:v>
      </x:c>
    </x:row>
    <x:row r="27">
      <x:c r="A27" s="9" t="str">
        <x:v>2022 unique spatial objects</x:v>
      </x:c>
      <x:c r="B27" s="9" t="n">
        <x:v>37</x:v>
      </x:c>
    </x:row>
    <x:row r="28">
      <x:c r="A28" s="9" t="str">
        <x:v>2022 strict Point-GIS-ready objects</x:v>
      </x:c>
      <x:c r="B28" s="9" t="n">
        <x:v>25</x:v>
      </x:c>
    </x:row>
    <x:row r="29">
      <x:c r="A29" s="9" t="str">
        <x:v>2022 geometry rule</x:v>
      </x:c>
      <x:c r="B29" s="9" t="str">
        <x:v>Road/facility/community reference points do not imply an inundation footprint.</x:v>
      </x:c>
    </x:row>
    <x:row r="30">
      <x:c r="A30" s="9" t="str">
        <x:v>2022 provisional closure decision</x:v>
      </x:c>
      <x:c r="B30" s="9" t="str">
        <x:v>No new polygon will be created unless an exact defensible named closed geometry is available.</x:v>
      </x:c>
    </x:row>
    <x:row r="31">
      <x:c r="A31" s="9" t="str">
        <x:v>Year stop rule</x:v>
      </x:c>
      <x:c r="B31" s="9" t="str">
        <x:v>Process 2022 only; do not enter 2023 in this pass.</x:v>
      </x:c>
    </x:row>
    <x:row r="32">
      <x:c r="A32" s="9" t="str">
        <x:v>2022 POLYGON CLOSURE</x:v>
      </x:c>
      <x:c r="B32" s="9" t="str">
        <x:v>R016 completes the defensible 2022 geometry pass.</x:v>
      </x:c>
    </x:row>
    <x:row r="33">
      <x:c r="A33" s="9" t="str">
        <x:v>New 2022 Polygon_ID</x:v>
      </x:c>
      <x:c r="B33" s="9" t="n">
        <x:v>0</x:v>
      </x:c>
    </x:row>
    <x:row r="34">
      <x:c r="A34" s="9" t="str">
        <x:v>Reused polygons</x:v>
      </x:c>
      <x:c r="B34" s="9" t="str">
        <x:v>PG2020-KG-BARU-MUAFAKAT; PG2016-HSA-CAMPUS; PG2016-CBD-SEGGET</x:v>
      </x:c>
    </x:row>
    <x:row r="35">
      <x:c r="A35" s="9" t="str">
        <x:v>Cumulative Polygon_ID</x:v>
      </x:c>
      <x:c r="B35" s="9" t="n">
        <x:v>14</x:v>
      </x:c>
    </x:row>
    <x:row r="36">
      <x:c r="A36" s="9" t="str">
        <x:v>Bunga Ros caution</x:v>
      </x:c>
      <x:c r="B36" s="9" t="str">
        <x:v>Official Kampung Bunga Ros point is retained separately from the conflicting legacy HF37/Taman Bunga Ros coordinate; no automatic merge.</x:v>
      </x:c>
    </x:row>
    <x:row r="37">
      <x:c r="A37" s="9" t="str">
        <x:v>2022 annual state</x:v>
      </x:c>
      <x:c r="B37" s="9" t="str">
        <x:v>Current defensible geometry frozen; unresolved road/community/facility objects retained for manual analysis.</x:v>
      </x:c>
    </x:row>
    <x:row r="38">
      <x:c r="A38" s="9" t="str">
        <x:v>Next-year rule</x:v>
      </x:c>
      <x:c r="B38" s="9" t="str">
        <x:v>STOP after 2022. Do not start 2023 without a new explicit instruction.</x:v>
      </x:c>
    </x:row>
    <x:row r="39">
      <x:c r="A39" s="9" t="str">
        <x:v>2023 EVENT + SPATIAL AUDIT</x:v>
      </x:c>
      <x:c r="B39" s="9" t="str">
        <x:v>R017 extends validated R016 and processes 2023 only.</x:v>
      </x:c>
    </x:row>
    <x:row r="40">
      <x:c r="A40" s="9" t="str">
        <x:v>2023 exact event-location rows</x:v>
      </x:c>
      <x:c r="B40" s="9" t="n">
        <x:v>63</x:v>
      </x:c>
    </x:row>
    <x:row r="41">
      <x:c r="A41" s="9" t="str">
        <x:v>2023 exact episode groups</x:v>
      </x:c>
      <x:c r="B41" s="9" t="n">
        <x:v>8</x:v>
      </x:c>
    </x:row>
    <x:row r="42">
      <x:c r="A42" s="9" t="str">
        <x:v>2023 unique spatial objects</x:v>
      </x:c>
      <x:c r="B42" s="9" t="n">
        <x:v>57</x:v>
      </x:c>
    </x:row>
    <x:row r="43">
      <x:c r="A43" s="9" t="str">
        <x:v>2023 strict Point-GIS-ready objects</x:v>
      </x:c>
      <x:c r="B43" s="9" t="n">
        <x:v>29</x:v>
      </x:c>
    </x:row>
    <x:row r="44">
      <x:c r="A44" s="9" t="str">
        <x:v>2023 unresolved/non-counted evidence rows</x:v>
      </x:c>
      <x:c r="B44" s="9" t="n">
        <x:v>14</x:v>
      </x:c>
    </x:row>
    <x:row r="45">
      <x:c r="A45" s="9" t="str">
        <x:v>6 Dec interpretation</x:v>
      </x:c>
      <x:c r="B45" s="9" t="str">
        <x:v>MBJB reported 25 locations; the database also retains 3 additional non-duplicate locations explicitly observed by Utusan under the all-documented-location rule.</x:v>
      </x:c>
    </x:row>
    <x:row r="46">
      <x:c r="A46" s="9" t="str">
        <x:v>March period-level rule</x:v>
      </x:c>
      <x:c r="B46" s="9" t="str">
        <x:v>Parliamentary evidence confirms additional recent Tebrau flood locations but does not provide exact individual dates; unmatched names remain candidates, not dated events.</x:v>
      </x:c>
    </x:row>
    <x:row r="47">
      <x:c r="A47" s="9" t="str">
        <x:v>Road rule</x:v>
      </x:c>
      <x:c r="B47" s="9" t="str">
        <x:v>All road records remain segment-open unless exact affected start/end geometry is evidenced.</x:v>
      </x:c>
    </x:row>
    <x:row r="48">
      <x:c r="A48" s="9" t="str">
        <x:v>2023 provisional polygon decision</x:v>
      </x:c>
      <x:c r="B48" s="9" t="str">
        <x:v>No new Polygon_ID created. Only existing Kangkar Tebrau community polygon is reusable for explicit Kangkar Tebrau events.</x:v>
      </x:c>
    </x:row>
    <x:row r="49">
      <x:c r="A49" s="9" t="str">
        <x:v>2023 annual audit state</x:v>
      </x:c>
      <x:c r="B49" s="9" t="str">
        <x:v>Event + spatial audit complete under current evidence; open objects retained transparently.</x:v>
      </x:c>
    </x:row>
    <x:row r="50">
      <x:c r="A50" s="9" t="str">
        <x:v>Year stop rule</x:v>
      </x:c>
      <x:c r="B50" s="9" t="str">
        <x:v>Process 2023 only; do not enter 2024 in this pass.</x:v>
      </x:c>
    </x:row>
    <x:row r="51">
      <x:c r="A51" s="9" t="str">
        <x:v>2023 POLYGON CLOSURE</x:v>
      </x:c>
      <x:c r="B51" s="9" t="str">
        <x:v>R018 completes the defensible 2023 geometry pass.</x:v>
      </x:c>
    </x:row>
    <x:row r="52">
      <x:c r="A52" s="9" t="str">
        <x:v>New 2023 Polygon_ID</x:v>
      </x:c>
      <x:c r="B52" s="9" t="n">
        <x:v>0</x:v>
      </x:c>
    </x:row>
    <x:row r="53">
      <x:c r="A53" s="9" t="str">
        <x:v>Reused polygon</x:v>
      </x:c>
      <x:c r="B53" s="9" t="str">
        <x:v>PG2017-KG-KANGKAR-TEBRAU</x:v>
      </x:c>
    </x:row>
    <x:row r="54">
      <x:c r="A54" s="9" t="str">
        <x:v>Cumulative Polygon_ID</x:v>
      </x:c>
      <x:c r="B54" s="9" t="n">
        <x:v>14</x:v>
      </x:c>
    </x:row>
    <x:row r="55">
      <x:c r="A55" s="9" t="str">
        <x:v>No-fabrication result</x:v>
      </x:c>
      <x:c r="B55" s="9" t="str">
        <x:v>No Hutan Bandar, road, neighbourhood or candidate geometry is converted into a polygon without an exact defensible named closed boundary.</x:v>
      </x:c>
    </x:row>
    <x:row r="56">
      <x:c r="A56" s="9" t="str">
        <x:v>2023 annual state</x:v>
      </x:c>
      <x:c r="B56" s="9" t="str">
        <x:v>Current defensible geometry frozen; unresolved road/community/subarea objects retained for manual analysis.</x:v>
      </x:c>
    </x:row>
    <x:row r="57">
      <x:c r="A57" s="9" t="str">
        <x:v>Next-year rule</x:v>
      </x:c>
      <x:c r="B57" s="9" t="str">
        <x:v>STOP after 2023. Do not start 2024 without a new explicit instruction.</x:v>
      </x:c>
    </x:row>
    <x:row r="58">
      <x:c r="A58" s="9" t="str">
        <x:v>2024 EVENT + SPATIAL AUDIT</x:v>
      </x:c>
      <x:c r="B58" s="9" t="str">
        <x:v>R019 extends validated R018 and processes 2024 only.</x:v>
      </x:c>
    </x:row>
    <x:row r="59">
      <x:c r="A59" s="9" t="str">
        <x:v>2024 exact event-location rows</x:v>
      </x:c>
      <x:c r="B59" s="9" t="n">
        <x:v>15</x:v>
      </x:c>
    </x:row>
    <x:row r="60">
      <x:c r="A60" s="9" t="str">
        <x:v>2024 episode groups</x:v>
      </x:c>
      <x:c r="B60" s="9" t="n">
        <x:v>2</x:v>
      </x:c>
    </x:row>
    <x:row r="61">
      <x:c r="A61" s="9" t="str">
        <x:v>2024 unique spatial objects</x:v>
      </x:c>
      <x:c r="B61" s="9" t="n">
        <x:v>15</x:v>
      </x:c>
    </x:row>
    <x:row r="62">
      <x:c r="A62" s="9" t="str">
        <x:v>2024 strict Point-GIS-ready objects</x:v>
      </x:c>
      <x:c r="B62" s="9" t="n">
        <x:v>4</x:v>
      </x:c>
    </x:row>
    <x:row r="63">
      <x:c r="A63" s="9" t="str">
        <x:v>2024 unresolved/non-counted evidence rows</x:v>
      </x:c>
      <x:c r="B63" s="9" t="n">
        <x:v>9</x:v>
      </x:c>
    </x:row>
    <x:row r="64">
      <x:c r="A64" s="9" t="str">
        <x:v>January counting rule</x:v>
      </x:c>
      <x:c r="B64" s="9" t="str">
        <x:v>4–13 Jan is treated as one continuous monsoon episode; later daily reports add locations without creating duplicate episode counts.</x:v>
      </x:c>
    </x:row>
    <x:row r="65">
      <x:c r="A65" s="9" t="str">
        <x:v>PPS rule</x:v>
      </x:c>
      <x:c r="B65" s="9" t="str">
        <x:v>PPS site names are not automatically counted as inundated origin locations.</x:v>
      </x:c>
    </x:row>
    <x:row r="66">
      <x:c r="A66" s="9" t="str">
        <x:v>2024 road rule</x:v>
      </x:c>
      <x:c r="B66" s="9" t="str">
        <x:v>Jalan Kangkar Tebrau remains a road-segment object; the Kangkar Tebrau community polygon is not substituted.</x:v>
      </x:c>
    </x:row>
    <x:row r="67">
      <x:c r="A67" s="9" t="str">
        <x:v>2024 provisional polygon decision</x:v>
      </x:c>
      <x:c r="B67" s="9" t="str">
        <x:v>No new or reused polygon is applied to 2024 event rows under the current strict evidence.</x:v>
      </x:c>
    </x:row>
    <x:row r="68">
      <x:c r="A68" s="9" t="str">
        <x:v>2024 annual audit state</x:v>
      </x:c>
      <x:c r="B68" s="9" t="str">
        <x:v>Event + spatial audit complete under current evidence; open objects and period-level candidates retained transparently.</x:v>
      </x:c>
    </x:row>
    <x:row r="69">
      <x:c r="A69" s="9" t="str">
        <x:v>Year stop rule</x:v>
      </x:c>
      <x:c r="B69" s="9" t="str">
        <x:v>Process 2024 only; do not enter 2025 in this pass.</x:v>
      </x:c>
    </x:row>
    <x:row r="70">
      <x:c r="A70" s="9" t="str">
        <x:v>2024 POLYGON CLOSURE</x:v>
      </x:c>
      <x:c r="B70" s="9" t="str">
        <x:v>R020 completes the defensible 2024 geometry pass.</x:v>
      </x:c>
    </x:row>
    <x:row r="71">
      <x:c r="A71" s="9" t="str">
        <x:v>New 2024 Polygon_ID</x:v>
      </x:c>
      <x:c r="B71" s="9" t="n">
        <x:v>0</x:v>
      </x:c>
    </x:row>
    <x:row r="72">
      <x:c r="A72" s="9" t="str">
        <x:v>Reused closed polygons</x:v>
      </x:c>
      <x:c r="B72" s="9" t="n">
        <x:v>0</x:v>
      </x:c>
    </x:row>
    <x:row r="73">
      <x:c r="A73" s="9" t="str">
        <x:v>Cumulative Polygon_ID</x:v>
      </x:c>
      <x:c r="B73" s="9" t="n">
        <x:v>14</x:v>
      </x:c>
    </x:row>
    <x:row r="74">
      <x:c r="A74" s="9" t="str">
        <x:v>No-fabrication result</x:v>
      </x:c>
      <x:c r="B74" s="9" t="str">
        <x:v>No community polygon is applied to Jalan Kangkar Tebrau; no parent settlement polygon is applied to the Kangkar Tebrau Kiri temple event; no arbitrary road buffers are created.</x:v>
      </x:c>
    </x:row>
    <x:row r="75">
      <x:c r="A75" s="9" t="str">
        <x:v>2024 annual state</x:v>
      </x:c>
      <x:c r="B75" s="9" t="str">
        <x:v>Current defensible geometry frozen; all unresolved road/community/facility objects retained for manual analysis.</x:v>
      </x:c>
    </x:row>
    <x:row r="76">
      <x:c r="A76" s="9" t="str">
        <x:v>Next-year rule</x:v>
      </x:c>
      <x:c r="B76" s="9" t="str">
        <x:v>STOP after 2024. Do not start 2025 without a new explicit instruction.</x:v>
      </x:c>
    </x:row>
    <x:row r="77">
      <x:c r="A77" s="9" t="str">
        <x:v>2025 EVENT + SPATIAL AUDIT</x:v>
      </x:c>
      <x:c r="B77" s="9" t="str">
        <x:v>R021 extends validated R020 and processes 2025 only.</x:v>
      </x:c>
    </x:row>
    <x:row r="78">
      <x:c r="A78" s="9" t="str">
        <x:v>2025 exact event-location rows</x:v>
      </x:c>
      <x:c r="B78" s="9" t="n">
        <x:v>47</x:v>
      </x:c>
    </x:row>
    <x:row r="79">
      <x:c r="A79" s="9" t="str">
        <x:v>2025 episode groups</x:v>
      </x:c>
      <x:c r="B79" s="9" t="n">
        <x:v>6</x:v>
      </x:c>
    </x:row>
    <x:row r="80">
      <x:c r="A80" s="9" t="str">
        <x:v>2025 unique spatial objects</x:v>
      </x:c>
      <x:c r="B80" s="9" t="n">
        <x:v>41</x:v>
      </x:c>
    </x:row>
    <x:row r="81">
      <x:c r="A81" s="9" t="str">
        <x:v>2025 strict Point-GIS-ready objects</x:v>
      </x:c>
      <x:c r="B81" s="9" t="n">
        <x:v>20</x:v>
      </x:c>
    </x:row>
    <x:row r="82">
      <x:c r="A82" s="9" t="str">
        <x:v>2025 unresolved/non-counted evidence rows</x:v>
      </x:c>
      <x:c r="B82" s="9" t="n">
        <x:v>8</x:v>
      </x:c>
    </x:row>
    <x:row r="83">
      <x:c r="A83" s="9" t="str">
        <x:v>March counting rule</x:v>
      </x:c>
      <x:c r="B83" s="9" t="str">
        <x:v>19–24 Mar is one major flood episode. Communities, facilities and road segments share one Dedup_Group_ID and are not treated as separate flood episodes.</x:v>
      </x:c>
    </x:row>
    <x:row r="84">
      <x:c r="A84" s="9" t="str">
        <x:v>March 27-area rule</x:v>
      </x:c>
      <x:c r="B84" s="9" t="str">
        <x:v>MBJB mayor states 27 areas were affected, but only publicly named locations are entered; unnamed remainder stays unresolved.</x:v>
      </x:c>
    </x:row>
    <x:row r="85">
      <x:c r="A85" s="9" t="str">
        <x:v>JKR road rule</x:v>
      </x:c>
      <x:c r="B85" s="9" t="str">
        <x:v>Eight March JKR route/section records are retained as chainage-ready road segments; no arbitrary buffers are created.</x:v>
      </x:c>
    </x:row>
    <x:row r="86">
      <x:c r="A86" s="9" t="str">
        <x:v>December recurrence rule</x:v>
      </x:c>
      <x:c r="B86" s="9" t="str">
        <x:v>12 Dec and 13 Dec Kampung Mohd Amin are treated as separate daily recurrences because 12 Dec water receded and Bernama documents another flood on 13 Dec, while noting two consecutive days.</x:v>
      </x:c>
    </x:row>
    <x:row r="87">
      <x:c r="A87" s="9" t="str">
        <x:v>Facility rule</x:v>
      </x:c>
      <x:c r="B87" s="9" t="str">
        <x:v>Building Lily HSA remains building-specific; the entire HSA campus polygon is not substituted for the flooded building.</x:v>
      </x:c>
    </x:row>
    <x:row r="88">
      <x:c r="A88" s="9" t="str">
        <x:v>2025 provisional polygon decision</x:v>
      </x:c>
      <x:c r="B88" s="9" t="str">
        <x:v>No new Polygon_ID. Existing Kampung Kangkar Tebrau polygon may be reused only for explicit parent-community events.</x:v>
      </x:c>
    </x:row>
    <x:row r="89">
      <x:c r="A89" s="9" t="str">
        <x:v>Year stop rule</x:v>
      </x:c>
      <x:c r="B89" s="9" t="str">
        <x:v>Process 2025 only; do not enter 2026 in this pass.</x:v>
      </x:c>
    </x:row>
    <x:row r="90">
      <x:c r="A90" s="9" t="str">
        <x:v>2025 POLYGON CLOSURE</x:v>
      </x:c>
      <x:c r="B90" s="9" t="str">
        <x:v>R022 completes the defensible 2025 geometry pass.</x:v>
      </x:c>
    </x:row>
    <x:row r="91">
      <x:c r="A91" s="9" t="str">
        <x:v>New 2025 Polygon_ID</x:v>
      </x:c>
      <x:c r="B91" s="9" t="n">
        <x:v>0</x:v>
      </x:c>
    </x:row>
    <x:row r="92">
      <x:c r="A92" s="9" t="str">
        <x:v>Reused closed polygon</x:v>
      </x:c>
      <x:c r="B92" s="9" t="str">
        <x:v>PG2017-KG-KANGKAR-TEBRAU</x:v>
      </x:c>
    </x:row>
    <x:row r="93">
      <x:c r="A93" s="9" t="str">
        <x:v>Cumulative Polygon_ID</x:v>
      </x:c>
      <x:c r="B93" s="9" t="n">
        <x:v>14</x:v>
      </x:c>
    </x:row>
    <x:row r="94">
      <x:c r="A94" s="9" t="str">
        <x:v>No-fabrication result</x:v>
      </x:c>
      <x:c r="B94" s="9" t="str">
        <x:v>No community polygon is substituted for JKR road sections, Jalan Sukun, the HSA Lily building, or unnamed MBJB locations.</x:v>
      </x:c>
    </x:row>
    <x:row r="95">
      <x:c r="A95" s="9" t="str">
        <x:v>2025 annual state</x:v>
      </x:c>
      <x:c r="B95" s="9" t="str">
        <x:v>Current defensible event and geometry baseline frozen; unresolved names, building footprints and road WKT reconstruction tasks retained for manual analysis.</x:v>
      </x:c>
    </x:row>
    <x:row r="96">
      <x:c r="A96" s="9" t="str">
        <x:v>Next-year rule</x:v>
      </x:c>
      <x:c r="B96" s="9" t="str">
        <x:v>STOP after 2025. Do not start 2026 without a new explicit instruction.</x:v>
      </x:c>
    </x:row>
    <x:row r="97">
      <x:c r="A97" s="9" t="str">
        <x:v>2026 PARTIAL-YEAR EVENT + SPATIAL AUDIT</x:v>
      </x:c>
      <x:c r="B97" s="9" t="str">
        <x:v>R023 extends validated R022. Cut-off is 2026-10-06; future 2026 events after the cut-off are not prefilled.</x:v>
      </x:c>
    </x:row>
    <x:row r="98">
      <x:c r="A98" s="9" t="str">
        <x:v>2026 study cut-off</x:v>
      </x:c>
      <x:c r="B98" s="9" t="str">
        <x:v>2026-10-06</x:v>
      </x:c>
    </x:row>
    <x:row r="99">
      <x:c r="A99" s="9" t="str">
        <x:v>2026 exact event-location rows</x:v>
      </x:c>
      <x:c r="B99" s="9" t="n">
        <x:v>23</x:v>
      </x:c>
    </x:row>
    <x:row r="100">
      <x:c r="A100" s="9" t="str">
        <x:v>2026 exact episode groups</x:v>
      </x:c>
      <x:c r="B100" s="9" t="n">
        <x:v>1</x:v>
      </x:c>
    </x:row>
    <x:row r="101">
      <x:c r="A101" s="9" t="str">
        <x:v>2026 unique spatial objects</x:v>
      </x:c>
      <x:c r="B101" s="9" t="n">
        <x:v>23</x:v>
      </x:c>
    </x:row>
    <x:row r="102">
      <x:c r="A102" s="9" t="str">
        <x:v>2026 strict Point-GIS-ready objects</x:v>
      </x:c>
      <x:c r="B102" s="9" t="n">
        <x:v>10</x:v>
      </x:c>
    </x:row>
    <x:row r="103">
      <x:c r="A103" s="9" t="str">
        <x:v>2026 unresolved/non-counted evidence rows</x:v>
      </x:c>
      <x:c r="B103" s="9" t="n">
        <x:v>8</x:v>
      </x:c>
    </x:row>
    <x:row r="104">
      <x:c r="A104" s="9" t="str">
        <x:v>April rule</x:v>
      </x:c>
      <x:c r="B104" s="9" t="str">
        <x:v>Jalan Kota Tinggi FT003 Ulu Tiram is a credible independent flood event, but exact day is unresolved; it remains a candidate and is not assigned a fabricated date.</x:v>
      </x:c>
    </x:row>
    <x:row r="105">
      <x:c r="A105" s="9" t="str">
        <x:v>30 Sep rule</x:v>
      </x:c>
      <x:c r="B105" s="9" t="str">
        <x:v>All exact dated 2026 rows belong to one documented urban flash-flood episode on 30 Sep.</x:v>
      </x:c>
    </x:row>
    <x:row r="106">
      <x:c r="A106" s="9" t="str">
        <x:v>1 Oct publication rule</x:v>
      </x:c>
      <x:c r="B106" s="9" t="str">
        <x:v>NADMA 1 Oct kindergarten rescue article duplicates the same 30 Sep 3:53 pm Jalan Muhd Amin rescue and is not counted as a second event.</x:v>
      </x:c>
    </x:row>
    <x:row r="107">
      <x:c r="A107" s="9" t="str">
        <x:v>Post-event inspection rule</x:v>
      </x:c>
      <x:c r="B107" s="9" t="str">
        <x:v>Tabung Haji/Jalan Danga/Dataran infrastructure inspection locations are not promoted to event rows without explicit inundation wording.</x:v>
      </x:c>
    </x:row>
    <x:row r="108">
      <x:c r="A108" s="9" t="str">
        <x:v>Polygon rule</x:v>
      </x:c>
      <x:c r="B108" s="9" t="str">
        <x:v>Only Kampung Tuah Jaya has a defensible reusable closed community polygon among 2026 formal event objects.</x:v>
      </x:c>
    </x:row>
    <x:row r="109">
      <x:c r="A109" s="9" t="str">
        <x:v>Current-year status</x:v>
      </x:c>
      <x:c r="B109" s="9" t="str">
        <x:v>2026 is necessarily a partial year at this cut-off. Calendar-year closure requires a later update after 31 Dec 2026.</x:v>
      </x:c>
    </x:row>
    <x:row r="110">
      <x:c r="A110" s="9" t="str">
        <x:v>Year boundary rule</x:v>
      </x:c>
      <x:c r="B110" s="9" t="str">
        <x:v>Do not enter 2027.</x:v>
      </x:c>
    </x:row>
    <x:row r="111">
      <x:c r="A111" s="9" t="str">
        <x:v>Next analytical stage</x:v>
      </x:c>
      <x:c r="B111" s="9" t="str">
        <x:v>After calendar-year completion, compute the 2016–2026 independent-event frequency classes (1–3 / 4–6 / &gt;=7) using the full frozen lineage.</x:v>
      </x:c>
    </x:row>
    <x:row r="112">
      <x:c r="A112" s="9" t="str">
        <x:v>2026 PARTIAL-YEAR POLYGON CLOSURE</x:v>
      </x:c>
      <x:c r="B112" s="9" t="str">
        <x:v>R024 completes the defensible geometry pass through 2026-10-06.</x:v>
      </x:c>
    </x:row>
    <x:row r="113">
      <x:c r="A113" s="9" t="str">
        <x:v>New 2026 Polygon_ID</x:v>
      </x:c>
      <x:c r="B113" s="9" t="n">
        <x:v>0</x:v>
      </x:c>
    </x:row>
    <x:row r="114">
      <x:c r="A114" s="9" t="str">
        <x:v>Reused closed polygon</x:v>
      </x:c>
      <x:c r="B114" s="9" t="str">
        <x:v>PG2017-TUAH-JAYA</x:v>
      </x:c>
    </x:row>
    <x:row r="115">
      <x:c r="A115" s="9" t="str">
        <x:v>Cumulative Polygon_ID</x:v>
      </x:c>
      <x:c r="B115" s="9" t="n">
        <x:v>14</x:v>
      </x:c>
    </x:row>
    <x:row r="116">
      <x:c r="A116" s="9" t="str">
        <x:v>No-fabrication result</x:v>
      </x:c>
      <x:c r="B116" s="9" t="str">
        <x:v>No road, school, kindergarten, hotel, mall, federal-building car park, or unresolved April FT003 event is converted into a polygon without exact defensible geometry.</x:v>
      </x:c>
    </x:row>
    <x:row r="117">
      <x:c r="A117" s="9" t="str">
        <x:v>2026 partial-year state</x:v>
      </x:c>
      <x:c r="B117" s="9" t="str">
        <x:v>Current defensible event and geometry baseline frozen through 2026-10-06; later 2026 events require a future update.</x:v>
      </x:c>
    </x:row>
    <x:row r="118">
      <x:c r="A118" s="9" t="str">
        <x:v>Calendar-year warning</x:v>
      </x:c>
      <x:c r="B118" s="9" t="str">
        <x:v>This is not a 31-Dec-2026 full-year closure because 7 Oct–31 Dec 2026 have not occurred yet.</x:v>
      </x:c>
    </x:row>
    <x:row r="119">
      <x:c r="A119" s="9" t="str">
        <x:v>2027 rule</x:v>
      </x:c>
      <x:c r="B119" s="9" t="str">
        <x:v>STOP before 2027.</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1" hidden="0" customWidth="1"/>
    <x:col min="5" max="5" width="16" hidden="0" customWidth="1"/>
    <x:col min="6" max="6" width="31" hidden="0" customWidth="1"/>
    <x:col min="7" max="7" width="22" hidden="0" customWidth="1"/>
    <x:col min="8" max="8" width="13" hidden="0" customWidth="1"/>
    <x:col min="9" max="9" width="27" hidden="0" customWidth="1"/>
    <x:col min="10" max="10" width="27" hidden="0" customWidth="1"/>
    <x:col min="11" max="11" width="36" hidden="0" customWidth="1"/>
    <x:col min="12" max="12" width="48" hidden="0" customWidth="1"/>
  </x:cols>
  <x:sheetData>
    <x:row r="1">
      <x:c r="A1" s="16" t="str">
        <x:v>Event_ID</x:v>
      </x:c>
      <x:c r="B1" s="16" t="str">
        <x:v>Event_Date</x:v>
      </x:c>
      <x:c r="C1" s="16" t="str">
        <x:v>Dedup_Group_ID</x:v>
      </x:c>
      <x:c r="D1" s="16" t="str">
        <x:v>Source_Location_Label</x:v>
      </x:c>
      <x:c r="E1" s="16" t="str">
        <x:v>Spatial_Object_Key</x:v>
      </x:c>
      <x:c r="F1" s="16" t="str">
        <x:v>Canonical_Spatial_Object</x:v>
      </x:c>
      <x:c r="G1" s="16" t="str">
        <x:v>Event_Type</x:v>
      </x:c>
      <x:c r="H1" s="16" t="str">
        <x:v>Evidence_Tier</x:v>
      </x:c>
      <x:c r="I1" s="16" t="str">
        <x:v>Primary_Source_ID</x:v>
      </x:c>
      <x:c r="J1" s="16" t="str">
        <x:v>Secondary_Source_ID</x:v>
      </x:c>
      <x:c r="K1" s="16" t="str">
        <x:v>Date_Precision</x:v>
      </x:c>
      <x:c r="L1" s="16" t="str">
        <x:v>Notes</x:v>
      </x:c>
    </x:row>
    <x:row r="2">
      <x:c r="A2" s="17" t="str">
        <x:v>EVT-JB-2021-001</x:v>
      </x:c>
      <x:c r="B2" s="17" t="str">
        <x:v>2021-01-02</x:v>
      </x:c>
      <x:c r="C2" s="17" t="str">
        <x:v>DG-JB-20210101-20210102</x:v>
      </x:c>
      <x:c r="D2" s="17" t="str">
        <x:v>Kampung Laut Batu 10, Skudai</x:v>
      </x:c>
      <x:c r="E2" s="17" t="str">
        <x:v>S2021-001</x:v>
      </x:c>
      <x:c r="F2" s="17" t="str">
        <x:v>Kampung Laut Batu 10, Skudai</x:v>
      </x:c>
      <x:c r="G2" s="17" t="str">
        <x:v>Flood / flash flood</x:v>
      </x:c>
      <x:c r="H2" s="17" t="str">
        <x:v>A/B</x:v>
      </x:c>
      <x:c r="I2" s="17" t="str">
        <x:v>SRC2021-JAN02-BERNAMA</x:v>
      </x:c>
      <x:c r="J2" s="17" t="str">
        <x:v>SRC2021-JAN02-KOSMO</x:v>
      </x:c>
      <x:c r="K2" s="17" t="str">
        <x:v>Episode spans 2021-01-01 to 2021-01-02; anchored to confirmed 2 Jan evidence</x:v>
      </x:c>
      <x:c r="L2" s="17" t="str"/>
    </x:row>
    <x:row r="3">
      <x:c r="A3" s="17" t="str">
        <x:v>EVT-JB-2021-002</x:v>
      </x:c>
      <x:c r="B3" s="17" t="str">
        <x:v>2021-01-02</x:v>
      </x:c>
      <x:c r="C3" s="17" t="str">
        <x:v>DG-JB-20210101-20210102</x:v>
      </x:c>
      <x:c r="D3" s="17" t="str">
        <x:v>Kampung Sentosa Barat</x:v>
      </x:c>
      <x:c r="E3" s="17" t="str">
        <x:v>S2021-002</x:v>
      </x:c>
      <x:c r="F3" s="17" t="str">
        <x:v>Kampung Sentosa Barat</x:v>
      </x:c>
      <x:c r="G3" s="17" t="str">
        <x:v>Flood / flash flood</x:v>
      </x:c>
      <x:c r="H3" s="17" t="str">
        <x:v>A/B</x:v>
      </x:c>
      <x:c r="I3" s="17" t="str">
        <x:v>SRC2021-JAN02-BERNAMA</x:v>
      </x:c>
      <x:c r="J3" s="17" t="str">
        <x:v>SRC2021-JAN02-KOSMO</x:v>
      </x:c>
      <x:c r="K3" s="17" t="str">
        <x:v>Episode spans 2021-01-01 to 2021-01-02; anchored to confirmed 2 Jan evidence</x:v>
      </x:c>
      <x:c r="L3" s="17" t="str"/>
    </x:row>
    <x:row r="4">
      <x:c r="A4" s="17" t="str">
        <x:v>EVT-JB-2021-003</x:v>
      </x:c>
      <x:c r="B4" s="17" t="str">
        <x:v>2021-01-02</x:v>
      </x:c>
      <x:c r="C4" s="17" t="str">
        <x:v>DG-JB-20210101-20210102</x:v>
      </x:c>
      <x:c r="D4" s="17" t="str">
        <x:v>Kampung Sentosa Damai</x:v>
      </x:c>
      <x:c r="E4" s="17" t="str">
        <x:v>S2021-003</x:v>
      </x:c>
      <x:c r="F4" s="17" t="str">
        <x:v>Kampung Sentosa Damai</x:v>
      </x:c>
      <x:c r="G4" s="17" t="str">
        <x:v>Flood / flash flood</x:v>
      </x:c>
      <x:c r="H4" s="17" t="str">
        <x:v>A/B</x:v>
      </x:c>
      <x:c r="I4" s="17" t="str">
        <x:v>SRC2021-JAN02-BERNAMA</x:v>
      </x:c>
      <x:c r="J4" s="17" t="str">
        <x:v>SRC2021-JAN02-KOSMO</x:v>
      </x:c>
      <x:c r="K4" s="17" t="str">
        <x:v>Episode spans 2021-01-01 to 2021-01-02; anchored to confirmed 2 Jan evidence</x:v>
      </x:c>
      <x:c r="L4" s="17" t="str"/>
    </x:row>
    <x:row r="5">
      <x:c r="A5" s="17" t="str">
        <x:v>EVT-JB-2021-004</x:v>
      </x:c>
      <x:c r="B5" s="17" t="str">
        <x:v>2021-01-02</x:v>
      </x:c>
      <x:c r="C5" s="17" t="str">
        <x:v>DG-JB-20210101-20210102</x:v>
      </x:c>
      <x:c r="D5" s="17" t="str">
        <x:v>Lorong Aris Batu 8, Skudai</x:v>
      </x:c>
      <x:c r="E5" s="17" t="str">
        <x:v>S2021-004</x:v>
      </x:c>
      <x:c r="F5" s="17" t="str">
        <x:v>Lorong Aris Batu 8, Skudai</x:v>
      </x:c>
      <x:c r="G5" s="17" t="str">
        <x:v>Flood / flash flood</x:v>
      </x:c>
      <x:c r="H5" s="17" t="str">
        <x:v>A/B</x:v>
      </x:c>
      <x:c r="I5" s="17" t="str">
        <x:v>SRC2021-JAN02-BERNAMA</x:v>
      </x:c>
      <x:c r="J5" s="17" t="str">
        <x:v>SRC2021-DOSM-JB</x:v>
      </x:c>
      <x:c r="K5" s="17" t="str">
        <x:v>Episode spans 2021-01-01 to 2021-01-02; anchored to confirmed 2 Jan evidence</x:v>
      </x:c>
      <x:c r="L5" s="17" t="str"/>
    </x:row>
    <x:row r="6">
      <x:c r="A6" s="17" t="str">
        <x:v>EVT-JB-2021-005</x:v>
      </x:c>
      <x:c r="B6" s="17" t="str">
        <x:v>2021-01-02</x:v>
      </x:c>
      <x:c r="C6" s="17" t="str">
        <x:v>DG-JB-20210101-20210102</x:v>
      </x:c>
      <x:c r="D6" s="17" t="str">
        <x:v>Rumah Orang Tua Sam Poh</x:v>
      </x:c>
      <x:c r="E6" s="17" t="str">
        <x:v>S2021-005</x:v>
      </x:c>
      <x:c r="F6" s="17" t="str">
        <x:v>Rumah Orang Tua Sam Poh</x:v>
      </x:c>
      <x:c r="G6" s="17" t="str">
        <x:v>Flood / flash flood</x:v>
      </x:c>
      <x:c r="H6" s="17" t="str">
        <x:v>A/B</x:v>
      </x:c>
      <x:c r="I6" s="17" t="str">
        <x:v>SRC2021-JAN02-BERNAMA</x:v>
      </x:c>
      <x:c r="J6" s="17" t="str">
        <x:v>SRC2021-DOSM-JB</x:v>
      </x:c>
      <x:c r="K6" s="17" t="str">
        <x:v>Episode spans 2021-01-01 to 2021-01-02; anchored to confirmed 2 Jan evidence</x:v>
      </x:c>
      <x:c r="L6" s="17" t="str"/>
    </x:row>
    <x:row r="7">
      <x:c r="A7" s="17" t="str">
        <x:v>EVT-JB-2021-006</x:v>
      </x:c>
      <x:c r="B7" s="17" t="str">
        <x:v>2021-01-02</x:v>
      </x:c>
      <x:c r="C7" s="17" t="str">
        <x:v>DG-JB-20210101-20210102</x:v>
      </x:c>
      <x:c r="D7" s="17" t="str">
        <x:v>Kampung Pasir</x:v>
      </x:c>
      <x:c r="E7" s="17" t="str">
        <x:v>S2021-006</x:v>
      </x:c>
      <x:c r="F7" s="17" t="str">
        <x:v>Kampung Pasir</x:v>
      </x:c>
      <x:c r="G7" s="17" t="str">
        <x:v>Flood / flash flood</x:v>
      </x:c>
      <x:c r="H7" s="17" t="str">
        <x:v>A/B</x:v>
      </x:c>
      <x:c r="I7" s="17" t="str">
        <x:v>SRC2021-JAN02-KOSMO</x:v>
      </x:c>
      <x:c r="J7" s="17" t="str"/>
      <x:c r="K7" s="17" t="str">
        <x:v>Episode spans 2021-01-01 to 2021-01-02; anchored to confirmed 2 Jan evidence</x:v>
      </x:c>
      <x:c r="L7" s="17" t="str">
        <x:v>PPS had already closed by report time; event still explicitly linked.</x:v>
      </x:c>
    </x:row>
    <x:row r="8">
      <x:c r="A8" s="17" t="str">
        <x:v>EVT-JB-2021-007</x:v>
      </x:c>
      <x:c r="B8" s="17" t="str">
        <x:v>2021-01-02</x:v>
      </x:c>
      <x:c r="C8" s="17" t="str">
        <x:v>DG-JB-20210101-20210102</x:v>
      </x:c>
      <x:c r="D8" s="17" t="str">
        <x:v>Kampung Teluk Serdang Baru</x:v>
      </x:c>
      <x:c r="E8" s="17" t="str">
        <x:v>S2021-007</x:v>
      </x:c>
      <x:c r="F8" s="17" t="str">
        <x:v>Kampung Teluk Serdang Baru</x:v>
      </x:c>
      <x:c r="G8" s="17" t="str">
        <x:v>Flood / flash flood</x:v>
      </x:c>
      <x:c r="H8" s="17" t="str">
        <x:v>A/B</x:v>
      </x:c>
      <x:c r="I8" s="17" t="str">
        <x:v>SRC2021-JAN02-KOSMO</x:v>
      </x:c>
      <x:c r="J8" s="17" t="str"/>
      <x:c r="K8" s="17" t="str">
        <x:v>Episode spans 2021-01-01 to 2021-01-02; anchored to confirmed 2 Jan evidence</x:v>
      </x:c>
      <x:c r="L8" s="17" t="str">
        <x:v>PPS had already closed by report time; event still explicitly linked.</x:v>
      </x:c>
    </x:row>
    <x:row r="9">
      <x:c r="A9" s="17" t="str">
        <x:v>EVT-JB-2021-008</x:v>
      </x:c>
      <x:c r="B9" s="17" t="str">
        <x:v>2021-01-02</x:v>
      </x:c>
      <x:c r="C9" s="17" t="str">
        <x:v>DG-JB-20210101-20210102</x:v>
      </x:c>
      <x:c r="D9" s="17" t="str">
        <x:v>Kampung Sepakat Baru</x:v>
      </x:c>
      <x:c r="E9" s="17" t="str">
        <x:v>S2021-008</x:v>
      </x:c>
      <x:c r="F9" s="17" t="str">
        <x:v>Kampung Sepakat Baru</x:v>
      </x:c>
      <x:c r="G9" s="17" t="str">
        <x:v>Flood / flash flood</x:v>
      </x:c>
      <x:c r="H9" s="17" t="str">
        <x:v>A/B</x:v>
      </x:c>
      <x:c r="I9" s="17" t="str">
        <x:v>SRC2021-JAN02-BERNAMA-PHOTO</x:v>
      </x:c>
      <x:c r="J9" s="17" t="str"/>
      <x:c r="K9" s="17" t="str">
        <x:v>Episode spans 2021-01-01 to 2021-01-02; anchored to confirmed 2 Jan evidence</x:v>
      </x:c>
      <x:c r="L9" s="17" t="str">
        <x:v>Bernama documentary evidence.</x:v>
      </x:c>
    </x:row>
    <x:row r="10">
      <x:c r="A10" s="17" t="str">
        <x:v>EVT-JB-2021-009</x:v>
      </x:c>
      <x:c r="B10" s="17" t="str">
        <x:v>2021-01-02</x:v>
      </x:c>
      <x:c r="C10" s="17" t="str">
        <x:v>DG-JB-20210101-20210102</x:v>
      </x:c>
      <x:c r="D10" s="17" t="str">
        <x:v>Kampung Paya Kenangan</x:v>
      </x:c>
      <x:c r="E10" s="17" t="str">
        <x:v>S2021-009</x:v>
      </x:c>
      <x:c r="F10" s="17" t="str">
        <x:v>Kampung Paya Kenangan</x:v>
      </x:c>
      <x:c r="G10" s="17" t="str">
        <x:v>Flood / flash flood</x:v>
      </x:c>
      <x:c r="H10" s="17" t="str">
        <x:v>A/B</x:v>
      </x:c>
      <x:c r="I10" s="17" t="str">
        <x:v>SRC2021-JAN04-BERNAMA</x:v>
      </x:c>
      <x:c r="J10" s="17" t="str">
        <x:v>SRC2021-JAN04-UTUSAN</x:v>
      </x:c>
      <x:c r="K10" s="17" t="str">
        <x:v>Exact day inferred from 'two days ago' statement</x:v>
      </x:c>
      <x:c r="L10" s="17" t="str">
        <x:v>4 Jan source states flood occurred two days earlier.</x:v>
      </x:c>
    </x:row>
    <x:row r="11">
      <x:c r="A11" s="17" t="str">
        <x:v>EVT-JB-2021-010</x:v>
      </x:c>
      <x:c r="B11" s="17" t="str">
        <x:v>2021-01-02</x:v>
      </x:c>
      <x:c r="C11" s="17" t="str">
        <x:v>DG-JB-20210101-20210102</x:v>
      </x:c>
      <x:c r="D11" s="17" t="str">
        <x:v>Kampung Pasir Tebrau</x:v>
      </x:c>
      <x:c r="E11" s="17" t="str">
        <x:v>S2021-010</x:v>
      </x:c>
      <x:c r="F11" s="17" t="str">
        <x:v>Kampung Pasir Tebrau</x:v>
      </x:c>
      <x:c r="G11" s="17" t="str">
        <x:v>Flood / flash flood</x:v>
      </x:c>
      <x:c r="H11" s="17" t="str">
        <x:v>A/B</x:v>
      </x:c>
      <x:c r="I11" s="17" t="str">
        <x:v>SRC2021-JAN04-BERNAMA</x:v>
      </x:c>
      <x:c r="J11" s="17" t="str">
        <x:v>SRC2021-JAN04-UTUSAN</x:v>
      </x:c>
      <x:c r="K11" s="17" t="str">
        <x:v>Exact day inferred from 'two days ago' statement</x:v>
      </x:c>
      <x:c r="L11" s="17" t="str">
        <x:v>4 Jan source states flood occurred two days earlier.</x:v>
      </x:c>
    </x:row>
    <x:row r="12">
      <x:c r="A12" s="17" t="str">
        <x:v>EVT-JB-2021-011</x:v>
      </x:c>
      <x:c r="B12" s="17" t="str">
        <x:v>2021-01-02</x:v>
      </x:c>
      <x:c r="C12" s="17" t="str">
        <x:v>DG-JB-20210101-20210102</x:v>
      </x:c>
      <x:c r="D12" s="17" t="str">
        <x:v>Kampung Kangkar Tebrau</x:v>
      </x:c>
      <x:c r="E12" s="17" t="str">
        <x:v>S2021-011</x:v>
      </x:c>
      <x:c r="F12" s="17" t="str">
        <x:v>Kampung Kangkar Tebrau</x:v>
      </x:c>
      <x:c r="G12" s="17" t="str">
        <x:v>Flood / flash flood</x:v>
      </x:c>
      <x:c r="H12" s="17" t="str">
        <x:v>A/B</x:v>
      </x:c>
      <x:c r="I12" s="17" t="str">
        <x:v>SRC2021-JAN04-BERNAMA</x:v>
      </x:c>
      <x:c r="J12" s="17" t="str">
        <x:v>SRC2021-JAN04-UTUSAN</x:v>
      </x:c>
      <x:c r="K12" s="17" t="str">
        <x:v>Exact day inferred from 'two days ago' statement</x:v>
      </x:c>
      <x:c r="L12" s="17" t="str">
        <x:v>4 Jan source states flood occurred two days earlier.</x:v>
      </x:c>
    </x:row>
    <x:row r="13">
      <x:c r="A13" s="17" t="str">
        <x:v>EVT-JB-2021-012</x:v>
      </x:c>
      <x:c r="B13" s="17" t="str">
        <x:v>2021-01-10</x:v>
      </x:c>
      <x:c r="C13" s="17" t="str">
        <x:v>DG-JB-20210110</x:v>
      </x:c>
      <x:c r="D13" s="17" t="str">
        <x:v>Kampung Laut</x:v>
      </x:c>
      <x:c r="E13" s="17" t="str">
        <x:v>S2021-001</x:v>
      </x:c>
      <x:c r="F13" s="17" t="str">
        <x:v>Kampung Laut Batu 10, Skudai</x:v>
      </x:c>
      <x:c r="G13" s="17" t="str">
        <x:v>Flood</x:v>
      </x:c>
      <x:c r="H13" s="17" t="str">
        <x:v>B</x:v>
      </x:c>
      <x:c r="I13" s="17" t="str">
        <x:v>SRC2021-JAN10-KOSMO</x:v>
      </x:c>
      <x:c r="J13" s="17" t="str">
        <x:v>SRC2021-JAN10-BERNAMA-MM</x:v>
      </x:c>
      <x:c r="K13" s="17" t="str">
        <x:v>Exact day</x:v>
      </x:c>
      <x:c r="L13" s="17" t="str"/>
    </x:row>
    <x:row r="14">
      <x:c r="A14" s="17" t="str">
        <x:v>EVT-JB-2021-013</x:v>
      </x:c>
      <x:c r="B14" s="17" t="str">
        <x:v>2021-01-10</x:v>
      </x:c>
      <x:c r="C14" s="17" t="str">
        <x:v>DG-JB-20210110</x:v>
      </x:c>
      <x:c r="D14" s="17" t="str">
        <x:v>Kampung Sepakat</x:v>
      </x:c>
      <x:c r="E14" s="17" t="str">
        <x:v>S2021-008</x:v>
      </x:c>
      <x:c r="F14" s="17" t="str">
        <x:v>Kampung Sepakat Baru</x:v>
      </x:c>
      <x:c r="G14" s="17" t="str">
        <x:v>Flood</x:v>
      </x:c>
      <x:c r="H14" s="17" t="str">
        <x:v>B</x:v>
      </x:c>
      <x:c r="I14" s="17" t="str">
        <x:v>SRC2021-JAN10-KOSMO</x:v>
      </x:c>
      <x:c r="J14" s="17" t="str"/>
      <x:c r="K14" s="17" t="str">
        <x:v>Exact day</x:v>
      </x:c>
      <x:c r="L14" s="17" t="str">
        <x:v>Source label 'Kampung Sepakat' normalized cautiously to established Kampung Sepakat Baru object.</x:v>
      </x:c>
    </x:row>
    <x:row r="15">
      <x:c r="A15" s="17" t="str">
        <x:v>EVT-JB-2021-014</x:v>
      </x:c>
      <x:c r="B15" s="17" t="str">
        <x:v>2021-01-10</x:v>
      </x:c>
      <x:c r="C15" s="17" t="str">
        <x:v>DG-JB-20210110</x:v>
      </x:c>
      <x:c r="D15" s="17" t="str">
        <x:v>Simpang Mados</x:v>
      </x:c>
      <x:c r="E15" s="17" t="str">
        <x:v>S2021-012</x:v>
      </x:c>
      <x:c r="F15" s="17" t="str">
        <x:v>Simpang Mados</x:v>
      </x:c>
      <x:c r="G15" s="17" t="str">
        <x:v>Flood</x:v>
      </x:c>
      <x:c r="H15" s="17" t="str">
        <x:v>B</x:v>
      </x:c>
      <x:c r="I15" s="17" t="str">
        <x:v>SRC2021-JAN10-KOSMO</x:v>
      </x:c>
      <x:c r="J15" s="17" t="str"/>
      <x:c r="K15" s="17" t="str">
        <x:v>Exact day</x:v>
      </x:c>
      <x:c r="L15" s="17" t="str"/>
    </x:row>
    <x:row r="16">
      <x:c r="A16" s="17" t="str">
        <x:v>EVT-JB-2021-015</x:v>
      </x:c>
      <x:c r="B16" s="17" t="str">
        <x:v>2021-01-10</x:v>
      </x:c>
      <x:c r="C16" s="17" t="str">
        <x:v>DG-JB-20210110</x:v>
      </x:c>
      <x:c r="D16" s="17" t="str">
        <x:v>Batu 20 Sungai Tiram</x:v>
      </x:c>
      <x:c r="E16" s="17" t="str">
        <x:v>S2021-013</x:v>
      </x:c>
      <x:c r="F16" s="17" t="str">
        <x:v>Batu 20 Sungai Tiram</x:v>
      </x:c>
      <x:c r="G16" s="17" t="str">
        <x:v>Flood</x:v>
      </x:c>
      <x:c r="H16" s="17" t="str">
        <x:v>B</x:v>
      </x:c>
      <x:c r="I16" s="17" t="str">
        <x:v>SRC2021-JAN10-KOSMO</x:v>
      </x:c>
      <x:c r="J16" s="17" t="str"/>
      <x:c r="K16" s="17" t="str">
        <x:v>Exact day</x:v>
      </x:c>
      <x:c r="L16" s="17" t="str"/>
    </x:row>
    <x:row r="17">
      <x:c r="A17" s="17" t="str">
        <x:v>EVT-JB-2021-016</x:v>
      </x:c>
      <x:c r="B17" s="17" t="str">
        <x:v>2021-01-10</x:v>
      </x:c>
      <x:c r="C17" s="17" t="str">
        <x:v>DG-JB-20210110</x:v>
      </x:c>
      <x:c r="D17" s="17" t="str">
        <x:v>Kampung Sentosa Damai</x:v>
      </x:c>
      <x:c r="E17" s="17" t="str">
        <x:v>S2021-003</x:v>
      </x:c>
      <x:c r="F17" s="17" t="str">
        <x:v>Kampung Sentosa Damai</x:v>
      </x:c>
      <x:c r="G17" s="17" t="str">
        <x:v>Flood</x:v>
      </x:c>
      <x:c r="H17" s="17" t="str">
        <x:v>B</x:v>
      </x:c>
      <x:c r="I17" s="17" t="str">
        <x:v>SRC2021-JAN10-KOSMO</x:v>
      </x:c>
      <x:c r="J17" s="17" t="str"/>
      <x:c r="K17" s="17" t="str">
        <x:v>Exact day</x:v>
      </x:c>
      <x:c r="L17" s="17" t="str"/>
    </x:row>
    <x:row r="18">
      <x:c r="A18" s="17" t="str">
        <x:v>EVT-JB-2021-017</x:v>
      </x:c>
      <x:c r="B18" s="17" t="str">
        <x:v>2021-01-10</x:v>
      </x:c>
      <x:c r="C18" s="17" t="str">
        <x:v>DG-JB-20210110</x:v>
      </x:c>
      <x:c r="D18" s="17" t="str">
        <x:v>Kampung Sentosa Barat</x:v>
      </x:c>
      <x:c r="E18" s="17" t="str">
        <x:v>S2021-002</x:v>
      </x:c>
      <x:c r="F18" s="17" t="str">
        <x:v>Kampung Sentosa Barat</x:v>
      </x:c>
      <x:c r="G18" s="17" t="str">
        <x:v>Flood</x:v>
      </x:c>
      <x:c r="H18" s="17" t="str">
        <x:v>B</x:v>
      </x:c>
      <x:c r="I18" s="17" t="str">
        <x:v>SRC2021-JAN10-KOSMO</x:v>
      </x:c>
      <x:c r="J18" s="17" t="str"/>
      <x:c r="K18" s="17" t="str">
        <x:v>Exact day</x:v>
      </x:c>
      <x:c r="L18" s="17" t="str"/>
    </x:row>
    <x:row r="19">
      <x:c r="A19" s="17" t="str">
        <x:v>EVT-JB-2021-018</x:v>
      </x:c>
      <x:c r="B19" s="17" t="str">
        <x:v>2021-01-10</x:v>
      </x:c>
      <x:c r="C19" s="17" t="str">
        <x:v>DG-JB-20210110</x:v>
      </x:c>
      <x:c r="D19" s="17" t="str">
        <x:v>Kampung Paya Kenangan</x:v>
      </x:c>
      <x:c r="E19" s="17" t="str">
        <x:v>S2021-009</x:v>
      </x:c>
      <x:c r="F19" s="17" t="str">
        <x:v>Kampung Paya Kenangan</x:v>
      </x:c>
      <x:c r="G19" s="17" t="str">
        <x:v>Flood</x:v>
      </x:c>
      <x:c r="H19" s="17" t="str">
        <x:v>B</x:v>
      </x:c>
      <x:c r="I19" s="17" t="str">
        <x:v>SRC2021-JAN10-KOSMO</x:v>
      </x:c>
      <x:c r="J19" s="17" t="str"/>
      <x:c r="K19" s="17" t="str">
        <x:v>Exact day</x:v>
      </x:c>
      <x:c r="L19" s="17" t="str"/>
    </x:row>
    <x:row r="20">
      <x:c r="A20" s="17" t="str">
        <x:v>EVT-JB-2021-019</x:v>
      </x:c>
      <x:c r="B20" s="17" t="str">
        <x:v>2021-01-10</x:v>
      </x:c>
      <x:c r="C20" s="17" t="str">
        <x:v>DG-JB-20210110</x:v>
      </x:c>
      <x:c r="D20" s="17" t="str">
        <x:v>Kampung Pasir</x:v>
      </x:c>
      <x:c r="E20" s="17" t="str">
        <x:v>S2021-006</x:v>
      </x:c>
      <x:c r="F20" s="17" t="str">
        <x:v>Kampung Pasir</x:v>
      </x:c>
      <x:c r="G20" s="17" t="str">
        <x:v>Flood</x:v>
      </x:c>
      <x:c r="H20" s="17" t="str">
        <x:v>B</x:v>
      </x:c>
      <x:c r="I20" s="17" t="str">
        <x:v>SRC2021-JAN10-KOSMO</x:v>
      </x:c>
      <x:c r="J20" s="17" t="str"/>
      <x:c r="K20" s="17" t="str">
        <x:v>Exact day</x:v>
      </x:c>
      <x:c r="L20" s="17" t="str"/>
    </x:row>
    <x:row r="21">
      <x:c r="A21" s="17" t="str">
        <x:v>EVT-JB-2021-020</x:v>
      </x:c>
      <x:c r="B21" s="17" t="str">
        <x:v>2021-01-10</x:v>
      </x:c>
      <x:c r="C21" s="17" t="str">
        <x:v>DG-JB-20210110</x:v>
      </x:c>
      <x:c r="D21" s="17" t="str">
        <x:v>Kampung Kangkar Tebrau</x:v>
      </x:c>
      <x:c r="E21" s="17" t="str">
        <x:v>S2021-011</x:v>
      </x:c>
      <x:c r="F21" s="17" t="str">
        <x:v>Kampung Kangkar Tebrau</x:v>
      </x:c>
      <x:c r="G21" s="17" t="str">
        <x:v>Flood</x:v>
      </x:c>
      <x:c r="H21" s="17" t="str">
        <x:v>B</x:v>
      </x:c>
      <x:c r="I21" s="17" t="str">
        <x:v>SRC2021-JAN10-KOSMO</x:v>
      </x:c>
      <x:c r="J21" s="17" t="str"/>
      <x:c r="K21" s="17" t="str">
        <x:v>Exact day</x:v>
      </x:c>
      <x:c r="L21" s="17" t="str"/>
    </x:row>
    <x:row r="22">
      <x:c r="A22" s="17" t="str">
        <x:v>EVT-JB-2021-021</x:v>
      </x:c>
      <x:c r="B22" s="17" t="str">
        <x:v>2021-01-10</x:v>
      </x:c>
      <x:c r="C22" s="17" t="str">
        <x:v>DG-JB-20210110</x:v>
      </x:c>
      <x:c r="D22" s="17" t="str">
        <x:v>Lorong Aris Batu 8, Skudai</x:v>
      </x:c>
      <x:c r="E22" s="17" t="str">
        <x:v>S2021-004</x:v>
      </x:c>
      <x:c r="F22" s="17" t="str">
        <x:v>Lorong Aris Batu 8, Skudai</x:v>
      </x:c>
      <x:c r="G22" s="17" t="str">
        <x:v>Flood</x:v>
      </x:c>
      <x:c r="H22" s="17" t="str">
        <x:v>B</x:v>
      </x:c>
      <x:c r="I22" s="17" t="str">
        <x:v>SRC2021-JAN10-KOSMO</x:v>
      </x:c>
      <x:c r="J22" s="17" t="str"/>
      <x:c r="K22" s="17" t="str">
        <x:v>Exact day</x:v>
      </x:c>
      <x:c r="L22" s="17" t="str"/>
    </x:row>
    <x:row r="23">
      <x:c r="A23" s="17" t="str">
        <x:v>EVT-JB-2021-022</x:v>
      </x:c>
      <x:c r="B23" s="17" t="str">
        <x:v>2021-01-10</x:v>
      </x:c>
      <x:c r="C23" s="17" t="str">
        <x:v>DG-JB-20210110</x:v>
      </x:c>
      <x:c r="D23" s="17" t="str">
        <x:v>Kampung Paya, Bukit Mutiara</x:v>
      </x:c>
      <x:c r="E23" s="17" t="str">
        <x:v>S2021-014</x:v>
      </x:c>
      <x:c r="F23" s="17" t="str">
        <x:v>Kampung Paya, Bukit Mutiara</x:v>
      </x:c>
      <x:c r="G23" s="17" t="str">
        <x:v>Flood</x:v>
      </x:c>
      <x:c r="H23" s="17" t="str">
        <x:v>B</x:v>
      </x:c>
      <x:c r="I23" s="17" t="str">
        <x:v>SRC2021-JAN10-BERNAMA-MM</x:v>
      </x:c>
      <x:c r="J23" s="17" t="str"/>
      <x:c r="K23" s="17" t="str">
        <x:v>Exact day</x:v>
      </x:c>
      <x:c r="L23" s="17" t="str"/>
    </x:row>
    <x:row r="24">
      <x:c r="A24" s="17" t="str">
        <x:v>EVT-JB-2021-023</x:v>
      </x:c>
      <x:c r="B24" s="17" t="str">
        <x:v>2021-04-17</x:v>
      </x:c>
      <x:c r="C24" s="17" t="str">
        <x:v>DG-JB-20210417</x:v>
      </x:c>
      <x:c r="D24" s="17" t="str">
        <x:v>Kampung Pasir</x:v>
      </x:c>
      <x:c r="E24" s="17" t="str">
        <x:v>S2021-006</x:v>
      </x:c>
      <x:c r="F24" s="17" t="str">
        <x:v>Kampung Pasir</x:v>
      </x:c>
      <x:c r="G24" s="17" t="str">
        <x:v>Flash flood</x:v>
      </x:c>
      <x:c r="H24" s="17" t="str">
        <x:v>B</x:v>
      </x:c>
      <x:c r="I24" s="17" t="str">
        <x:v>SRC2021-APR17-UTUSAN</x:v>
      </x:c>
      <x:c r="J24" s="17" t="str"/>
      <x:c r="K24" s="17" t="str">
        <x:v>Exact day</x:v>
      </x:c>
      <x:c r="L24" s="17" t="str">
        <x:v>Article explicitly states this was the second flood there in 2021.</x:v>
      </x:c>
    </x:row>
    <x:row r="25">
      <x:c r="A25" s="17" t="str">
        <x:v>EVT-JB-2021-024</x:v>
      </x:c>
      <x:c r="B25" s="17" t="str">
        <x:v>2021-07-12</x:v>
      </x:c>
      <x:c r="C25" s="17" t="str">
        <x:v>DG-JB-20210712</x:v>
      </x:c>
      <x:c r="D25" s="17" t="str">
        <x:v>Kampung Sungai Rinting</x:v>
      </x:c>
      <x:c r="E25" s="17" t="str">
        <x:v>S2021-015</x:v>
      </x:c>
      <x:c r="F25" s="17" t="str">
        <x:v>Kampung Sungai Rinting</x:v>
      </x:c>
      <x:c r="G25" s="17" t="str">
        <x:v>Flash flood</x:v>
      </x:c>
      <x:c r="H25" s="17" t="str">
        <x:v>C</x:v>
      </x:c>
      <x:c r="I25" s="17" t="str">
        <x:v>SRC2021-JUL12-UMNOPG</x:v>
      </x:c>
      <x:c r="J25" s="17" t="str"/>
      <x:c r="K25" s="17" t="str">
        <x:v>Exact day stated in local primary statement</x:v>
      </x:c>
      <x:c r="L25" s="17" t="str">
        <x:v>Lower-tier local primary statement retained transparently.</x:v>
      </x:c>
    </x:row>
    <x:row r="26">
      <x:c r="A26" s="17" t="str">
        <x:v>EVT-JB-2021-025</x:v>
      </x:c>
      <x:c r="B26" s="17" t="str">
        <x:v>2021-07-12</x:v>
      </x:c>
      <x:c r="C26" s="17" t="str">
        <x:v>DG-JB-20210712</x:v>
      </x:c>
      <x:c r="D26" s="17" t="str">
        <x:v>Taman Mawar</x:v>
      </x:c>
      <x:c r="E26" s="17" t="str">
        <x:v>S2021-016</x:v>
      </x:c>
      <x:c r="F26" s="17" t="str">
        <x:v>Taman Mawar</x:v>
      </x:c>
      <x:c r="G26" s="17" t="str">
        <x:v>Flash flood</x:v>
      </x:c>
      <x:c r="H26" s="17" t="str">
        <x:v>C</x:v>
      </x:c>
      <x:c r="I26" s="17" t="str">
        <x:v>SRC2021-JUL12-UMNOPG</x:v>
      </x:c>
      <x:c r="J26" s="17" t="str"/>
      <x:c r="K26" s="17" t="str">
        <x:v>Exact day stated in local primary statement</x:v>
      </x:c>
      <x:c r="L26" s="17" t="str">
        <x:v>Lower-tier local primary statement retained transparently.</x:v>
      </x:c>
    </x:row>
    <x:row r="27">
      <x:c r="A27" s="17" t="str">
        <x:v>EVT-JB-2021-026</x:v>
      </x:c>
      <x:c r="B27" s="17" t="str">
        <x:v>2021-07-12</x:v>
      </x:c>
      <x:c r="C27" s="17" t="str">
        <x:v>DG-JB-20210712</x:v>
      </x:c>
      <x:c r="D27" s="17" t="str">
        <x:v>Taman Rinting</x:v>
      </x:c>
      <x:c r="E27" s="17" t="str">
        <x:v>S2021-017</x:v>
      </x:c>
      <x:c r="F27" s="17" t="str">
        <x:v>Taman Rinting</x:v>
      </x:c>
      <x:c r="G27" s="17" t="str">
        <x:v>Flash flood</x:v>
      </x:c>
      <x:c r="H27" s="17" t="str">
        <x:v>C</x:v>
      </x:c>
      <x:c r="I27" s="17" t="str">
        <x:v>SRC2021-JUL12-UMNOPG</x:v>
      </x:c>
      <x:c r="J27" s="17" t="str"/>
      <x:c r="K27" s="17" t="str">
        <x:v>Exact day stated in local primary statement</x:v>
      </x:c>
      <x:c r="L27" s="17" t="str">
        <x:v>Lower-tier local primary statement retained transparently.</x:v>
      </x:c>
    </x:row>
    <x:row r="28">
      <x:c r="A28" s="17" t="str">
        <x:v>EVT-JB-2021-027</x:v>
      </x:c>
      <x:c r="B28" s="17" t="str">
        <x:v>2021-07-12</x:v>
      </x:c>
      <x:c r="C28" s="17" t="str">
        <x:v>DG-JB-20210712</x:v>
      </x:c>
      <x:c r="D28" s="17" t="str">
        <x:v>Lebuhraya Pasir Gudang</x:v>
      </x:c>
      <x:c r="E28" s="17" t="str">
        <x:v>S2021-018</x:v>
      </x:c>
      <x:c r="F28" s="17" t="str">
        <x:v>Lebuhraya Pasir Gudang</x:v>
      </x:c>
      <x:c r="G28" s="17" t="str">
        <x:v>Flash flood / traffic disruption</x:v>
      </x:c>
      <x:c r="H28" s="17" t="str">
        <x:v>C</x:v>
      </x:c>
      <x:c r="I28" s="17" t="str">
        <x:v>SRC2021-JUL12-UMNOPG</x:v>
      </x:c>
      <x:c r="J28" s="17" t="str"/>
      <x:c r="K28" s="17" t="str">
        <x:v>Exact day stated in local primary statement</x:v>
      </x:c>
      <x:c r="L28" s="17" t="str">
        <x:v>Lower-tier local primary statement retained transparently.</x:v>
      </x:c>
    </x:row>
    <x:row r="29">
      <x:c r="A29" s="17" t="str">
        <x:v>EVT-JB-2021-028</x:v>
      </x:c>
      <x:c r="B29" s="17" t="str">
        <x:v>2021-09-02</x:v>
      </x:c>
      <x:c r="C29" s="17" t="str">
        <x:v>DG-JB-20210902-SKUDAI</x:v>
      </x:c>
      <x:c r="D29" s="17" t="str">
        <x:v>Batu 10, Kampung Laut, Skudai</x:v>
      </x:c>
      <x:c r="E29" s="17" t="str">
        <x:v>S2021-001</x:v>
      </x:c>
      <x:c r="F29" s="17" t="str">
        <x:v>Kampung Laut Batu 10, Skudai</x:v>
      </x:c>
      <x:c r="G29" s="17" t="str">
        <x:v>Flash flood</x:v>
      </x:c>
      <x:c r="H29" s="17" t="str">
        <x:v>B</x:v>
      </x:c>
      <x:c r="I29" s="17" t="str">
        <x:v>SRC2021-SEP02-UTUSAN</x:v>
      </x:c>
      <x:c r="J29" s="17" t="str"/>
      <x:c r="K29" s="17" t="str">
        <x:v>Exact day</x:v>
      </x:c>
      <x:c r="L29" s="17" t="str">
        <x:v>Separate Skudai rescue from Masai/Pasir Gudang cluster.</x:v>
      </x:c>
    </x:row>
    <x:row r="30">
      <x:c r="A30" s="17" t="str">
        <x:v>EVT-JB-2021-029</x:v>
      </x:c>
      <x:c r="B30" s="17" t="str">
        <x:v>2021-09-02</x:v>
      </x:c>
      <x:c r="C30" s="17" t="str">
        <x:v>DG-JB-20210902-MASAI</x:v>
      </x:c>
      <x:c r="D30" s="17" t="str">
        <x:v>Kampung Bukit Pulai</x:v>
      </x:c>
      <x:c r="E30" s="17" t="str">
        <x:v>S2021-019</x:v>
      </x:c>
      <x:c r="F30" s="17" t="str">
        <x:v>Kampung Bukit Pulai</x:v>
      </x:c>
      <x:c r="G30" s="17" t="str">
        <x:v>Flash flood</x:v>
      </x:c>
      <x:c r="H30" s="17" t="str">
        <x:v>B</x:v>
      </x:c>
      <x:c r="I30" s="17" t="str">
        <x:v>SRC2021-SEP02-UTUSAN</x:v>
      </x:c>
      <x:c r="J30" s="17" t="str"/>
      <x:c r="K30" s="17" t="str">
        <x:v>Exact day</x:v>
      </x:c>
      <x:c r="L30" s="17" t="str"/>
    </x:row>
    <x:row r="31">
      <x:c r="A31" s="17" t="str">
        <x:v>EVT-JB-2021-030</x:v>
      </x:c>
      <x:c r="B31" s="17" t="str">
        <x:v>2021-09-02</x:v>
      </x:c>
      <x:c r="C31" s="17" t="str">
        <x:v>DG-JB-20210902-MASAI</x:v>
      </x:c>
      <x:c r="D31" s="17" t="str">
        <x:v>Taman Pasir Putih</x:v>
      </x:c>
      <x:c r="E31" s="17" t="str">
        <x:v>S2021-020</x:v>
      </x:c>
      <x:c r="F31" s="17" t="str">
        <x:v>Taman Pasir Putih</x:v>
      </x:c>
      <x:c r="G31" s="17" t="str">
        <x:v>Flash flood</x:v>
      </x:c>
      <x:c r="H31" s="17" t="str">
        <x:v>B</x:v>
      </x:c>
      <x:c r="I31" s="17" t="str">
        <x:v>SRC2021-SEP02-UTUSAN</x:v>
      </x:c>
      <x:c r="J31" s="17" t="str"/>
      <x:c r="K31" s="17" t="str">
        <x:v>Exact day</x:v>
      </x:c>
      <x:c r="L31" s="17" t="str"/>
    </x:row>
    <x:row r="32">
      <x:c r="A32" s="17" t="str">
        <x:v>EVT-JB-2021-031</x:v>
      </x:c>
      <x:c r="B32" s="17" t="str">
        <x:v>2021-09-02</x:v>
      </x:c>
      <x:c r="C32" s="17" t="str">
        <x:v>DG-JB-20210902-MASAI</x:v>
      </x:c>
      <x:c r="D32" s="17" t="str">
        <x:v>Kampung Sentosa Barat</x:v>
      </x:c>
      <x:c r="E32" s="17" t="str">
        <x:v>S2021-002</x:v>
      </x:c>
      <x:c r="F32" s="17" t="str">
        <x:v>Kampung Sentosa Barat</x:v>
      </x:c>
      <x:c r="G32" s="17" t="str">
        <x:v>Flash flood</x:v>
      </x:c>
      <x:c r="H32" s="17" t="str">
        <x:v>B</x:v>
      </x:c>
      <x:c r="I32" s="17" t="str">
        <x:v>SRC2021-SEP02-UTUSAN</x:v>
      </x:c>
      <x:c r="J32" s="17" t="str"/>
      <x:c r="K32" s="17" t="str">
        <x:v>Exact day</x:v>
      </x:c>
      <x:c r="L32" s="17" t="str"/>
    </x:row>
    <x:row r="33">
      <x:c r="A33" s="17" t="str">
        <x:v>EVT-JB-2021-032</x:v>
      </x:c>
      <x:c r="B33" s="17" t="str">
        <x:v>2021-09-02</x:v>
      </x:c>
      <x:c r="C33" s="17" t="str">
        <x:v>DG-JB-20210902-MASAI</x:v>
      </x:c>
      <x:c r="D33" s="17" t="str">
        <x:v>Jalan Kampung Masjid, Masai</x:v>
      </x:c>
      <x:c r="E33" s="17" t="str">
        <x:v>S2021-021</x:v>
      </x:c>
      <x:c r="F33" s="17" t="str">
        <x:v>Jalan Kampung Masjid, Masai</x:v>
      </x:c>
      <x:c r="G33" s="17" t="str">
        <x:v>Flash flood</x:v>
      </x:c>
      <x:c r="H33" s="17" t="str">
        <x:v>B</x:v>
      </x:c>
      <x:c r="I33" s="17" t="str">
        <x:v>SRC2021-SEP02-UTUSAN</x:v>
      </x:c>
      <x:c r="J33" s="17" t="str"/>
      <x:c r="K33" s="17" t="str">
        <x:v>Exact day</x:v>
      </x:c>
      <x:c r="L33" s="17" t="str"/>
    </x:row>
    <x:row r="34">
      <x:c r="A34" s="17" t="str">
        <x:v>EVT-JB-2021-033</x:v>
      </x:c>
      <x:c r="B34" s="17" t="str">
        <x:v>2021-09-04</x:v>
      </x:c>
      <x:c r="C34" s="17" t="str">
        <x:v>DG-JB-20210904</x:v>
      </x:c>
      <x:c r="D34" s="17" t="str">
        <x:v>Batu 10, Kampung Laut, Skudai</x:v>
      </x:c>
      <x:c r="E34" s="17" t="str">
        <x:v>S2021-001</x:v>
      </x:c>
      <x:c r="F34" s="17" t="str">
        <x:v>Kampung Laut Batu 10, Skudai</x:v>
      </x:c>
      <x:c r="G34" s="17" t="str">
        <x:v>Flash flood</x:v>
      </x:c>
      <x:c r="H34" s="17" t="str">
        <x:v>B</x:v>
      </x:c>
      <x:c r="I34" s="17" t="str">
        <x:v>SRC2021-SEP04-UTUSAN</x:v>
      </x:c>
      <x:c r="J34" s="17" t="str"/>
      <x:c r="K34" s="17" t="str">
        <x:v>Date inferred from report ('malam tadi')</x:v>
      </x:c>
      <x:c r="L34" s="17" t="str">
        <x:v>Published 5 Sep; emergency call 7:39 pm the previous night.</x:v>
      </x:c>
    </x:row>
    <x:row r="35">
      <x:c r="A35" s="17" t="str">
        <x:v>EVT-JB-2021-034</x:v>
      </x:c>
      <x:c r="B35" s="17" t="str">
        <x:v>2021-09-30</x:v>
      </x:c>
      <x:c r="C35" s="17" t="str">
        <x:v>DG-JB-20210930</x:v>
      </x:c>
      <x:c r="D35" s="17" t="str">
        <x:v>Kampung Melayu Majidee</x:v>
      </x:c>
      <x:c r="E35" s="17" t="str">
        <x:v>S2021-022</x:v>
      </x:c>
      <x:c r="F35" s="17" t="str">
        <x:v>Kampung Melayu Majidee</x:v>
      </x:c>
      <x:c r="G35" s="17" t="str">
        <x:v>Flash flood</x:v>
      </x:c>
      <x:c r="H35" s="17" t="str">
        <x:v>B</x:v>
      </x:c>
      <x:c r="I35" s="17" t="str">
        <x:v>SRC2021-SEP30-SINAR</x:v>
      </x:c>
      <x:c r="J35" s="17" t="str"/>
      <x:c r="K35" s="17" t="str">
        <x:v>Exact day</x:v>
      </x:c>
      <x:c r="L35" s="17" t="str"/>
    </x:row>
    <x:row r="36">
      <x:c r="A36" s="17" t="str">
        <x:v>EVT-JB-2021-035</x:v>
      </x:c>
      <x:c r="B36" s="17" t="str">
        <x:v>2021-09-30</x:v>
      </x:c>
      <x:c r="C36" s="17" t="str">
        <x:v>DG-JB-20210930</x:v>
      </x:c>
      <x:c r="D36" s="17" t="str">
        <x:v>Kempas Lurah</x:v>
      </x:c>
      <x:c r="E36" s="17" t="str">
        <x:v>S2021-023</x:v>
      </x:c>
      <x:c r="F36" s="17" t="str">
        <x:v>Kempas Lurah</x:v>
      </x:c>
      <x:c r="G36" s="17" t="str">
        <x:v>Flash flood</x:v>
      </x:c>
      <x:c r="H36" s="17" t="str">
        <x:v>B</x:v>
      </x:c>
      <x:c r="I36" s="17" t="str">
        <x:v>SRC2021-SEP30-SINAR</x:v>
      </x:c>
      <x:c r="J36" s="17" t="str"/>
      <x:c r="K36" s="17" t="str">
        <x:v>Exact day</x:v>
      </x:c>
      <x:c r="L36" s="17" t="str"/>
    </x:row>
    <x:row r="37">
      <x:c r="A37" s="17" t="str">
        <x:v>EVT-JB-2021-036</x:v>
      </x:c>
      <x:c r="B37" s="17" t="str">
        <x:v>2021-09-30</x:v>
      </x:c>
      <x:c r="C37" s="17" t="str">
        <x:v>DG-JB-20210930</x:v>
      </x:c>
      <x:c r="D37" s="17" t="str">
        <x:v>Taman Skudai Baru</x:v>
      </x:c>
      <x:c r="E37" s="17" t="str">
        <x:v>S2021-024</x:v>
      </x:c>
      <x:c r="F37" s="17" t="str">
        <x:v>Taman Skudai Baru</x:v>
      </x:c>
      <x:c r="G37" s="17" t="str">
        <x:v>Flash flood</x:v>
      </x:c>
      <x:c r="H37" s="17" t="str">
        <x:v>B</x:v>
      </x:c>
      <x:c r="I37" s="17" t="str">
        <x:v>SRC2021-SEP30-SINAR</x:v>
      </x:c>
      <x:c r="J37" s="17" t="str"/>
      <x:c r="K37" s="17" t="str">
        <x:v>Exact day</x:v>
      </x:c>
      <x:c r="L37" s="17" t="str"/>
    </x:row>
    <x:row r="38">
      <x:c r="A38" s="17" t="str">
        <x:v>EVT-JB-2021-037</x:v>
      </x:c>
      <x:c r="B38" s="17" t="str">
        <x:v>2021-09-30</x:v>
      </x:c>
      <x:c r="C38" s="17" t="str">
        <x:v>DG-JB-20210930</x:v>
      </x:c>
      <x:c r="D38" s="17" t="str">
        <x:v>Taman Johor Jaya</x:v>
      </x:c>
      <x:c r="E38" s="17" t="str">
        <x:v>S2021-025</x:v>
      </x:c>
      <x:c r="F38" s="17" t="str">
        <x:v>Taman Johor Jaya</x:v>
      </x:c>
      <x:c r="G38" s="17" t="str">
        <x:v>Flash flood</x:v>
      </x:c>
      <x:c r="H38" s="17" t="str">
        <x:v>B</x:v>
      </x:c>
      <x:c r="I38" s="17" t="str">
        <x:v>SRC2021-SEP30-SINAR</x:v>
      </x:c>
      <x:c r="J38" s="17" t="str"/>
      <x:c r="K38" s="17" t="str">
        <x:v>Exact day</x:v>
      </x:c>
      <x:c r="L38" s="17" t="str">
        <x:v>Separate article mentions Jalan Belumut/Taman Johor; not auto-merged.</x:v>
      </x:c>
    </x:row>
    <x:row r="39">
      <x:c r="A39" s="17" t="str">
        <x:v>EVT-JB-2021-038</x:v>
      </x:c>
      <x:c r="B39" s="17" t="str">
        <x:v>2021-09-30</x:v>
      </x:c>
      <x:c r="C39" s="17" t="str">
        <x:v>DG-JB-20210930</x:v>
      </x:c>
      <x:c r="D39" s="17" t="str">
        <x:v>Kampung Ibu</x:v>
      </x:c>
      <x:c r="E39" s="17" t="str">
        <x:v>S2021-026</x:v>
      </x:c>
      <x:c r="F39" s="17" t="str">
        <x:v>Kampung Ibu</x:v>
      </x:c>
      <x:c r="G39" s="17" t="str">
        <x:v>Flash flood</x:v>
      </x:c>
      <x:c r="H39" s="17" t="str">
        <x:v>B</x:v>
      </x:c>
      <x:c r="I39" s="17" t="str">
        <x:v>SRC2021-SEP30-SINAR</x:v>
      </x:c>
      <x:c r="J39" s="17" t="str"/>
      <x:c r="K39" s="17" t="str">
        <x:v>Exact day</x:v>
      </x:c>
      <x:c r="L39" s="17" t="str"/>
    </x:row>
    <x:row r="40">
      <x:c r="A40" s="17" t="str">
        <x:v>EVT-JB-2021-039</x:v>
      </x:c>
      <x:c r="B40" s="17" t="str">
        <x:v>2021-09-30</x:v>
      </x:c>
      <x:c r="C40" s="17" t="str">
        <x:v>DG-JB-20210930</x:v>
      </x:c>
      <x:c r="D40" s="17" t="str">
        <x:v>Kolam Air</x:v>
      </x:c>
      <x:c r="E40" s="17" t="str">
        <x:v>S2021-027</x:v>
      </x:c>
      <x:c r="F40" s="17" t="str">
        <x:v>Kolam Air</x:v>
      </x:c>
      <x:c r="G40" s="17" t="str">
        <x:v>Flash flood</x:v>
      </x:c>
      <x:c r="H40" s="17" t="str">
        <x:v>B</x:v>
      </x:c>
      <x:c r="I40" s="17" t="str">
        <x:v>SRC2021-SEP30-SINAR</x:v>
      </x:c>
      <x:c r="J40" s="17" t="str"/>
      <x:c r="K40" s="17" t="str">
        <x:v>Exact day</x:v>
      </x:c>
      <x:c r="L40" s="17" t="str">
        <x:v>Generic place label kept unresolved.</x:v>
      </x:c>
    </x:row>
    <x:row r="41">
      <x:c r="A41" s="17" t="str">
        <x:v>EVT-JB-2021-040</x:v>
      </x:c>
      <x:c r="B41" s="17" t="str">
        <x:v>2021-09-30</x:v>
      </x:c>
      <x:c r="C41" s="17" t="str">
        <x:v>DG-JB-20210930</x:v>
      </x:c>
      <x:c r="D41" s="17" t="str">
        <x:v>Kempas Denai</x:v>
      </x:c>
      <x:c r="E41" s="17" t="str">
        <x:v>S2021-028</x:v>
      </x:c>
      <x:c r="F41" s="17" t="str">
        <x:v>Kempas Denai</x:v>
      </x:c>
      <x:c r="G41" s="17" t="str">
        <x:v>Flash flood</x:v>
      </x:c>
      <x:c r="H41" s="17" t="str">
        <x:v>B</x:v>
      </x:c>
      <x:c r="I41" s="17" t="str">
        <x:v>SRC2021-SEP30-SINAR</x:v>
      </x:c>
      <x:c r="J41" s="17" t="str"/>
      <x:c r="K41" s="17" t="str">
        <x:v>Exact day</x:v>
      </x:c>
      <x:c r="L41" s="17" t="str">
        <x:v>Kosmo road-specific wording indicates Jalan Denai Utama; exact segment remains open.</x:v>
      </x:c>
    </x:row>
    <x:row r="42">
      <x:c r="A42" s="17" t="str">
        <x:v>EVT-JB-2021-041</x:v>
      </x:c>
      <x:c r="B42" s="17" t="str">
        <x:v>2021-09-30</x:v>
      </x:c>
      <x:c r="C42" s="17" t="str">
        <x:v>DG-JB-20210930</x:v>
      </x:c>
      <x:c r="D42" s="17" t="str">
        <x:v>Kempas Permatang</x:v>
      </x:c>
      <x:c r="E42" s="17" t="str">
        <x:v>S2021-029</x:v>
      </x:c>
      <x:c r="F42" s="17" t="str">
        <x:v>Kempas Permatang</x:v>
      </x:c>
      <x:c r="G42" s="17" t="str">
        <x:v>Flash flood</x:v>
      </x:c>
      <x:c r="H42" s="17" t="str">
        <x:v>B</x:v>
      </x:c>
      <x:c r="I42" s="17" t="str">
        <x:v>SRC2021-SEP30-SINAR</x:v>
      </x:c>
      <x:c r="J42" s="17" t="str"/>
      <x:c r="K42" s="17" t="str">
        <x:v>Exact day</x:v>
      </x:c>
      <x:c r="L42" s="17" t="str">
        <x:v>Kosmo road-specific wording indicates Jalan Permatang; exact segment remains open.</x:v>
      </x:c>
    </x:row>
    <x:row r="43">
      <x:c r="A43" s="17" t="str">
        <x:v>EVT-JB-2021-042</x:v>
      </x:c>
      <x:c r="B43" s="17" t="str">
        <x:v>2021-09-30</x:v>
      </x:c>
      <x:c r="C43" s="17" t="str">
        <x:v>DG-JB-20210930</x:v>
      </x:c>
      <x:c r="D43" s="17" t="str">
        <x:v>Kampung Pasir</x:v>
      </x:c>
      <x:c r="E43" s="17" t="str">
        <x:v>S2021-006</x:v>
      </x:c>
      <x:c r="F43" s="17" t="str">
        <x:v>Kampung Pasir</x:v>
      </x:c>
      <x:c r="G43" s="17" t="str">
        <x:v>Flash flood</x:v>
      </x:c>
      <x:c r="H43" s="17" t="str">
        <x:v>B</x:v>
      </x:c>
      <x:c r="I43" s="17" t="str">
        <x:v>SRC2021-SEP30-SINAR</x:v>
      </x:c>
      <x:c r="J43" s="17" t="str"/>
      <x:c r="K43" s="17" t="str">
        <x:v>Exact day</x:v>
      </x:c>
      <x:c r="L43" s="17" t="str"/>
    </x:row>
    <x:row r="44">
      <x:c r="A44" s="17" t="str">
        <x:v>EVT-JB-2021-043</x:v>
      </x:c>
      <x:c r="B44" s="17" t="str">
        <x:v>2021-09-30</x:v>
      </x:c>
      <x:c r="C44" s="17" t="str">
        <x:v>DG-JB-20210930</x:v>
      </x:c>
      <x:c r="D44" s="17" t="str">
        <x:v>Kampung Laut Skudai</x:v>
      </x:c>
      <x:c r="E44" s="17" t="str">
        <x:v>S2021-001</x:v>
      </x:c>
      <x:c r="F44" s="17" t="str">
        <x:v>Kampung Laut Batu 10, Skudai</x:v>
      </x:c>
      <x:c r="G44" s="17" t="str">
        <x:v>Flash flood</x:v>
      </x:c>
      <x:c r="H44" s="17" t="str">
        <x:v>B</x:v>
      </x:c>
      <x:c r="I44" s="17" t="str">
        <x:v>SRC2021-SEP30-SINAR</x:v>
      </x:c>
      <x:c r="J44" s="17" t="str"/>
      <x:c r="K44" s="17" t="str">
        <x:v>Exact day</x:v>
      </x:c>
      <x:c r="L44" s="17" t="str"/>
    </x:row>
    <x:row r="45">
      <x:c r="A45" s="17" t="str">
        <x:v>EVT-JB-2021-044</x:v>
      </x:c>
      <x:c r="B45" s="17" t="str">
        <x:v>2021-09-30</x:v>
      </x:c>
      <x:c r="C45" s="17" t="str">
        <x:v>DG-JB-20210930</x:v>
      </x:c>
      <x:c r="D45" s="17" t="str">
        <x:v>Kampung Kangkar Tebrau</x:v>
      </x:c>
      <x:c r="E45" s="17" t="str">
        <x:v>S2021-011</x:v>
      </x:c>
      <x:c r="F45" s="17" t="str">
        <x:v>Kampung Kangkar Tebrau</x:v>
      </x:c>
      <x:c r="G45" s="17" t="str">
        <x:v>Flash flood</x:v>
      </x:c>
      <x:c r="H45" s="17" t="str">
        <x:v>B</x:v>
      </x:c>
      <x:c r="I45" s="17" t="str">
        <x:v>SRC2021-SEP30-SINAR</x:v>
      </x:c>
      <x:c r="J45" s="17" t="str"/>
      <x:c r="K45" s="17" t="str">
        <x:v>Exact day</x:v>
      </x:c>
      <x:c r="L45" s="17" t="str"/>
    </x:row>
    <x:row r="46">
      <x:c r="A46" s="17" t="str">
        <x:v>EVT-JB-2021-045</x:v>
      </x:c>
      <x:c r="B46" s="17" t="str">
        <x:v>2021-09-30</x:v>
      </x:c>
      <x:c r="C46" s="17" t="str">
        <x:v>DG-JB-20210930</x:v>
      </x:c>
      <x:c r="D46" s="17" t="str">
        <x:v>Kampung Seri Jaya Baru</x:v>
      </x:c>
      <x:c r="E46" s="17" t="str">
        <x:v>S2021-030</x:v>
      </x:c>
      <x:c r="F46" s="17" t="str">
        <x:v>Kampung Seri Jaya Baru</x:v>
      </x:c>
      <x:c r="G46" s="17" t="str">
        <x:v>Flash flood</x:v>
      </x:c>
      <x:c r="H46" s="17" t="str">
        <x:v>B</x:v>
      </x:c>
      <x:c r="I46" s="17" t="str">
        <x:v>SRC2021-SEP30-SINAR-SERIJAYA</x:v>
      </x:c>
      <x:c r="J46" s="17" t="str"/>
      <x:c r="K46" s="17" t="str">
        <x:v>Exact day</x:v>
      </x:c>
      <x:c r="L46" s="17" t="str">
        <x:v>Separate same-day red-water flash-flood report.</x:v>
      </x:c>
    </x:row>
    <x:row r="47">
      <x:c r="A47" s="17" t="str">
        <x:v>EVT-JB-2021-046</x:v>
      </x:c>
      <x:c r="B47" s="17" t="str">
        <x:v>2021-09-30</x:v>
      </x:c>
      <x:c r="C47" s="17" t="str">
        <x:v>DG-JB-20210930</x:v>
      </x:c>
      <x:c r="D47" s="17" t="str">
        <x:v>Kampung Mohd Amin, Kolam Air</x:v>
      </x:c>
      <x:c r="E47" s="17" t="str">
        <x:v>S2021-031</x:v>
      </x:c>
      <x:c r="F47" s="17" t="str">
        <x:v>Kampung Mohd Amin, Kolam Air</x:v>
      </x:c>
      <x:c r="G47" s="17" t="str">
        <x:v>Flash flood</x:v>
      </x:c>
      <x:c r="H47" s="17" t="str">
        <x:v>C</x:v>
      </x:c>
      <x:c r="I47" s="17" t="str">
        <x:v>SRC2021-SEP30-YSJB</x:v>
      </x:c>
      <x:c r="J47" s="17" t="str"/>
      <x:c r="K47" s="17" t="str">
        <x:v>Exact day</x:v>
      </x:c>
      <x:c r="L47" s="17" t="str">
        <x:v>Explicit field-aid record: flash flood on 30/09/2021; water rose to chest height.</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27" hidden="0" customWidth="1"/>
    <x:col min="2" max="2" width="44" hidden="0" customWidth="1"/>
    <x:col min="3" max="3" width="28" hidden="0" customWidth="1"/>
    <x:col min="4" max="4" width="16" hidden="0" customWidth="1"/>
    <x:col min="5" max="5" width="15" hidden="0" customWidth="1"/>
    <x:col min="6" max="6" width="24" hidden="0" customWidth="1"/>
    <x:col min="7" max="7" width="62" hidden="0" customWidth="1"/>
    <x:col min="8" max="8" width="58" hidden="0" customWidth="1"/>
  </x:cols>
  <x:sheetData>
    <x:row r="1">
      <x:c r="A1" s="16" t="str">
        <x:v>Source_ID</x:v>
      </x:c>
      <x:c r="B1" s="16" t="str">
        <x:v>Source_Title</x:v>
      </x:c>
      <x:c r="C1" s="16" t="str">
        <x:v>Publisher</x:v>
      </x:c>
      <x:c r="D1" s="16" t="str">
        <x:v>Publication_Date</x:v>
      </x:c>
      <x:c r="E1" s="16" t="str">
        <x:v>Reliability_Tier</x:v>
      </x:c>
      <x:c r="F1" s="16" t="str">
        <x:v>Use</x:v>
      </x:c>
      <x:c r="G1" s="16" t="str">
        <x:v>Source_URL</x:v>
      </x:c>
      <x:c r="H1" s="16" t="str">
        <x:v>Evidence_Note</x:v>
      </x:c>
    </x:row>
    <x:row r="2">
      <x:c r="A2" s="17" t="str">
        <x:v>SRC2021-JAN02-BERNAMA</x:v>
      </x:c>
      <x:c r="B2" s="17" t="str">
        <x:v>Five districts affected in Johor floods, evacuees on the rise</x:v>
      </x:c>
      <x:c r="C2" s="17" t="str">
        <x:v>Bernama via Malay Mail</x:v>
      </x:c>
      <x:c r="D2" s="17" t="str">
        <x:v>2021-01-02</x:v>
      </x:c>
      <x:c r="E2" s="17" t="str">
        <x:v>A/B</x:v>
      </x:c>
      <x:c r="F2" s="17" t="str">
        <x:v>Event evidence</x:v>
      </x:c>
      <x:c r="G2" s="17" t="str">
        <x:v>https://www.malaymail.com/news/malaysia/2021/01/02/five-districts-affected-in-johor-floods-evacuees-on-the-rise/1936787</x:v>
      </x:c>
      <x:c r="H2" s="17" t="str">
        <x:v>Names Kampung Laut Batu 10 Skudai, Sentosa Barat, Sentosa Damai, Lorong Aris Batu 8 Skudai and Sam Poh old folks home.</x:v>
      </x:c>
    </x:row>
    <x:row r="3">
      <x:c r="A3" s="17" t="str">
        <x:v>SRC2021-DOSM-JB</x:v>
      </x:c>
      <x:c r="B3" s="17" t="str">
        <x:v>Johor Bahru: Fakta dan Angka / Disaster chronology</x:v>
      </x:c>
      <x:c r="C3" s="17" t="str">
        <x:v>Department of Statistics Malaysia</x:v>
      </x:c>
      <x:c r="D3" s="17" t="str">
        <x:v>2023</x:v>
      </x:c>
      <x:c r="E3" s="17" t="str">
        <x:v>A</x:v>
      </x:c>
      <x:c r="F3" s="17" t="str">
        <x:v>Retrospective official context</x:v>
      </x:c>
      <x:c r="G3" s="17" t="str">
        <x:v>https://www.dosm.gov.my/v1/uploads/files/6_Newsletter/Newsletter%202023/DOSM_BPPD_11_2023_Series%2022.pdf</x:v>
      </x:c>
      <x:c r="H3" s="17" t="str">
        <x:v>Official retrospective repeats 2 Jan 2021 JB victim/location list.</x:v>
      </x:c>
    </x:row>
    <x:row r="4">
      <x:c r="A4" s="17" t="str">
        <x:v>SRC2021-JAN02-KOSMO</x:v>
      </x:c>
      <x:c r="B4" s="17" t="str">
        <x:v>275 mangsa banjir dipindahkan</x:v>
      </x:c>
      <x:c r="C4" s="17" t="str">
        <x:v>Kosmo</x:v>
      </x:c>
      <x:c r="D4" s="17" t="str">
        <x:v>2021-01-02</x:v>
      </x:c>
      <x:c r="E4" s="17" t="str">
        <x:v>B</x:v>
      </x:c>
      <x:c r="F4" s="17" t="str">
        <x:v>Event evidence</x:v>
      </x:c>
      <x:c r="G4" s="17" t="str">
        <x:v>https://www.kosmo.com.my/2021/01/02/275-mangsa-banjir-dipindahkan/</x:v>
      </x:c>
      <x:c r="H4" s="17" t="str">
        <x:v>Explicitly links Sentosa Barat, Sentosa Damai, Kampung Laut Batu 10, Kampung Pasir and Kampung Teluk Serdang Baru.</x:v>
      </x:c>
    </x:row>
    <x:row r="5">
      <x:c r="A5" s="17" t="str">
        <x:v>SRC2021-JAN02-BERNAMA-PHOTO</x:v>
      </x:c>
      <x:c r="B5" s="17" t="str">
        <x:v>Kampung Sepakat Baru flood documentary photo</x:v>
      </x:c>
      <x:c r="C5" s="17" t="str">
        <x:v>Bernama Images</x:v>
      </x:c>
      <x:c r="D5" s="17" t="str">
        <x:v>2021-01-02</x:v>
      </x:c>
      <x:c r="E5" s="17" t="str">
        <x:v>B</x:v>
      </x:c>
      <x:c r="F5" s="17" t="str">
        <x:v>Documentary event evidence</x:v>
      </x:c>
      <x:c r="G5" s="17" t="str">
        <x:v>https://imagesapps.bernama.com/images/1117920/kampung-sepakat-baru</x:v>
      </x:c>
      <x:c r="H5" s="17" t="str">
        <x:v>Retained as documentary evidence for Kampung Sepakat Baru.</x:v>
      </x:c>
    </x:row>
    <x:row r="6">
      <x:c r="A6" s="17" t="str">
        <x:v>SRC2021-JAN04-BERNAMA</x:v>
      </x:c>
      <x:c r="B6" s="17" t="str">
        <x:v>Banjir: Penduduk gesa projek dalamkan Sungai Tebrau disegerakan</x:v>
      </x:c>
      <x:c r="C6" s="17" t="str">
        <x:v>Bernama</x:v>
      </x:c>
      <x:c r="D6" s="17" t="str">
        <x:v>2021-01-04</x:v>
      </x:c>
      <x:c r="E6" s="17" t="str">
        <x:v>B</x:v>
      </x:c>
      <x:c r="F6" s="17" t="str">
        <x:v>Event retrospective</x:v>
      </x:c>
      <x:c r="G6" s="17" t="str">
        <x:v>https://www.bernama.com/bm/news.php?id=1918395</x:v>
      </x:c>
      <x:c r="H6" s="17" t="str">
        <x:v>States three villages in Kangkar Tebrau were affected by the flood two days earlier.</x:v>
      </x:c>
    </x:row>
    <x:row r="7">
      <x:c r="A7" s="17" t="str">
        <x:v>SRC2021-JAN04-UTUSAN</x:v>
      </x:c>
      <x:c r="B7" s="17" t="str">
        <x:v>Segerakan projek lebar Sungai Tebrau elak banjir berulang</x:v>
      </x:c>
      <x:c r="C7" s="17" t="str">
        <x:v>Utusan Malaysia</x:v>
      </x:c>
      <x:c r="D7" s="17" t="str">
        <x:v>2021-01-04</x:v>
      </x:c>
      <x:c r="E7" s="17" t="str">
        <x:v>B</x:v>
      </x:c>
      <x:c r="F7" s="17" t="str">
        <x:v>Event retrospective</x:v>
      </x:c>
      <x:c r="G7" s="17" t="str">
        <x:v>https://www.utusan.com.my/berita/2021/01/segerakan-projek-lebar-sungai-tebrau-elak-banjir-berulang/</x:v>
      </x:c>
      <x:c r="H7" s="17" t="str">
        <x:v>Names Paya Kenangan, Pasir Tebrau and Kangkar Tebrau; 296 victims from flood two days earlier.</x:v>
      </x:c>
    </x:row>
    <x:row r="8">
      <x:c r="A8" s="17" t="str">
        <x:v>SRC2021-JAN10-KOSMO</x:v>
      </x:c>
      <x:c r="B8" s="17" t="str">
        <x:v>Johor Bahru, Kota Tinggi kembali dilanda banjir</x:v>
      </x:c>
      <x:c r="C8" s="17" t="str">
        <x:v>Kosmo</x:v>
      </x:c>
      <x:c r="D8" s="17" t="str">
        <x:v>2021-01-10</x:v>
      </x:c>
      <x:c r="E8" s="17" t="str">
        <x:v>B</x:v>
      </x:c>
      <x:c r="F8" s="17" t="str">
        <x:v>Event evidence</x:v>
      </x:c>
      <x:c r="G8" s="17" t="str">
        <x:v>https://www.kosmo.com.my/2021/01/10/johor-bahru-kota-tinggi-kembali-dilanda-banjir/</x:v>
      </x:c>
      <x:c r="H8" s="17" t="str">
        <x:v>Lists 10 affected JB locations.</x:v>
      </x:c>
    </x:row>
    <x:row r="9">
      <x:c r="A9" s="17" t="str">
        <x:v>SRC2021-JAN10-BERNAMA-MM</x:v>
      </x:c>
      <x:c r="B9" s="17" t="str">
        <x:v>Several areas in JB, Kota Tinggi hit by floods again</x:v>
      </x:c>
      <x:c r="C9" s="17" t="str">
        <x:v>Bernama via Malay Mail</x:v>
      </x:c>
      <x:c r="D9" s="17" t="str">
        <x:v>2021-01-10</x:v>
      </x:c>
      <x:c r="E9" s="17" t="str">
        <x:v>B</x:v>
      </x:c>
      <x:c r="F9" s="17" t="str">
        <x:v>Event evidence</x:v>
      </x:c>
      <x:c r="G9" s="17" t="str">
        <x:v>https://www.malaymail.com/amp/news/malaysia/2021/01/10/several-areas-in-jb-kota-tinggi-hit-by-floods-again/1939147</x:v>
      </x:c>
      <x:c r="H9" s="17" t="str">
        <x:v>Confirms Kampung Laut Batu 10 and Kampung Paya, Bukit Mutiara re-flooding.</x:v>
      </x:c>
    </x:row>
    <x:row r="10">
      <x:c r="A10" s="17" t="str">
        <x:v>SRC2021-APR17-UTUSAN</x:v>
      </x:c>
      <x:c r="B10" s="17" t="str">
        <x:v>Penduduk Kampung Pasir berbuka puasa dalam banjir</x:v>
      </x:c>
      <x:c r="C10" s="17" t="str">
        <x:v>Utusan Malaysia</x:v>
      </x:c>
      <x:c r="D10" s="17" t="str">
        <x:v>2021-04-17</x:v>
      </x:c>
      <x:c r="E10" s="17" t="str">
        <x:v>B</x:v>
      </x:c>
      <x:c r="F10" s="17" t="str">
        <x:v>Event evidence</x:v>
      </x:c>
      <x:c r="G10" s="17" t="str">
        <x:v>https://www.utusan.com.my/berita/2021/04/penduduk-kampung-pasir-berbuka-puasa-dalam-banjir/</x:v>
      </x:c>
      <x:c r="H10" s="17" t="str">
        <x:v>Explicit Kampung Pasir flood; article says second flood there in 2021.</x:v>
      </x:c>
    </x:row>
    <x:row r="11">
      <x:c r="A11" s="17" t="str">
        <x:v>SRC2021-JUL12-UMNOPG</x:v>
      </x:c>
      <x:c r="B11" s="17" t="str">
        <x:v>Sungai Masai Perlukan Segera Kerja-kerja Tebatan Banjir</x:v>
      </x:c>
      <x:c r="C11" s="17" t="str">
        <x:v>UMNO Pasir Gudang</x:v>
      </x:c>
      <x:c r="D11" s="17" t="str">
        <x:v>2021-07-14</x:v>
      </x:c>
      <x:c r="E11" s="17" t="str">
        <x:v>C</x:v>
      </x:c>
      <x:c r="F11" s="17" t="str">
        <x:v>Local primary statement</x:v>
      </x:c>
      <x:c r="G11" s="17" t="str">
        <x:v>https://www.umnopg.com.my/2021/07/14/sungai-masai-perlukan-segera-kerja-kerja-tebatan-banjir/</x:v>
      </x:c>
      <x:c r="H11" s="17" t="str">
        <x:v>States 12 Jul flash flood affected Sungai Rinting, Taman Mawar, Taman Rinting and traffic on Lebuhraya Pasir Gudang.</x:v>
      </x:c>
    </x:row>
    <x:row r="12">
      <x:c r="A12" s="17" t="str">
        <x:v>SRC2021-SEP02-UTUSAN</x:v>
      </x:c>
      <x:c r="B12" s="17" t="str">
        <x:v>100 rumah dinaiki air akibat banjir kilat</x:v>
      </x:c>
      <x:c r="C12" s="17" t="str">
        <x:v>Utusan Malaysia / JBPM statements</x:v>
      </x:c>
      <x:c r="D12" s="17" t="str">
        <x:v>2021-09-02</x:v>
      </x:c>
      <x:c r="E12" s="17" t="str">
        <x:v>B</x:v>
      </x:c>
      <x:c r="F12" s="17" t="str">
        <x:v>Event evidence</x:v>
      </x:c>
      <x:c r="G12" s="17" t="str">
        <x:v>https://www.utusan.com.my/terkini/2021/09/100-rumah-dinaiki-air-akibat-banjir-kilat/</x:v>
      </x:c>
      <x:c r="H12" s="17" t="str">
        <x:v>Names Bukit Pulai, Taman Pasir Putih, Sentosa Barat, Jalan Kampung Masjid and separate Batu 10 Kampung Laut rescue.</x:v>
      </x:c>
    </x:row>
    <x:row r="13">
      <x:c r="A13" s="17" t="str">
        <x:v>SRC2021-SEP04-UTUSAN</x:v>
      </x:c>
      <x:c r="B13" s="17" t="str">
        <x:v>Kampung Laut Skudai banjir lagi, 28 mangsa dipindahkan</x:v>
      </x:c>
      <x:c r="C13" s="17" t="str">
        <x:v>Utusan Malaysia / JBPM</x:v>
      </x:c>
      <x:c r="D13" s="17" t="str">
        <x:v>2021-09-05</x:v>
      </x:c>
      <x:c r="E13" s="17" t="str">
        <x:v>B</x:v>
      </x:c>
      <x:c r="F13" s="17" t="str">
        <x:v>Event evidence</x:v>
      </x:c>
      <x:c r="G13" s="17" t="str">
        <x:v>https://www.utusan.com.my/nasional/2021/09/kampung-laut-skudai-banjir-lagi-28-mangsa-dipindahkan/</x:v>
      </x:c>
      <x:c r="H13" s="17" t="str">
        <x:v>Report says flood occurred 'malam tadi'; event date recorded as 4 Sep.</x:v>
      </x:c>
    </x:row>
    <x:row r="14">
      <x:c r="A14" s="17" t="str">
        <x:v>SRC2021-SEP30-SINAR</x:v>
      </x:c>
      <x:c r="B14" s="17" t="str">
        <x:v>Beberapa kawasan di Johor Bahru dilanda banjir kilat</x:v>
      </x:c>
      <x:c r="C14" s="17" t="str">
        <x:v>Sinar Harian / JBPM context</x:v>
      </x:c>
      <x:c r="D14" s="17" t="str">
        <x:v>2021-09-30</x:v>
      </x:c>
      <x:c r="E14" s="17" t="str">
        <x:v>B</x:v>
      </x:c>
      <x:c r="F14" s="17" t="str">
        <x:v>Event evidence</x:v>
      </x:c>
      <x:c r="G14" s="17" t="str">
        <x:v>https://www.sinarharian.com.my/article/164321/EDISI/Beberapa-kawasan-di-Johor-Bahru-dilanda-banjir-kilat</x:v>
      </x:c>
      <x:c r="H14" s="17" t="str">
        <x:v>Lists 11 affected JB locations at about 6 am.</x:v>
      </x:c>
    </x:row>
    <x:row r="15">
      <x:c r="A15" s="17" t="str">
        <x:v>SRC2021-SEP30-SINAR-SERIJAYA</x:v>
      </x:c>
      <x:c r="B15" s="17" t="str">
        <x:v>Banjir merah landa Kampung Seri Jaya Baru Tampoi</x:v>
      </x:c>
      <x:c r="C15" s="17" t="str">
        <x:v>Sinar Harian / JBPM photo</x:v>
      </x:c>
      <x:c r="D15" s="17" t="str">
        <x:v>2021-09-30</x:v>
      </x:c>
      <x:c r="E15" s="17" t="str">
        <x:v>B</x:v>
      </x:c>
      <x:c r="F15" s="17" t="str">
        <x:v>Event evidence</x:v>
      </x:c>
      <x:c r="G15" s="17" t="str">
        <x:v>https://www.sinarharian.com.my/article/164367/BERITA/Semasa/Banjir-merah-landa-Kampung-Seri-Jaya-Baru-Tampoi</x:v>
      </x:c>
      <x:c r="H15" s="17" t="str">
        <x:v>Same-day flood at Kampung Seri Jaya Baru, Tampoi.</x:v>
      </x:c>
    </x:row>
    <x:row r="16">
      <x:c r="A16" s="17" t="str">
        <x:v>SRC2021-SEP30-YSJB</x:v>
      </x:c>
      <x:c r="B16" s="17" t="str">
        <x:v>Help At Kg Mohd Amin Kolam Air Johor Bahru Flash Flood on 30/09/2021</x:v>
      </x:c>
      <x:c r="C16" s="17" t="str">
        <x:v>Yayasan Kebajikan Suria</x:v>
      </x:c>
      <x:c r="D16" s="17" t="str">
        <x:v>2021-09-30</x:v>
      </x:c>
      <x:c r="E16" s="17" t="str">
        <x:v>C</x:v>
      </x:c>
      <x:c r="F16" s="17" t="str">
        <x:v>NGO field evidence</x:v>
      </x:c>
      <x:c r="G16" s="17" t="str">
        <x:v>https://www.yayasansuriajb.org.my/help-at-kg-mohd-amin-kolam-air-johor-bahru-flash-flood-on-30-09-2021/</x:v>
      </x:c>
      <x:c r="H16" s="17" t="str">
        <x:v>Explicitly reports flash flood at Kg Mohd Amin, Kolam Air; water rose to chest height.</x:v>
      </x:c>
    </x:row>
    <x:row r="17">
      <x:c r="A17" s="17" t="str">
        <x:v>SRC2021-JPS-CATALOG</x:v>
      </x:c>
      <x:c r="B17" s="17" t="str">
        <x:v>LAPORAN BANJIR TAHUNAN 2021</x:v>
      </x:c>
      <x:c r="C17" s="17" t="str">
        <x:v>Jabatan Pengairan dan Saliran Malaysia</x:v>
      </x:c>
      <x:c r="D17" s="17" t="str">
        <x:v>2022</x:v>
      </x:c>
      <x:c r="E17" s="17" t="str">
        <x:v>A</x:v>
      </x:c>
      <x:c r="F17" s="17" t="str">
        <x:v>Official annual-report context</x:v>
      </x:c>
      <x:c r="G17" s="17" t="str">
        <x:v>https://library.water.gov.my/cgi-bin/koha/opac-detail.pl?biblionumber=21653</x:v>
      </x:c>
      <x:c r="H17" s="17" t="str">
        <x:v>Official 389-page annual flood report confirmed; catalog includes state flood-event reports and appendices.</x:v>
      </x:c>
    </x:row>
    <x:row r="18">
      <x:c r="A18" s="17" t="str">
        <x:v>GEO2021-KEMPAS-LURAH-OSM</x:v>
      </x:c>
      <x:c r="B18" s="17" t="str">
        <x:v>Kempas Lurah, OSM way 407852454</x:v>
      </x:c>
      <x:c r="C18" s="17" t="str">
        <x:v>OpenStreetMap</x:v>
      </x:c>
      <x:c r="D18" s="17" t="str">
        <x:v>accessed 2026-10-06</x:v>
      </x:c>
      <x:c r="E18" s="17" t="str">
        <x:v>GEO</x:v>
      </x:c>
      <x:c r="F18" s="17" t="str">
        <x:v>Polygon geometry</x:v>
      </x:c>
      <x:c r="G18" s="17" t="str">
        <x:v>https://www.openstreetmap.org/way/407852454</x:v>
      </x:c>
      <x:c r="H18" s="17" t="str">
        <x:v>Named landuse=residential, place=hamlet closed way; 12 unique nodes.</x:v>
      </x:c>
    </x:row>
    <x:row r="19">
      <x:c r="A19" s="17" t="str">
        <x:v>GEO2021-TAMAN-MAWAR-OSM</x:v>
      </x:c>
      <x:c r="B19" s="17" t="str">
        <x:v>Taman Mawar, OSM way 617816429</x:v>
      </x:c>
      <x:c r="C19" s="17" t="str">
        <x:v>OpenStreetMap</x:v>
      </x:c>
      <x:c r="D19" s="17" t="str">
        <x:v>accessed 2026-10-06</x:v>
      </x:c>
      <x:c r="E19" s="17" t="str">
        <x:v>GEO</x:v>
      </x:c>
      <x:c r="F19" s="17" t="str">
        <x:v>Polygon geometry</x:v>
      </x:c>
      <x:c r="G19" s="17" t="str">
        <x:v>https://www.openstreetmap.org/way/617816429</x:v>
      </x:c>
      <x:c r="H19" s="17" t="str">
        <x:v>Named landuse=residential, place=neighbourhood closed way; 21 unique nodes.</x:v>
      </x:c>
    </x:row>
    <x:row r="20">
      <x:c r="A20" s="17" t="str">
        <x:v>GEO-REUSE-SEPAKAT-BARU</x:v>
      </x:c>
      <x:c r="B20" s="17" t="str">
        <x:v>Kampung Sepakat Baru, OSM way 463347299</x:v>
      </x:c>
      <x:c r="C20" s="17" t="str">
        <x:v>OpenStreetMap / R010</x:v>
      </x:c>
      <x:c r="D20" s="17" t="str">
        <x:v>carry-forward</x:v>
      </x:c>
      <x:c r="E20" s="17" t="str">
        <x:v>GEO</x:v>
      </x:c>
      <x:c r="F20" s="17" t="str">
        <x:v>Reused polygon</x:v>
      </x:c>
      <x:c r="G20" s="17" t="str">
        <x:v>https://www.openstreetmap.org/way/463347299</x:v>
      </x:c>
      <x:c r="H20" s="17" t="str">
        <x:v>Reuse frozen PG2019-KG-SEPAKAT-BARU.</x:v>
      </x:c>
    </x:row>
    <x:row r="21">
      <x:c r="A21" s="17" t="str">
        <x:v>GEO-REUSE-KANGKAR-TEBRAU</x:v>
      </x:c>
      <x:c r="B21" s="17" t="str">
        <x:v>Kampung Kangkar Tebrau, OSM way 657910839</x:v>
      </x:c>
      <x:c r="C21" s="17" t="str">
        <x:v>OpenStreetMap / R005</x:v>
      </x:c>
      <x:c r="D21" s="17" t="str">
        <x:v>carry-forward</x:v>
      </x:c>
      <x:c r="E21" s="17" t="str">
        <x:v>GEO</x:v>
      </x:c>
      <x:c r="F21" s="17" t="str">
        <x:v>Reused polygon</x:v>
      </x:c>
      <x:c r="G21" s="17" t="str">
        <x:v>https://www.openstreetmap.org/way/657910839</x:v>
      </x:c>
      <x:c r="H21" s="17" t="str">
        <x:v>Reuse frozen PG2017-KG-KANGKAR-TEBRAU.</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6" hidden="0" customWidth="1"/>
    <x:col min="2" max="2" width="31" hidden="0" customWidth="1"/>
    <x:col min="3" max="3" width="31" hidden="0" customWidth="1"/>
    <x:col min="4" max="4" width="18" hidden="0" customWidth="1"/>
    <x:col min="5" max="5" width="16" hidden="0" customWidth="1"/>
    <x:col min="6" max="6" width="17" hidden="0" customWidth="1"/>
    <x:col min="7" max="7" width="17" hidden="0" customWidth="1"/>
    <x:col min="8" max="8" width="40" hidden="0" customWidth="1"/>
    <x:col min="9" max="9" width="30" hidden="0" customWidth="1"/>
    <x:col min="10" max="10" width="29" hidden="0" customWidth="1"/>
    <x:col min="11" max="11" width="50" hidden="0" customWidth="1"/>
    <x:col min="12" max="12" width="50" hidden="0" customWidth="1"/>
    <x:col min="13" max="13" width="17" hidden="0" customWidth="1"/>
  </x:cols>
  <x:sheetData>
    <x:row r="1">
      <x:c r="A1" s="16" t="str">
        <x:v>Spatial_Object_Key</x:v>
      </x:c>
      <x:c r="B1" s="16" t="str">
        <x:v>Canonical_Name</x:v>
      </x:c>
      <x:c r="C1" s="16" t="str">
        <x:v>Alias_or_Source_Label</x:v>
      </x:c>
      <x:c r="D1" s="16" t="str">
        <x:v>Object_Type</x:v>
      </x:c>
      <x:c r="E1" s="16" t="str">
        <x:v>Point_GIS_Ready</x:v>
      </x:c>
      <x:c r="F1" s="16" t="str">
        <x:v>Longitude_WGS84</x:v>
      </x:c>
      <x:c r="G1" s="16" t="str">
        <x:v>Latitude_WGS84</x:v>
      </x:c>
      <x:c r="H1" s="16" t="str">
        <x:v>Point_Source</x:v>
      </x:c>
      <x:c r="I1" s="16" t="str">
        <x:v>Geometry_Status</x:v>
      </x:c>
      <x:c r="J1" s="16" t="str">
        <x:v>Polygon_ID</x:v>
      </x:c>
      <x:c r="K1" s="16" t="str">
        <x:v>Key_Conflict_or_Gap</x:v>
      </x:c>
      <x:c r="L1" s="16" t="str">
        <x:v>Next_Spatial_Action</x:v>
      </x:c>
      <x:c r="M1" s="16" t="str">
        <x:v>Event_Count_2021</x:v>
      </x:c>
    </x:row>
    <x:row r="2">
      <x:c r="A2" s="17" t="str">
        <x:v>S2021-001</x:v>
      </x:c>
      <x:c r="B2" s="17" t="str">
        <x:v>Kampung Laut Batu 10, Skudai</x:v>
      </x:c>
      <x:c r="C2" s="17" t="str">
        <x:v>Kampung Laut / Batu 10 Kampung Laut</x:v>
      </x:c>
      <x:c r="D2" s="17" t="str">
        <x:v>COMMUNITY</x:v>
      </x:c>
      <x:c r="E2" s="24" t="b">
        <x:v>1</x:v>
      </x:c>
      <x:c r="F2" s="17" t="n">
        <x:v>103.6605</x:v>
      </x:c>
      <x:c r="G2" s="17" t="n">
        <x:v>1.5453</x:v>
      </x:c>
      <x:c r="H2" s="17" t="str">
        <x:v>GeoNames/Mapcarta locality; event disambiguated to Skudai</x:v>
      </x:c>
      <x:c r="I2" s="17" t="str">
        <x:v>POINT_READY; POLYGON_OPEN</x:v>
      </x:c>
      <x:c r="J2" s="17" t="str"/>
      <x:c r="K2" s="17" t="str">
        <x:v>Community identity is clear; exact flood/community polygon not frozen.</x:v>
      </x:c>
      <x:c r="L2" s="17" t="str">
        <x:v>Resolve exact named closed community boundary if available.</x:v>
      </x:c>
      <x:c r="M2" s="17" t="n">
        <x:f>COUNTIF('01_2021_Event_Master'!$E$2:$E$47,A2)</x:f>
        <x:v>5</x:v>
      </x:c>
    </x:row>
    <x:row r="3">
      <x:c r="A3" s="17" t="str">
        <x:v>S2021-002</x:v>
      </x:c>
      <x:c r="B3" s="17" t="str">
        <x:v>Kampung Sentosa Barat</x:v>
      </x:c>
      <x:c r="C3" s="17" t="str">
        <x:v>Kg Sentosa Barat, Masai</x:v>
      </x:c>
      <x:c r="D3" s="17" t="str">
        <x:v>COMMUNITY</x:v>
      </x:c>
      <x:c r="E3" s="24" t="b">
        <x:v>0</x:v>
      </x:c>
      <x:c r="F3" s="17"/>
      <x:c r="G3" s="17"/>
      <x:c r="H3" s="17" t="str">
        <x:v>MBPG/news identity evidence</x:v>
      </x:c>
      <x:c r="I3" s="17" t="str">
        <x:v>IDENTITY_READY; POINT_OPEN</x:v>
      </x:c>
      <x:c r="J3" s="17" t="str"/>
      <x:c r="K3" s="17" t="str">
        <x:v>No strict traceable centroid/boundary frozen.</x:v>
      </x:c>
      <x:c r="L3" s="17" t="str">
        <x:v>Seek official gazetteer/planning boundary; do not substitute generic Sentosa.</x:v>
      </x:c>
      <x:c r="M3" s="17" t="n">
        <x:f>COUNTIF('01_2021_Event_Master'!$E$2:$E$47,A3)</x:f>
        <x:v>3</x:v>
      </x:c>
    </x:row>
    <x:row r="4">
      <x:c r="A4" s="17" t="str">
        <x:v>S2021-003</x:v>
      </x:c>
      <x:c r="B4" s="17" t="str">
        <x:v>Kampung Sentosa Damai</x:v>
      </x:c>
      <x:c r="C4" s="17" t="str">
        <x:v>Kg Sentosa Damai</x:v>
      </x:c>
      <x:c r="D4" s="17" t="str">
        <x:v>COMMUNITY</x:v>
      </x:c>
      <x:c r="E4" s="24" t="b">
        <x:v>0</x:v>
      </x:c>
      <x:c r="F4" s="17"/>
      <x:c r="G4" s="17"/>
      <x:c r="H4" s="17" t="str">
        <x:v>News/state statement identity evidence</x:v>
      </x:c>
      <x:c r="I4" s="17" t="str">
        <x:v>IDENTITY_READY; POINT_OPEN</x:v>
      </x:c>
      <x:c r="J4" s="17" t="str"/>
      <x:c r="K4" s="17" t="str">
        <x:v>No strict traceable centroid/boundary frozen.</x:v>
      </x:c>
      <x:c r="L4" s="17" t="str">
        <x:v>Seek official gazetteer/planning boundary.</x:v>
      </x:c>
      <x:c r="M4" s="17" t="n">
        <x:f>COUNTIF('01_2021_Event_Master'!$E$2:$E$47,A4)</x:f>
        <x:v>2</x:v>
      </x:c>
    </x:row>
    <x:row r="5">
      <x:c r="A5" s="17" t="str">
        <x:v>S2021-004</x:v>
      </x:c>
      <x:c r="B5" s="17" t="str">
        <x:v>Lorong Aris Batu 8, Skudai</x:v>
      </x:c>
      <x:c r="C5" s="17" t="str">
        <x:v>Lorong Aris / Batu 8½ Skudai</x:v>
      </x:c>
      <x:c r="D5" s="17" t="str">
        <x:v>ROAD/SUBAREA</x:v>
      </x:c>
      <x:c r="E5" s="24" t="b">
        <x:v>0</x:v>
      </x:c>
      <x:c r="F5" s="17"/>
      <x:c r="G5" s="17"/>
      <x:c r="H5" s="17" t="str">
        <x:v>MBIP project-map context only</x:v>
      </x:c>
      <x:c r="I5" s="17" t="str">
        <x:v>ROAD_SEGMENT_OPEN</x:v>
      </x:c>
      <x:c r="J5" s="17" t="str"/>
      <x:c r="K5" s="17" t="str">
        <x:v>Project-area evidence exists but does not define the exact flooded segment.</x:v>
      </x:c>
      <x:c r="L5" s="17" t="str">
        <x:v>Manual road-segment reconstruction only if event-specific start/end evidence is found.</x:v>
      </x:c>
      <x:c r="M5" s="17" t="n">
        <x:f>COUNTIF('01_2021_Event_Master'!$E$2:$E$47,A5)</x:f>
        <x:v>2</x:v>
      </x:c>
    </x:row>
    <x:row r="6">
      <x:c r="A6" s="17" t="str">
        <x:v>S2021-005</x:v>
      </x:c>
      <x:c r="B6" s="17" t="str">
        <x:v>Rumah Orang Tua Sam Poh</x:v>
      </x:c>
      <x:c r="C6" s="17" t="str">
        <x:v>Sam Poh old folks home</x:v>
      </x:c>
      <x:c r="D6" s="17" t="str">
        <x:v>FACILITY</x:v>
      </x:c>
      <x:c r="E6" s="24" t="b">
        <x:v>0</x:v>
      </x:c>
      <x:c r="F6" s="17"/>
      <x:c r="G6" s="17"/>
      <x:c r="H6" s="17" t="str">
        <x:v>Bernama/state statement; facility identity</x:v>
      </x:c>
      <x:c r="I6" s="17" t="str">
        <x:v>FACILITY_POINT_OPEN</x:v>
      </x:c>
      <x:c r="J6" s="17" t="str"/>
      <x:c r="K6" s="17" t="str">
        <x:v>Facility is event-valid but exact facility coordinate was not frozen in this pass.</x:v>
      </x:c>
      <x:c r="L6" s="17" t="str">
        <x:v>Resolve exact facility address/building footprint.</x:v>
      </x:c>
      <x:c r="M6" s="17" t="n">
        <x:f>COUNTIF('01_2021_Event_Master'!$E$2:$E$47,A6)</x:f>
        <x:v>1</x:v>
      </x:c>
    </x:row>
    <x:row r="7">
      <x:c r="A7" s="17" t="str">
        <x:v>S2021-006</x:v>
      </x:c>
      <x:c r="B7" s="17" t="str">
        <x:v>Kampung Pasir</x:v>
      </x:c>
      <x:c r="C7" s="17" t="str">
        <x:v>Kg Pasir, Tampoi/Skudai</x:v>
      </x:c>
      <x:c r="D7" s="17" t="str">
        <x:v>COMMUNITY</x:v>
      </x:c>
      <x:c r="E7" s="24" t="b">
        <x:v>1</x:v>
      </x:c>
      <x:c r="F7" s="17" t="n">
        <x:v>103.6969651</x:v>
      </x:c>
      <x:c r="G7" s="17" t="n">
        <x:v>1.4955303</x:v>
      </x:c>
      <x:c r="H7" s="17" t="str">
        <x:v>R012 frozen HF14 coordinate</x:v>
      </x:c>
      <x:c r="I7" s="17" t="str">
        <x:v>POINT_READY; POLYGON_OPEN</x:v>
      </x:c>
      <x:c r="J7" s="17" t="str"/>
      <x:c r="K7" s="17" t="str">
        <x:v>Existing fixed reference point reused; no exact community flood polygon substituted.</x:v>
      </x:c>
      <x:c r="L7" s="17" t="str">
        <x:v>Continue exact community-boundary search.</x:v>
      </x:c>
      <x:c r="M7" s="17" t="n">
        <x:f>COUNTIF('01_2021_Event_Master'!$E$2:$E$47,A7)</x:f>
        <x:v>4</x:v>
      </x:c>
    </x:row>
    <x:row r="8">
      <x:c r="A8" s="17" t="str">
        <x:v>S2021-007</x:v>
      </x:c>
      <x:c r="B8" s="17" t="str">
        <x:v>Kampung Teluk Serdang Baru</x:v>
      </x:c>
      <x:c r="C8" s="17" t="str">
        <x:v>Kg Teluk Serdang Baru</x:v>
      </x:c>
      <x:c r="D8" s="17" t="str">
        <x:v>COMMUNITY</x:v>
      </x:c>
      <x:c r="E8" s="24" t="b">
        <x:v>0</x:v>
      </x:c>
      <x:c r="F8" s="17"/>
      <x:c r="G8" s="17"/>
      <x:c r="H8" s="17" t="str">
        <x:v>Event evidence only</x:v>
      </x:c>
      <x:c r="I8" s="17" t="str">
        <x:v>IDENTITY_REVIEW; POINT_OPEN</x:v>
      </x:c>
      <x:c r="J8" s="17" t="str"/>
      <x:c r="K8" s="17" t="str">
        <x:v>Teluk/Telok Serdang naming and locality linkage need confirmation.</x:v>
      </x:c>
      <x:c r="L8" s="17" t="str">
        <x:v>Resolve official locality identity before geocoding.</x:v>
      </x:c>
      <x:c r="M8" s="17" t="n">
        <x:f>COUNTIF('01_2021_Event_Master'!$E$2:$E$47,A8)</x:f>
        <x:v>1</x:v>
      </x:c>
    </x:row>
    <x:row r="9">
      <x:c r="A9" s="17" t="str">
        <x:v>S2021-008</x:v>
      </x:c>
      <x:c r="B9" s="17" t="str">
        <x:v>Kampung Sepakat Baru</x:v>
      </x:c>
      <x:c r="C9" s="17" t="str">
        <x:v>Kampung Sepakat / Kg Sepakat Baru</x:v>
      </x:c>
      <x:c r="D9" s="17" t="str">
        <x:v>COMMUNITY</x:v>
      </x:c>
      <x:c r="E9" s="24" t="b">
        <x:v>1</x:v>
      </x:c>
      <x:c r="F9" s="17" t="n">
        <x:v>103.66117</x:v>
      </x:c>
      <x:c r="G9" s="17" t="n">
        <x:v>1.56411</x:v>
      </x:c>
      <x:c r="H9" s="17" t="str">
        <x:v>OSM named locality / prior R010 audit</x:v>
      </x:c>
      <x:c r="I9" s="17" t="str">
        <x:v>REUSED_CLOSED</x:v>
      </x:c>
      <x:c r="J9" s="17" t="str">
        <x:v>PG2019-KG-SEPAKAT-BARU</x:v>
      </x:c>
      <x:c r="K9" s="17" t="str">
        <x:v>10 Jan source says Kampung Sepakat; MBIP/OSM support Sepakat Baru normalization.</x:v>
      </x:c>
      <x:c r="L9" s="17" t="str">
        <x:v>Reuse frozen PG2019 polygon; retain source-label variant in events.</x:v>
      </x:c>
      <x:c r="M9" s="17" t="n">
        <x:f>COUNTIF('01_2021_Event_Master'!$E$2:$E$47,A9)</x:f>
        <x:v>2</x:v>
      </x:c>
    </x:row>
    <x:row r="10">
      <x:c r="A10" s="17" t="str">
        <x:v>S2021-009</x:v>
      </x:c>
      <x:c r="B10" s="17" t="str">
        <x:v>Kampung Paya Kenangan</x:v>
      </x:c>
      <x:c r="C10" s="17" t="str">
        <x:v>Kg Paya Kenangan</x:v>
      </x:c>
      <x:c r="D10" s="17" t="str">
        <x:v>COMMUNITY</x:v>
      </x:c>
      <x:c r="E10" s="24" t="b">
        <x:v>1</x:v>
      </x:c>
      <x:c r="F10" s="17" t="n">
        <x:v>103.7513</x:v>
      </x:c>
      <x:c r="G10" s="17" t="n">
        <x:v>1.5415</x:v>
      </x:c>
      <x:c r="H10" s="17" t="str">
        <x:v>Gazetteer/locality mapping</x:v>
      </x:c>
      <x:c r="I10" s="17" t="str">
        <x:v>POINT_READY; POLYGON_OPEN</x:v>
      </x:c>
      <x:c r="J10" s="17" t="str"/>
      <x:c r="K10" s="17" t="str">
        <x:v>Point is defensible; exact closed community boundary not frozen.</x:v>
      </x:c>
      <x:c r="L10" s="17" t="str">
        <x:v>Seek exact named boundary.</x:v>
      </x:c>
      <x:c r="M10" s="17" t="n">
        <x:f>COUNTIF('01_2021_Event_Master'!$E$2:$E$47,A10)</x:f>
        <x:v>2</x:v>
      </x:c>
    </x:row>
    <x:row r="11">
      <x:c r="A11" s="17" t="str">
        <x:v>S2021-010</x:v>
      </x:c>
      <x:c r="B11" s="17" t="str">
        <x:v>Kampung Pasir Tebrau</x:v>
      </x:c>
      <x:c r="C11" s="17" t="str">
        <x:v>Kg Pasir Tebrau</x:v>
      </x:c>
      <x:c r="D11" s="17" t="str">
        <x:v>COMMUNITY</x:v>
      </x:c>
      <x:c r="E11" s="24" t="b">
        <x:v>1</x:v>
      </x:c>
      <x:c r="F11" s="17" t="n">
        <x:v>103.7432778</x:v>
      </x:c>
      <x:c r="G11" s="17" t="n">
        <x:v>1.5441389</x:v>
      </x:c>
      <x:c r="H11" s="17" t="str">
        <x:v>Official Johor geographic gazette coordinate</x:v>
      </x:c>
      <x:c r="I11" s="17" t="str">
        <x:v>POINT_READY; POLYGON_OPEN</x:v>
      </x:c>
      <x:c r="J11" s="17" t="str"/>
      <x:c r="K11" s="17" t="str">
        <x:v>Point is defensible; exact closed community boundary not frozen.</x:v>
      </x:c>
      <x:c r="L11" s="17" t="str">
        <x:v>Seek exact named boundary.</x:v>
      </x:c>
      <x:c r="M11" s="17" t="n">
        <x:f>COUNTIF('01_2021_Event_Master'!$E$2:$E$47,A11)</x:f>
        <x:v>1</x:v>
      </x:c>
    </x:row>
    <x:row r="12">
      <x:c r="A12" s="17" t="str">
        <x:v>S2021-011</x:v>
      </x:c>
      <x:c r="B12" s="17" t="str">
        <x:v>Kampung Kangkar Tebrau</x:v>
      </x:c>
      <x:c r="C12" s="17" t="str">
        <x:v>Kg Kangkar Tebrau</x:v>
      </x:c>
      <x:c r="D12" s="17" t="str">
        <x:v>COMMUNITY</x:v>
      </x:c>
      <x:c r="E12" s="24" t="b">
        <x:v>1</x:v>
      </x:c>
      <x:c r="F12" s="17" t="n">
        <x:v>103.75589</x:v>
      </x:c>
      <x:c r="G12" s="17" t="n">
        <x:v>1.53176</x:v>
      </x:c>
      <x:c r="H12" s="17" t="str">
        <x:v>OSM locality / prior R005 audit</x:v>
      </x:c>
      <x:c r="I12" s="17" t="str">
        <x:v>REUSED_CLOSED</x:v>
      </x:c>
      <x:c r="J12" s="17" t="str">
        <x:v>PG2017-KG-KANGKAR-TEBRAU</x:v>
      </x:c>
      <x:c r="K12" s="17" t="str">
        <x:v>Existing closed community polygon is already frozen.</x:v>
      </x:c>
      <x:c r="L12" s="17" t="str">
        <x:v>Reuse PG2017 polygon.</x:v>
      </x:c>
      <x:c r="M12" s="17" t="n">
        <x:f>COUNTIF('01_2021_Event_Master'!$E$2:$E$47,A12)</x:f>
        <x:v>3</x:v>
      </x:c>
    </x:row>
    <x:row r="13">
      <x:c r="A13" s="17" t="str">
        <x:v>S2021-012</x:v>
      </x:c>
      <x:c r="B13" s="17" t="str">
        <x:v>Simpang Mados</x:v>
      </x:c>
      <x:c r="C13" s="17" t="str">
        <x:v>Simpang Mados / Ladang Mados context</x:v>
      </x:c>
      <x:c r="D13" s="17" t="str">
        <x:v>LOCALITY</x:v>
      </x:c>
      <x:c r="E13" s="24" t="b">
        <x:v>0</x:v>
      </x:c>
      <x:c r="F13" s="17"/>
      <x:c r="G13" s="17"/>
      <x:c r="H13" s="17" t="str">
        <x:v>Event evidence + nearby institutional context</x:v>
      </x:c>
      <x:c r="I13" s="17" t="str">
        <x:v>POINT_OPEN</x:v>
      </x:c>
      <x:c r="J13" s="17" t="str"/>
      <x:c r="K13" s="17" t="str">
        <x:v>Nearby Mados features do not uniquely define Simpang Mados.</x:v>
      </x:c>
      <x:c r="L13" s="17" t="str">
        <x:v>Do not force a school/estate coordinate; obtain official locality evidence.</x:v>
      </x:c>
      <x:c r="M13" s="17" t="n">
        <x:f>COUNTIF('01_2021_Event_Master'!$E$2:$E$47,A13)</x:f>
        <x:v>1</x:v>
      </x:c>
    </x:row>
    <x:row r="14">
      <x:c r="A14" s="17" t="str">
        <x:v>S2021-013</x:v>
      </x:c>
      <x:c r="B14" s="17" t="str">
        <x:v>Batu 20 Sungai Tiram</x:v>
      </x:c>
      <x:c r="C14" s="17" t="str">
        <x:v>Batu 20 Sg Tiram</x:v>
      </x:c>
      <x:c r="D14" s="17" t="str">
        <x:v>ROAD/LOCALITY</x:v>
      </x:c>
      <x:c r="E14" s="24" t="b">
        <x:v>0</x:v>
      </x:c>
      <x:c r="F14" s="17"/>
      <x:c r="G14" s="17"/>
      <x:c r="H14" s="17" t="str">
        <x:v>Event label only</x:v>
      </x:c>
      <x:c r="I14" s="17" t="str">
        <x:v>ROAD_SEGMENT_OPEN</x:v>
      </x:c>
      <x:c r="J14" s="17" t="str"/>
      <x:c r="K14" s="17" t="str">
        <x:v>Linear/road-chainage object; exact affected segment unresolved.</x:v>
      </x:c>
      <x:c r="L14" s="17" t="str">
        <x:v>Resolve road chainage or event-specific segment.</x:v>
      </x:c>
      <x:c r="M14" s="17" t="n">
        <x:f>COUNTIF('01_2021_Event_Master'!$E$2:$E$47,A14)</x:f>
        <x:v>1</x:v>
      </x:c>
    </x:row>
    <x:row r="15">
      <x:c r="A15" s="17" t="str">
        <x:v>S2021-014</x:v>
      </x:c>
      <x:c r="B15" s="17" t="str">
        <x:v>Kampung Paya, Bukit Mutiara</x:v>
      </x:c>
      <x:c r="C15" s="17" t="str">
        <x:v>Kg Paya Bukit Mutiara</x:v>
      </x:c>
      <x:c r="D15" s="17" t="str">
        <x:v>COMMUNITY</x:v>
      </x:c>
      <x:c r="E15" s="24" t="b">
        <x:v>0</x:v>
      </x:c>
      <x:c r="F15" s="17"/>
      <x:c r="G15" s="17"/>
      <x:c r="H15" s="17" t="str">
        <x:v>Bernama resident/location evidence</x:v>
      </x:c>
      <x:c r="I15" s="17" t="str">
        <x:v>POINT_OPEN</x:v>
      </x:c>
      <x:c r="J15" s="17" t="str"/>
      <x:c r="K15" s="17" t="str">
        <x:v>Identity is event-valid but strict centroid/boundary not frozen.</x:v>
      </x:c>
      <x:c r="L15" s="17" t="str">
        <x:v>Seek official gazetteer/planning source.</x:v>
      </x:c>
      <x:c r="M15" s="17" t="n">
        <x:f>COUNTIF('01_2021_Event_Master'!$E$2:$E$47,A15)</x:f>
        <x:v>1</x:v>
      </x:c>
    </x:row>
    <x:row r="16">
      <x:c r="A16" s="17" t="str">
        <x:v>S2021-015</x:v>
      </x:c>
      <x:c r="B16" s="17" t="str">
        <x:v>Kampung Sungai Rinting</x:v>
      </x:c>
      <x:c r="C16" s="17" t="str">
        <x:v>Kg Sungai Rinting</x:v>
      </x:c>
      <x:c r="D16" s="17" t="str">
        <x:v>COMMUNITY</x:v>
      </x:c>
      <x:c r="E16" s="24" t="b">
        <x:v>1</x:v>
      </x:c>
      <x:c r="F16" s="17" t="n">
        <x:v>103.8743</x:v>
      </x:c>
      <x:c r="G16" s="17" t="n">
        <x:v>1.48054</x:v>
      </x:c>
      <x:c r="H16" s="17" t="str">
        <x:v>GeoNames/locality mapping</x:v>
      </x:c>
      <x:c r="I16" s="17" t="str">
        <x:v>POINT_READY; POLYGON_OPEN</x:v>
      </x:c>
      <x:c r="J16" s="17" t="str"/>
      <x:c r="K16" s="17" t="str">
        <x:v>Exact community polygon not frozen.</x:v>
      </x:c>
      <x:c r="L16" s="17" t="str">
        <x:v>Seek named closed boundary.</x:v>
      </x:c>
      <x:c r="M16" s="17" t="n">
        <x:f>COUNTIF('01_2021_Event_Master'!$E$2:$E$47,A16)</x:f>
        <x:v>1</x:v>
      </x:c>
    </x:row>
    <x:row r="17">
      <x:c r="A17" s="17" t="str">
        <x:v>S2021-016</x:v>
      </x:c>
      <x:c r="B17" s="17" t="str">
        <x:v>Taman Mawar</x:v>
      </x:c>
      <x:c r="C17" s="17" t="str">
        <x:v>Taman Mawar, Masai/Pasir Gudang</x:v>
      </x:c>
      <x:c r="D17" s="17" t="str">
        <x:v>RESIDENTIAL</x:v>
      </x:c>
      <x:c r="E17" s="24" t="b">
        <x:v>1</x:v>
      </x:c>
      <x:c r="F17" s="17" t="n">
        <x:v>103.8948094913</x:v>
      </x:c>
      <x:c r="G17" s="17" t="n">
        <x:v>1.4696218674</x:v>
      </x:c>
      <x:c r="H17" s="17" t="str">
        <x:v>OSM way 617816429 polygon centroid</x:v>
      </x:c>
      <x:c r="I17" s="17" t="str">
        <x:v>NEW_CLOSED</x:v>
      </x:c>
      <x:c r="J17" s="17" t="str">
        <x:v>PG2021-TAMAN-MAWAR</x:v>
      </x:c>
      <x:c r="K17" s="17" t="str">
        <x:v>Exact named landuse=residential closed way available.</x:v>
      </x:c>
      <x:c r="L17" s="17" t="str">
        <x:v>Freeze OSM boundary as analysis polygon; not inundation footprint.</x:v>
      </x:c>
      <x:c r="M17" s="17" t="n">
        <x:f>COUNTIF('01_2021_Event_Master'!$E$2:$E$47,A17)</x:f>
        <x:v>1</x:v>
      </x:c>
    </x:row>
    <x:row r="18">
      <x:c r="A18" s="17" t="str">
        <x:v>S2021-017</x:v>
      </x:c>
      <x:c r="B18" s="17" t="str">
        <x:v>Taman Rinting</x:v>
      </x:c>
      <x:c r="C18" s="17" t="str">
        <x:v>Taman Rinting</x:v>
      </x:c>
      <x:c r="D18" s="17" t="str">
        <x:v>RESIDENTIAL</x:v>
      </x:c>
      <x:c r="E18" s="24" t="b">
        <x:v>1</x:v>
      </x:c>
      <x:c r="F18" s="17" t="n">
        <x:v>103.8788</x:v>
      </x:c>
      <x:c r="G18" s="17" t="n">
        <x:v>1.4959</x:v>
      </x:c>
      <x:c r="H18" s="17" t="str">
        <x:v>GeoNames locality</x:v>
      </x:c>
      <x:c r="I18" s="17" t="str">
        <x:v>POINT_READY; POLYGON_OPEN</x:v>
      </x:c>
      <x:c r="J18" s="17" t="str"/>
      <x:c r="K18" s="17" t="str">
        <x:v>Point is defensible; no exact closed event-area geometry frozen.</x:v>
      </x:c>
      <x:c r="L18" s="17" t="str">
        <x:v>Seek exact named boundary.</x:v>
      </x:c>
      <x:c r="M18" s="17" t="n">
        <x:f>COUNTIF('01_2021_Event_Master'!$E$2:$E$47,A18)</x:f>
        <x:v>1</x:v>
      </x:c>
    </x:row>
    <x:row r="19">
      <x:c r="A19" s="17" t="str">
        <x:v>S2021-018</x:v>
      </x:c>
      <x:c r="B19" s="17" t="str">
        <x:v>Lebuhraya Pasir Gudang</x:v>
      </x:c>
      <x:c r="C19" s="17" t="str">
        <x:v>Pasir Gudang Highway</x:v>
      </x:c>
      <x:c r="D19" s="17" t="str">
        <x:v>ROAD</x:v>
      </x:c>
      <x:c r="E19" s="24" t="b">
        <x:v>0</x:v>
      </x:c>
      <x:c r="F19" s="17"/>
      <x:c r="G19" s="17"/>
      <x:c r="H19" s="17" t="str">
        <x:v>12 Jul source reports traffic severely affected</x:v>
      </x:c>
      <x:c r="I19" s="17" t="str">
        <x:v>ROAD_SEGMENT_OPEN</x:v>
      </x:c>
      <x:c r="J19" s="17" t="str"/>
      <x:c r="K19" s="17" t="str">
        <x:v>Source names the highway but not flooded start/end chainage.</x:v>
      </x:c>
      <x:c r="L19" s="17" t="str">
        <x:v>Keep linear object open; no whole-highway buffer.</x:v>
      </x:c>
      <x:c r="M19" s="17" t="n">
        <x:f>COUNTIF('01_2021_Event_Master'!$E$2:$E$47,A19)</x:f>
        <x:v>1</x:v>
      </x:c>
    </x:row>
    <x:row r="20">
      <x:c r="A20" s="17" t="str">
        <x:v>S2021-019</x:v>
      </x:c>
      <x:c r="B20" s="17" t="str">
        <x:v>Kampung Bukit Pulai</x:v>
      </x:c>
      <x:c r="C20" s="17" t="str">
        <x:v>Kg Bukit Pulai</x:v>
      </x:c>
      <x:c r="D20" s="17" t="str">
        <x:v>COMMUNITY</x:v>
      </x:c>
      <x:c r="E20" s="24" t="b">
        <x:v>0</x:v>
      </x:c>
      <x:c r="F20" s="17"/>
      <x:c r="G20" s="17"/>
      <x:c r="H20" s="17" t="str">
        <x:v>2 Sep JBPM/news event evidence</x:v>
      </x:c>
      <x:c r="I20" s="17" t="str">
        <x:v>POINT_OPEN</x:v>
      </x:c>
      <x:c r="J20" s="17" t="str"/>
      <x:c r="K20" s="17" t="str">
        <x:v>Exact locality coordinate/boundary not frozen.</x:v>
      </x:c>
      <x:c r="L20" s="17" t="str">
        <x:v>Resolve official locality.</x:v>
      </x:c>
      <x:c r="M20" s="17" t="n">
        <x:f>COUNTIF('01_2021_Event_Master'!$E$2:$E$47,A20)</x:f>
        <x:v>1</x:v>
      </x:c>
    </x:row>
    <x:row r="21">
      <x:c r="A21" s="17" t="str">
        <x:v>S2021-020</x:v>
      </x:c>
      <x:c r="B21" s="17" t="str">
        <x:v>Taman Pasir Putih</x:v>
      </x:c>
      <x:c r="C21" s="17" t="str">
        <x:v>Taman Pasir Putih</x:v>
      </x:c>
      <x:c r="D21" s="17" t="str">
        <x:v>RESIDENTIAL</x:v>
      </x:c>
      <x:c r="E21" s="24" t="b">
        <x:v>1</x:v>
      </x:c>
      <x:c r="F21" s="17" t="n">
        <x:v>103.93887</x:v>
      </x:c>
      <x:c r="G21" s="17" t="n">
        <x:v>1.47292</x:v>
      </x:c>
      <x:c r="H21" s="17" t="str">
        <x:v>OSM node 2409009368</x:v>
      </x:c>
      <x:c r="I21" s="17" t="str">
        <x:v>POINT_READY; POLYGON_OPEN</x:v>
      </x:c>
      <x:c r="J21" s="17" t="str"/>
      <x:c r="K21" s="17" t="str">
        <x:v>Point is defensible; exact event-area boundary not frozen.</x:v>
      </x:c>
      <x:c r="L21" s="17" t="str">
        <x:v>Seek named closed residential boundary.</x:v>
      </x:c>
      <x:c r="M21" s="17" t="n">
        <x:f>COUNTIF('01_2021_Event_Master'!$E$2:$E$47,A21)</x:f>
        <x:v>1</x:v>
      </x:c>
    </x:row>
    <x:row r="22">
      <x:c r="A22" s="17" t="str">
        <x:v>S2021-021</x:v>
      </x:c>
      <x:c r="B22" s="17" t="str">
        <x:v>Jalan Kampung Masjid, Masai</x:v>
      </x:c>
      <x:c r="C22" s="17" t="str">
        <x:v>Jalan Kampung Masjid Masai</x:v>
      </x:c>
      <x:c r="D22" s="17" t="str">
        <x:v>ROAD</x:v>
      </x:c>
      <x:c r="E22" s="24" t="b">
        <x:v>0</x:v>
      </x:c>
      <x:c r="F22" s="17"/>
      <x:c r="G22" s="17"/>
      <x:c r="H22" s="17" t="str">
        <x:v>2 Sep JBPM/news event evidence</x:v>
      </x:c>
      <x:c r="I22" s="17" t="str">
        <x:v>ROAD_SEGMENT_OPEN</x:v>
      </x:c>
      <x:c r="J22" s="17" t="str"/>
      <x:c r="K22" s="17" t="str">
        <x:v>Named road affected; start/end flooded segment absent.</x:v>
      </x:c>
      <x:c r="L22" s="17" t="str">
        <x:v>Keep exact road segment open.</x:v>
      </x:c>
      <x:c r="M22" s="17" t="n">
        <x:f>COUNTIF('01_2021_Event_Master'!$E$2:$E$47,A22)</x:f>
        <x:v>1</x:v>
      </x:c>
    </x:row>
    <x:row r="23">
      <x:c r="A23" s="17" t="str">
        <x:v>S2021-022</x:v>
      </x:c>
      <x:c r="B23" s="17" t="str">
        <x:v>Kampung Melayu Majidee</x:v>
      </x:c>
      <x:c r="C23" s="17" t="str">
        <x:v>Kg Melayu Majidee</x:v>
      </x:c>
      <x:c r="D23" s="17" t="str">
        <x:v>COMMUNITY</x:v>
      </x:c>
      <x:c r="E23" s="24" t="b">
        <x:v>1</x:v>
      </x:c>
      <x:c r="F23" s="17" t="n">
        <x:v>103.75192484</x:v>
      </x:c>
      <x:c r="G23" s="17" t="n">
        <x:v>1.51174352</x:v>
      </x:c>
      <x:c r="H23" s="17" t="str">
        <x:v>MyGeoName Johor gazetteer</x:v>
      </x:c>
      <x:c r="I23" s="17" t="str">
        <x:v>POINT_READY; POLYGON_CANDIDATE_OPEN</x:v>
      </x:c>
      <x:c r="J23" s="17" t="str"/>
      <x:c r="K23" s="17" t="str">
        <x:v>OSM relation candidate exists but full multipolygon not reconstructed here.</x:v>
      </x:c>
      <x:c r="L23" s="17" t="str">
        <x:v>Extract/validate full relation before closure.</x:v>
      </x:c>
      <x:c r="M23" s="17" t="n">
        <x:f>COUNTIF('01_2021_Event_Master'!$E$2:$E$47,A23)</x:f>
        <x:v>1</x:v>
      </x:c>
    </x:row>
    <x:row r="24">
      <x:c r="A24" s="17" t="str">
        <x:v>S2021-023</x:v>
      </x:c>
      <x:c r="B24" s="17" t="str">
        <x:v>Kempas Lurah</x:v>
      </x:c>
      <x:c r="C24" s="17" t="str">
        <x:v>Kempas Lurah</x:v>
      </x:c>
      <x:c r="D24" s="17" t="str">
        <x:v>COMMUNITY</x:v>
      </x:c>
      <x:c r="E24" s="24" t="b">
        <x:v>1</x:v>
      </x:c>
      <x:c r="F24" s="17" t="n">
        <x:v>103.71579344</x:v>
      </x:c>
      <x:c r="G24" s="17" t="n">
        <x:v>1.52911376</x:v>
      </x:c>
      <x:c r="H24" s="17" t="str">
        <x:v>OSM way 407852454 polygon centroid</x:v>
      </x:c>
      <x:c r="I24" s="17" t="str">
        <x:v>NEW_CLOSED</x:v>
      </x:c>
      <x:c r="J24" s="17" t="str">
        <x:v>PG2021-KEMPAS-LURAH</x:v>
      </x:c>
      <x:c r="K24" s="17" t="str">
        <x:v>Exact named landuse=residential/place=hamlet closed way available.</x:v>
      </x:c>
      <x:c r="L24" s="17" t="str">
        <x:v>Freeze OSM boundary as analysis polygon; not inundation footprint.</x:v>
      </x:c>
      <x:c r="M24" s="17" t="n">
        <x:f>COUNTIF('01_2021_Event_Master'!$E$2:$E$47,A24)</x:f>
        <x:v>1</x:v>
      </x:c>
    </x:row>
    <x:row r="25">
      <x:c r="A25" s="17" t="str">
        <x:v>S2021-024</x:v>
      </x:c>
      <x:c r="B25" s="17" t="str">
        <x:v>Taman Skudai Baru</x:v>
      </x:c>
      <x:c r="C25" s="17" t="str">
        <x:v>Taman Skudai Baru</x:v>
      </x:c>
      <x:c r="D25" s="17" t="str">
        <x:v>RESIDENTIAL</x:v>
      </x:c>
      <x:c r="E25" s="24" t="b">
        <x:v>0</x:v>
      </x:c>
      <x:c r="F25" s="17"/>
      <x:c r="G25" s="17"/>
      <x:c r="H25" s="17" t="str">
        <x:v>Multiple same-name OSM objects</x:v>
      </x:c>
      <x:c r="I25" s="17" t="str">
        <x:v>IDENTITY_CONFLICT; POLYGON_OPEN</x:v>
      </x:c>
      <x:c r="J25" s="17" t="str"/>
      <x:c r="K25" s="17" t="str">
        <x:v>Two same-name public map objects create identity ambiguity.</x:v>
      </x:c>
      <x:c r="L25" s="17" t="str">
        <x:v>Resolve against event/JBPM administrative context before selecting geometry.</x:v>
      </x:c>
      <x:c r="M25" s="17" t="n">
        <x:f>COUNTIF('01_2021_Event_Master'!$E$2:$E$47,A25)</x:f>
        <x:v>1</x:v>
      </x:c>
    </x:row>
    <x:row r="26">
      <x:c r="A26" s="17" t="str">
        <x:v>S2021-025</x:v>
      </x:c>
      <x:c r="B26" s="17" t="str">
        <x:v>Taman Johor Jaya</x:v>
      </x:c>
      <x:c r="C26" s="17" t="str">
        <x:v>Taman Johor Jaya</x:v>
      </x:c>
      <x:c r="D26" s="17" t="str">
        <x:v>RESIDENTIAL</x:v>
      </x:c>
      <x:c r="E26" s="24" t="b">
        <x:v>1</x:v>
      </x:c>
      <x:c r="F26" s="17" t="n">
        <x:v>103.8024</x:v>
      </x:c>
      <x:c r="G26" s="17" t="n">
        <x:v>1.5428</x:v>
      </x:c>
      <x:c r="H26" s="17" t="str">
        <x:v>OSM locality node 4938487621</x:v>
      </x:c>
      <x:c r="I26" s="17" t="str">
        <x:v>POINT_READY; POLYGON_OPEN</x:v>
      </x:c>
      <x:c r="J26" s="17" t="str"/>
      <x:c r="K26" s="17" t="str">
        <x:v>Sinar lists Taman Johor Jaya; separate source mentions Jalan Belumut/Taman Johor.</x:v>
      </x:c>
      <x:c r="L26" s="17" t="str">
        <x:v>Retain source conflict; do not auto-merge labels.</x:v>
      </x:c>
      <x:c r="M26" s="17" t="n">
        <x:f>COUNTIF('01_2021_Event_Master'!$E$2:$E$47,A26)</x:f>
        <x:v>1</x:v>
      </x:c>
    </x:row>
    <x:row r="27">
      <x:c r="A27" s="17" t="str">
        <x:v>S2021-026</x:v>
      </x:c>
      <x:c r="B27" s="17" t="str">
        <x:v>Kampung Ibu</x:v>
      </x:c>
      <x:c r="C27" s="17" t="str">
        <x:v>Kg Ibu</x:v>
      </x:c>
      <x:c r="D27" s="17" t="str">
        <x:v>COMMUNITY</x:v>
      </x:c>
      <x:c r="E27" s="24" t="b">
        <x:v>0</x:v>
      </x:c>
      <x:c r="F27" s="17"/>
      <x:c r="G27" s="17"/>
      <x:c r="H27" s="17" t="str">
        <x:v>30 Sep news event evidence</x:v>
      </x:c>
      <x:c r="I27" s="17" t="str">
        <x:v>POINT_OPEN</x:v>
      </x:c>
      <x:c r="J27" s="17" t="str"/>
      <x:c r="K27" s="17" t="str">
        <x:v>No defensible strict point frozen.</x:v>
      </x:c>
      <x:c r="L27" s="17" t="str">
        <x:v>Seek official locality/gazetteer evidence.</x:v>
      </x:c>
      <x:c r="M27" s="17" t="n">
        <x:f>COUNTIF('01_2021_Event_Master'!$E$2:$E$47,A27)</x:f>
        <x:v>1</x:v>
      </x:c>
    </x:row>
    <x:row r="28">
      <x:c r="A28" s="17" t="str">
        <x:v>S2021-027</x:v>
      </x:c>
      <x:c r="B28" s="17" t="str">
        <x:v>Kolam Air</x:v>
      </x:c>
      <x:c r="C28" s="17" t="str">
        <x:v>Kolam Air, Johor Bahru</x:v>
      </x:c>
      <x:c r="D28" s="17" t="str">
        <x:v>AREA</x:v>
      </x:c>
      <x:c r="E28" s="24" t="b">
        <x:v>0</x:v>
      </x:c>
      <x:c r="F28" s="17"/>
      <x:c r="G28" s="17"/>
      <x:c r="H28" s="17" t="str">
        <x:v>30 Sep news event evidence</x:v>
      </x:c>
      <x:c r="I28" s="17" t="str">
        <x:v>IDENTITY_AMBIGUOUS; POINT_OPEN</x:v>
      </x:c>
      <x:c r="J28" s="17" t="str"/>
      <x:c r="K28" s="17" t="str">
        <x:v>Generic name could be confused with unrelated Kolam Air features.</x:v>
      </x:c>
      <x:c r="L28" s="17" t="str">
        <x:v>Resolve precise Johor Bahru locality before geocoding.</x:v>
      </x:c>
      <x:c r="M28" s="17" t="n">
        <x:f>COUNTIF('01_2021_Event_Master'!$E$2:$E$47,A28)</x:f>
        <x:v>1</x:v>
      </x:c>
    </x:row>
    <x:row r="29">
      <x:c r="A29" s="17" t="str">
        <x:v>S2021-028</x:v>
      </x:c>
      <x:c r="B29" s="17" t="str">
        <x:v>Kempas Denai</x:v>
      </x:c>
      <x:c r="C29" s="17" t="str">
        <x:v>Kempas Denai / Jalan Denai Utama</x:v>
      </x:c>
      <x:c r="D29" s="17" t="str">
        <x:v>ROAD/AREA</x:v>
      </x:c>
      <x:c r="E29" s="24" t="b">
        <x:v>0</x:v>
      </x:c>
      <x:c r="F29" s="17"/>
      <x:c r="G29" s="17"/>
      <x:c r="H29" s="17" t="str">
        <x:v>Sinar generic area + Kosmo road-specific wording</x:v>
      </x:c>
      <x:c r="I29" s="17" t="str">
        <x:v>SOURCE_LABEL_CONFLICT; ROAD_SEGMENT_OPEN</x:v>
      </x:c>
      <x:c r="J29" s="17" t="str"/>
      <x:c r="K29" s="17" t="str">
        <x:v>Generic 'Kempas Denai' vs exact 'Jalan Denai Utama' wording.</x:v>
      </x:c>
      <x:c r="L29" s="17" t="str">
        <x:v>Preserve both source labels; resolve flooded road segment separately.</x:v>
      </x:c>
      <x:c r="M29" s="17" t="n">
        <x:f>COUNTIF('01_2021_Event_Master'!$E$2:$E$47,A29)</x:f>
        <x:v>1</x:v>
      </x:c>
    </x:row>
    <x:row r="30">
      <x:c r="A30" s="17" t="str">
        <x:v>S2021-029</x:v>
      </x:c>
      <x:c r="B30" s="17" t="str">
        <x:v>Kempas Permatang</x:v>
      </x:c>
      <x:c r="C30" s="17" t="str">
        <x:v>Kempas Permatang / Jalan Permatang</x:v>
      </x:c>
      <x:c r="D30" s="17" t="str">
        <x:v>ROAD/AREA</x:v>
      </x:c>
      <x:c r="E30" s="24" t="b">
        <x:v>1</x:v>
      </x:c>
      <x:c r="F30" s="17" t="n">
        <x:v>103.72755</x:v>
      </x:c>
      <x:c r="G30" s="17" t="n">
        <x:v>1.52696</x:v>
      </x:c>
      <x:c r="H30" s="17" t="str">
        <x:v>OSM locality node / news context</x:v>
      </x:c>
      <x:c r="I30" s="17" t="str">
        <x:v>POINT_READY; ROAD_SEGMENT_OPEN</x:v>
      </x:c>
      <x:c r="J30" s="17" t="str"/>
      <x:c r="K30" s="17" t="str">
        <x:v>Area point is usable, but event reporting also gives road-specific Jalan Permatang.</x:v>
      </x:c>
      <x:c r="L30" s="17" t="str">
        <x:v>Do not treat point/community extent as flooded road segment.</x:v>
      </x:c>
      <x:c r="M30" s="17" t="n">
        <x:f>COUNTIF('01_2021_Event_Master'!$E$2:$E$47,A30)</x:f>
        <x:v>1</x:v>
      </x:c>
    </x:row>
    <x:row r="31">
      <x:c r="A31" s="17" t="str">
        <x:v>S2021-030</x:v>
      </x:c>
      <x:c r="B31" s="17" t="str">
        <x:v>Kampung Seri Jaya Baru</x:v>
      </x:c>
      <x:c r="C31" s="17" t="str">
        <x:v>Kg Seri Jaya Baru, Tampoi</x:v>
      </x:c>
      <x:c r="D31" s="17" t="str">
        <x:v>COMMUNITY</x:v>
      </x:c>
      <x:c r="E31" s="24" t="b">
        <x:v>0</x:v>
      </x:c>
      <x:c r="F31" s="17"/>
      <x:c r="G31" s="17"/>
      <x:c r="H31" s="17" t="str">
        <x:v>Sinar/JBPM event evidence + Johor address context</x:v>
      </x:c>
      <x:c r="I31" s="17" t="str">
        <x:v>POINT_OPEN</x:v>
      </x:c>
      <x:c r="J31" s="17" t="str"/>
      <x:c r="K31" s="17" t="str">
        <x:v>Identity is strong; exact centroid/community boundary not frozen.</x:v>
      </x:c>
      <x:c r="L31" s="17" t="str">
        <x:v>Resolve official point/boundary.</x:v>
      </x:c>
      <x:c r="M31" s="17" t="n">
        <x:f>COUNTIF('01_2021_Event_Master'!$E$2:$E$47,A31)</x:f>
        <x:v>1</x:v>
      </x:c>
    </x:row>
    <x:row r="32">
      <x:c r="A32" s="17" t="str">
        <x:v>S2021-031</x:v>
      </x:c>
      <x:c r="B32" s="17" t="str">
        <x:v>Kampung Mohd Amin, Kolam Air</x:v>
      </x:c>
      <x:c r="C32" s="17" t="str">
        <x:v>Kampung Mohd Amin / Kg Mohd Amin Kolam Air</x:v>
      </x:c>
      <x:c r="D32" s="17" t="str">
        <x:v>COMMUNITY</x:v>
      </x:c>
      <x:c r="E32" s="24" t="b">
        <x:v>1</x:v>
      </x:c>
      <x:c r="F32" s="17" t="n">
        <x:v>103.73374889</x:v>
      </x:c>
      <x:c r="G32" s="17" t="n">
        <x:v>1.46371239</x:v>
      </x:c>
      <x:c r="H32" s="17" t="str">
        <x:v>MyGeoName Johor gazetteer / R012-linked identity</x:v>
      </x:c>
      <x:c r="I32" s="17" t="str">
        <x:v>POINT_READY; POLYGON_OPEN</x:v>
      </x:c>
      <x:c r="J32" s="17" t="str"/>
      <x:c r="K32" s="17" t="str">
        <x:v>30 Sep field record is explicit; exact closed community boundary not frozen.</x:v>
      </x:c>
      <x:c r="L32" s="17" t="str">
        <x:v>Reuse canonical Kampung Mohd Amin identity; retain Kolam Air event context.</x:v>
      </x:c>
      <x:c r="M32" s="17" t="n">
        <x:f>COUNTIF('01_2021_Event_Master'!$E$2:$E$47,A32)</x:f>
        <x:v>1</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6" hidden="0" customWidth="1"/>
    <x:col min="2" max="2" width="31" hidden="0" customWidth="1"/>
    <x:col min="3" max="3" width="18" hidden="0" customWidth="1"/>
    <x:col min="4" max="4" width="31" hidden="0" customWidth="1"/>
    <x:col min="5" max="5" width="56" hidden="0" customWidth="1"/>
    <x:col min="6" max="6" width="56" hidden="0" customWidth="1"/>
    <x:col min="7" max="7" width="44" hidden="0" customWidth="1"/>
  </x:cols>
  <x:sheetData>
    <x:row r="1">
      <x:c r="A1" s="16" t="str">
        <x:v>Spatial_Object_Key</x:v>
      </x:c>
      <x:c r="B1" s="16" t="str">
        <x:v>Canonical_Name</x:v>
      </x:c>
      <x:c r="C1" s="16" t="str">
        <x:v>Object_Type</x:v>
      </x:c>
      <x:c r="D1" s="16" t="str">
        <x:v>Current_Status</x:v>
      </x:c>
      <x:c r="E1" s="16" t="str">
        <x:v>Key_Conflict_or_Gap</x:v>
      </x:c>
      <x:c r="F1" s="16" t="str">
        <x:v>Next_Spatial_Action</x:v>
      </x:c>
      <x:c r="G1" s="16" t="str">
        <x:v>Decision</x:v>
      </x:c>
    </x:row>
    <x:row r="2">
      <x:c r="A2" s="17" t="str">
        <x:v>S2021-001</x:v>
      </x:c>
      <x:c r="B2" s="17" t="str">
        <x:v>Kampung Laut Batu 10, Skudai</x:v>
      </x:c>
      <x:c r="C2" s="17" t="str">
        <x:v>COMMUNITY</x:v>
      </x:c>
      <x:c r="D2" s="17" t="str">
        <x:v>POINT_READY; POLYGON_OPEN</x:v>
      </x:c>
      <x:c r="E2" s="17" t="str">
        <x:v>Community identity is clear; exact flood/community polygon not frozen.</x:v>
      </x:c>
      <x:c r="F2" s="17" t="str">
        <x:v>Resolve exact named closed community boundary if available.</x:v>
      </x:c>
      <x:c r="G2" s="17" t="str">
        <x:v>OPEN - retain evidence; do not fabricate geometry</x:v>
      </x:c>
    </x:row>
    <x:row r="3">
      <x:c r="A3" s="17" t="str">
        <x:v>S2021-002</x:v>
      </x:c>
      <x:c r="B3" s="17" t="str">
        <x:v>Kampung Sentosa Barat</x:v>
      </x:c>
      <x:c r="C3" s="17" t="str">
        <x:v>COMMUNITY</x:v>
      </x:c>
      <x:c r="D3" s="17" t="str">
        <x:v>IDENTITY_READY; POINT_OPEN</x:v>
      </x:c>
      <x:c r="E3" s="17" t="str">
        <x:v>No strict traceable centroid/boundary frozen.</x:v>
      </x:c>
      <x:c r="F3" s="17" t="str">
        <x:v>Seek official gazetteer/planning boundary; do not substitute generic Sentosa.</x:v>
      </x:c>
      <x:c r="G3" s="17" t="str">
        <x:v>OPEN - retain evidence; do not fabricate geometry</x:v>
      </x:c>
    </x:row>
    <x:row r="4">
      <x:c r="A4" s="17" t="str">
        <x:v>S2021-003</x:v>
      </x:c>
      <x:c r="B4" s="17" t="str">
        <x:v>Kampung Sentosa Damai</x:v>
      </x:c>
      <x:c r="C4" s="17" t="str">
        <x:v>COMMUNITY</x:v>
      </x:c>
      <x:c r="D4" s="17" t="str">
        <x:v>IDENTITY_READY; POINT_OPEN</x:v>
      </x:c>
      <x:c r="E4" s="17" t="str">
        <x:v>No strict traceable centroid/boundary frozen.</x:v>
      </x:c>
      <x:c r="F4" s="17" t="str">
        <x:v>Seek official gazetteer/planning boundary.</x:v>
      </x:c>
      <x:c r="G4" s="17" t="str">
        <x:v>OPEN - retain evidence; do not fabricate geometry</x:v>
      </x:c>
    </x:row>
    <x:row r="5">
      <x:c r="A5" s="17" t="str">
        <x:v>S2021-004</x:v>
      </x:c>
      <x:c r="B5" s="17" t="str">
        <x:v>Lorong Aris Batu 8, Skudai</x:v>
      </x:c>
      <x:c r="C5" s="17" t="str">
        <x:v>ROAD/SUBAREA</x:v>
      </x:c>
      <x:c r="D5" s="17" t="str">
        <x:v>ROAD_SEGMENT_OPEN</x:v>
      </x:c>
      <x:c r="E5" s="17" t="str">
        <x:v>Project-area evidence exists but does not define the exact flooded segment.</x:v>
      </x:c>
      <x:c r="F5" s="17" t="str">
        <x:v>Manual road-segment reconstruction only if event-specific start/end evidence is found.</x:v>
      </x:c>
      <x:c r="G5" s="17" t="str">
        <x:v>OPEN - retain evidence; do not fabricate geometry</x:v>
      </x:c>
    </x:row>
    <x:row r="6">
      <x:c r="A6" s="17" t="str">
        <x:v>S2021-005</x:v>
      </x:c>
      <x:c r="B6" s="17" t="str">
        <x:v>Rumah Orang Tua Sam Poh</x:v>
      </x:c>
      <x:c r="C6" s="17" t="str">
        <x:v>FACILITY</x:v>
      </x:c>
      <x:c r="D6" s="17" t="str">
        <x:v>FACILITY_POINT_OPEN</x:v>
      </x:c>
      <x:c r="E6" s="17" t="str">
        <x:v>Facility is event-valid but exact facility coordinate was not frozen in this pass.</x:v>
      </x:c>
      <x:c r="F6" s="17" t="str">
        <x:v>Resolve exact facility address/building footprint.</x:v>
      </x:c>
      <x:c r="G6" s="17" t="str">
        <x:v>OPEN - retain evidence; do not fabricate geometry</x:v>
      </x:c>
    </x:row>
    <x:row r="7">
      <x:c r="A7" s="17" t="str">
        <x:v>S2021-006</x:v>
      </x:c>
      <x:c r="B7" s="17" t="str">
        <x:v>Kampung Pasir</x:v>
      </x:c>
      <x:c r="C7" s="17" t="str">
        <x:v>COMMUNITY</x:v>
      </x:c>
      <x:c r="D7" s="17" t="str">
        <x:v>POINT_READY; POLYGON_OPEN</x:v>
      </x:c>
      <x:c r="E7" s="17" t="str">
        <x:v>Existing fixed reference point reused; no exact community flood polygon substituted.</x:v>
      </x:c>
      <x:c r="F7" s="17" t="str">
        <x:v>Continue exact community-boundary search.</x:v>
      </x:c>
      <x:c r="G7" s="17" t="str">
        <x:v>OPEN - retain evidence; do not fabricate geometry</x:v>
      </x:c>
    </x:row>
    <x:row r="8">
      <x:c r="A8" s="17" t="str">
        <x:v>S2021-007</x:v>
      </x:c>
      <x:c r="B8" s="17" t="str">
        <x:v>Kampung Teluk Serdang Baru</x:v>
      </x:c>
      <x:c r="C8" s="17" t="str">
        <x:v>COMMUNITY</x:v>
      </x:c>
      <x:c r="D8" s="17" t="str">
        <x:v>IDENTITY_REVIEW; POINT_OPEN</x:v>
      </x:c>
      <x:c r="E8" s="17" t="str">
        <x:v>Teluk/Telok Serdang naming and locality linkage need confirmation.</x:v>
      </x:c>
      <x:c r="F8" s="17" t="str">
        <x:v>Resolve official locality identity before geocoding.</x:v>
      </x:c>
      <x:c r="G8" s="17" t="str">
        <x:v>OPEN - retain evidence; do not fabricate geometry</x:v>
      </x:c>
    </x:row>
    <x:row r="9">
      <x:c r="A9" s="17" t="str">
        <x:v>S2021-009</x:v>
      </x:c>
      <x:c r="B9" s="17" t="str">
        <x:v>Kampung Paya Kenangan</x:v>
      </x:c>
      <x:c r="C9" s="17" t="str">
        <x:v>COMMUNITY</x:v>
      </x:c>
      <x:c r="D9" s="17" t="str">
        <x:v>POINT_READY; POLYGON_OPEN</x:v>
      </x:c>
      <x:c r="E9" s="17" t="str">
        <x:v>Point is defensible; exact closed community boundary not frozen.</x:v>
      </x:c>
      <x:c r="F9" s="17" t="str">
        <x:v>Seek exact named boundary.</x:v>
      </x:c>
      <x:c r="G9" s="17" t="str">
        <x:v>OPEN - retain evidence; do not fabricate geometry</x:v>
      </x:c>
    </x:row>
    <x:row r="10">
      <x:c r="A10" s="17" t="str">
        <x:v>S2021-010</x:v>
      </x:c>
      <x:c r="B10" s="17" t="str">
        <x:v>Kampung Pasir Tebrau</x:v>
      </x:c>
      <x:c r="C10" s="17" t="str">
        <x:v>COMMUNITY</x:v>
      </x:c>
      <x:c r="D10" s="17" t="str">
        <x:v>POINT_READY; POLYGON_OPEN</x:v>
      </x:c>
      <x:c r="E10" s="17" t="str">
        <x:v>Point is defensible; exact closed community boundary not frozen.</x:v>
      </x:c>
      <x:c r="F10" s="17" t="str">
        <x:v>Seek exact named boundary.</x:v>
      </x:c>
      <x:c r="G10" s="17" t="str">
        <x:v>OPEN - retain evidence; do not fabricate geometry</x:v>
      </x:c>
    </x:row>
    <x:row r="11">
      <x:c r="A11" s="17" t="str">
        <x:v>S2021-012</x:v>
      </x:c>
      <x:c r="B11" s="17" t="str">
        <x:v>Simpang Mados</x:v>
      </x:c>
      <x:c r="C11" s="17" t="str">
        <x:v>LOCALITY</x:v>
      </x:c>
      <x:c r="D11" s="17" t="str">
        <x:v>POINT_OPEN</x:v>
      </x:c>
      <x:c r="E11" s="17" t="str">
        <x:v>Nearby Mados features do not uniquely define Simpang Mados.</x:v>
      </x:c>
      <x:c r="F11" s="17" t="str">
        <x:v>Do not force a school/estate coordinate; obtain official locality evidence.</x:v>
      </x:c>
      <x:c r="G11" s="17" t="str">
        <x:v>OPEN - retain evidence; do not fabricate geometry</x:v>
      </x:c>
    </x:row>
    <x:row r="12">
      <x:c r="A12" s="17" t="str">
        <x:v>S2021-013</x:v>
      </x:c>
      <x:c r="B12" s="17" t="str">
        <x:v>Batu 20 Sungai Tiram</x:v>
      </x:c>
      <x:c r="C12" s="17" t="str">
        <x:v>ROAD/LOCALITY</x:v>
      </x:c>
      <x:c r="D12" s="17" t="str">
        <x:v>ROAD_SEGMENT_OPEN</x:v>
      </x:c>
      <x:c r="E12" s="17" t="str">
        <x:v>Linear/road-chainage object; exact affected segment unresolved.</x:v>
      </x:c>
      <x:c r="F12" s="17" t="str">
        <x:v>Resolve road chainage or event-specific segment.</x:v>
      </x:c>
      <x:c r="G12" s="17" t="str">
        <x:v>OPEN - retain evidence; do not fabricate geometry</x:v>
      </x:c>
    </x:row>
    <x:row r="13">
      <x:c r="A13" s="17" t="str">
        <x:v>S2021-014</x:v>
      </x:c>
      <x:c r="B13" s="17" t="str">
        <x:v>Kampung Paya, Bukit Mutiara</x:v>
      </x:c>
      <x:c r="C13" s="17" t="str">
        <x:v>COMMUNITY</x:v>
      </x:c>
      <x:c r="D13" s="17" t="str">
        <x:v>POINT_OPEN</x:v>
      </x:c>
      <x:c r="E13" s="17" t="str">
        <x:v>Identity is event-valid but strict centroid/boundary not frozen.</x:v>
      </x:c>
      <x:c r="F13" s="17" t="str">
        <x:v>Seek official gazetteer/planning source.</x:v>
      </x:c>
      <x:c r="G13" s="17" t="str">
        <x:v>OPEN - retain evidence; do not fabricate geometry</x:v>
      </x:c>
    </x:row>
    <x:row r="14">
      <x:c r="A14" s="17" t="str">
        <x:v>S2021-015</x:v>
      </x:c>
      <x:c r="B14" s="17" t="str">
        <x:v>Kampung Sungai Rinting</x:v>
      </x:c>
      <x:c r="C14" s="17" t="str">
        <x:v>COMMUNITY</x:v>
      </x:c>
      <x:c r="D14" s="17" t="str">
        <x:v>POINT_READY; POLYGON_OPEN</x:v>
      </x:c>
      <x:c r="E14" s="17" t="str">
        <x:v>Exact community polygon not frozen.</x:v>
      </x:c>
      <x:c r="F14" s="17" t="str">
        <x:v>Seek named closed boundary.</x:v>
      </x:c>
      <x:c r="G14" s="17" t="str">
        <x:v>OPEN - retain evidence; do not fabricate geometry</x:v>
      </x:c>
    </x:row>
    <x:row r="15">
      <x:c r="A15" s="17" t="str">
        <x:v>S2021-017</x:v>
      </x:c>
      <x:c r="B15" s="17" t="str">
        <x:v>Taman Rinting</x:v>
      </x:c>
      <x:c r="C15" s="17" t="str">
        <x:v>RESIDENTIAL</x:v>
      </x:c>
      <x:c r="D15" s="17" t="str">
        <x:v>POINT_READY; POLYGON_OPEN</x:v>
      </x:c>
      <x:c r="E15" s="17" t="str">
        <x:v>Point is defensible; no exact closed event-area geometry frozen.</x:v>
      </x:c>
      <x:c r="F15" s="17" t="str">
        <x:v>Seek exact named boundary.</x:v>
      </x:c>
      <x:c r="G15" s="17" t="str">
        <x:v>OPEN - retain evidence; do not fabricate geometry</x:v>
      </x:c>
    </x:row>
    <x:row r="16">
      <x:c r="A16" s="17" t="str">
        <x:v>S2021-018</x:v>
      </x:c>
      <x:c r="B16" s="17" t="str">
        <x:v>Lebuhraya Pasir Gudang</x:v>
      </x:c>
      <x:c r="C16" s="17" t="str">
        <x:v>ROAD</x:v>
      </x:c>
      <x:c r="D16" s="17" t="str">
        <x:v>ROAD_SEGMENT_OPEN</x:v>
      </x:c>
      <x:c r="E16" s="17" t="str">
        <x:v>Source names the highway but not flooded start/end chainage.</x:v>
      </x:c>
      <x:c r="F16" s="17" t="str">
        <x:v>Keep linear object open; no whole-highway buffer.</x:v>
      </x:c>
      <x:c r="G16" s="17" t="str">
        <x:v>OPEN - retain evidence; do not fabricate geometry</x:v>
      </x:c>
    </x:row>
    <x:row r="17">
      <x:c r="A17" s="17" t="str">
        <x:v>S2021-019</x:v>
      </x:c>
      <x:c r="B17" s="17" t="str">
        <x:v>Kampung Bukit Pulai</x:v>
      </x:c>
      <x:c r="C17" s="17" t="str">
        <x:v>COMMUNITY</x:v>
      </x:c>
      <x:c r="D17" s="17" t="str">
        <x:v>POINT_OPEN</x:v>
      </x:c>
      <x:c r="E17" s="17" t="str">
        <x:v>Exact locality coordinate/boundary not frozen.</x:v>
      </x:c>
      <x:c r="F17" s="17" t="str">
        <x:v>Resolve official locality.</x:v>
      </x:c>
      <x:c r="G17" s="17" t="str">
        <x:v>OPEN - retain evidence; do not fabricate geometry</x:v>
      </x:c>
    </x:row>
    <x:row r="18">
      <x:c r="A18" s="17" t="str">
        <x:v>S2021-020</x:v>
      </x:c>
      <x:c r="B18" s="17" t="str">
        <x:v>Taman Pasir Putih</x:v>
      </x:c>
      <x:c r="C18" s="17" t="str">
        <x:v>RESIDENTIAL</x:v>
      </x:c>
      <x:c r="D18" s="17" t="str">
        <x:v>POINT_READY; POLYGON_OPEN</x:v>
      </x:c>
      <x:c r="E18" s="17" t="str">
        <x:v>Point is defensible; exact event-area boundary not frozen.</x:v>
      </x:c>
      <x:c r="F18" s="17" t="str">
        <x:v>Seek named closed residential boundary.</x:v>
      </x:c>
      <x:c r="G18" s="17" t="str">
        <x:v>OPEN - retain evidence; do not fabricate geometry</x:v>
      </x:c>
    </x:row>
    <x:row r="19">
      <x:c r="A19" s="17" t="str">
        <x:v>S2021-021</x:v>
      </x:c>
      <x:c r="B19" s="17" t="str">
        <x:v>Jalan Kampung Masjid, Masai</x:v>
      </x:c>
      <x:c r="C19" s="17" t="str">
        <x:v>ROAD</x:v>
      </x:c>
      <x:c r="D19" s="17" t="str">
        <x:v>ROAD_SEGMENT_OPEN</x:v>
      </x:c>
      <x:c r="E19" s="17" t="str">
        <x:v>Named road affected; start/end flooded segment absent.</x:v>
      </x:c>
      <x:c r="F19" s="17" t="str">
        <x:v>Keep exact road segment open.</x:v>
      </x:c>
      <x:c r="G19" s="17" t="str">
        <x:v>OPEN - retain evidence; do not fabricate geometry</x:v>
      </x:c>
    </x:row>
    <x:row r="20">
      <x:c r="A20" s="17" t="str">
        <x:v>S2021-022</x:v>
      </x:c>
      <x:c r="B20" s="17" t="str">
        <x:v>Kampung Melayu Majidee</x:v>
      </x:c>
      <x:c r="C20" s="17" t="str">
        <x:v>COMMUNITY</x:v>
      </x:c>
      <x:c r="D20" s="17" t="str">
        <x:v>POINT_READY; POLYGON_CANDIDATE_OPEN</x:v>
      </x:c>
      <x:c r="E20" s="17" t="str">
        <x:v>OSM relation candidate exists but full multipolygon not reconstructed here.</x:v>
      </x:c>
      <x:c r="F20" s="17" t="str">
        <x:v>Extract/validate full relation before closure.</x:v>
      </x:c>
      <x:c r="G20" s="17" t="str">
        <x:v>OPEN - retain evidence; do not fabricate geometry</x:v>
      </x:c>
    </x:row>
    <x:row r="21">
      <x:c r="A21" s="17" t="str">
        <x:v>S2021-024</x:v>
      </x:c>
      <x:c r="B21" s="17" t="str">
        <x:v>Taman Skudai Baru</x:v>
      </x:c>
      <x:c r="C21" s="17" t="str">
        <x:v>RESIDENTIAL</x:v>
      </x:c>
      <x:c r="D21" s="17" t="str">
        <x:v>IDENTITY_CONFLICT; POLYGON_OPEN</x:v>
      </x:c>
      <x:c r="E21" s="17" t="str">
        <x:v>Two same-name public map objects create identity ambiguity.</x:v>
      </x:c>
      <x:c r="F21" s="17" t="str">
        <x:v>Resolve against event/JBPM administrative context before selecting geometry.</x:v>
      </x:c>
      <x:c r="G21" s="17" t="str">
        <x:v>OPEN - retain evidence; do not fabricate geometry</x:v>
      </x:c>
    </x:row>
    <x:row r="22">
      <x:c r="A22" s="17" t="str">
        <x:v>S2021-025</x:v>
      </x:c>
      <x:c r="B22" s="17" t="str">
        <x:v>Taman Johor Jaya</x:v>
      </x:c>
      <x:c r="C22" s="17" t="str">
        <x:v>RESIDENTIAL</x:v>
      </x:c>
      <x:c r="D22" s="17" t="str">
        <x:v>POINT_READY; POLYGON_OPEN</x:v>
      </x:c>
      <x:c r="E22" s="17" t="str">
        <x:v>Sinar lists Taman Johor Jaya; separate source mentions Jalan Belumut/Taman Johor.</x:v>
      </x:c>
      <x:c r="F22" s="17" t="str">
        <x:v>Retain source conflict; do not auto-merge labels.</x:v>
      </x:c>
      <x:c r="G22" s="17" t="str">
        <x:v>OPEN - retain evidence; do not fabricate geometry</x:v>
      </x:c>
    </x:row>
    <x:row r="23">
      <x:c r="A23" s="17" t="str">
        <x:v>S2021-026</x:v>
      </x:c>
      <x:c r="B23" s="17" t="str">
        <x:v>Kampung Ibu</x:v>
      </x:c>
      <x:c r="C23" s="17" t="str">
        <x:v>COMMUNITY</x:v>
      </x:c>
      <x:c r="D23" s="17" t="str">
        <x:v>POINT_OPEN</x:v>
      </x:c>
      <x:c r="E23" s="17" t="str">
        <x:v>No defensible strict point frozen.</x:v>
      </x:c>
      <x:c r="F23" s="17" t="str">
        <x:v>Seek official locality/gazetteer evidence.</x:v>
      </x:c>
      <x:c r="G23" s="17" t="str">
        <x:v>OPEN - retain evidence; do not fabricate geometry</x:v>
      </x:c>
    </x:row>
    <x:row r="24">
      <x:c r="A24" s="17" t="str">
        <x:v>S2021-027</x:v>
      </x:c>
      <x:c r="B24" s="17" t="str">
        <x:v>Kolam Air</x:v>
      </x:c>
      <x:c r="C24" s="17" t="str">
        <x:v>AREA</x:v>
      </x:c>
      <x:c r="D24" s="17" t="str">
        <x:v>IDENTITY_AMBIGUOUS; POINT_OPEN</x:v>
      </x:c>
      <x:c r="E24" s="17" t="str">
        <x:v>Generic name could be confused with unrelated Kolam Air features.</x:v>
      </x:c>
      <x:c r="F24" s="17" t="str">
        <x:v>Resolve precise Johor Bahru locality before geocoding.</x:v>
      </x:c>
      <x:c r="G24" s="17" t="str">
        <x:v>OPEN - retain evidence; do not fabricate geometry</x:v>
      </x:c>
    </x:row>
    <x:row r="25">
      <x:c r="A25" s="17" t="str">
        <x:v>S2021-028</x:v>
      </x:c>
      <x:c r="B25" s="17" t="str">
        <x:v>Kempas Denai</x:v>
      </x:c>
      <x:c r="C25" s="17" t="str">
        <x:v>ROAD/AREA</x:v>
      </x:c>
      <x:c r="D25" s="17" t="str">
        <x:v>SOURCE_LABEL_CONFLICT; ROAD_SEGMENT_OPEN</x:v>
      </x:c>
      <x:c r="E25" s="17" t="str">
        <x:v>Generic 'Kempas Denai' vs exact 'Jalan Denai Utama' wording.</x:v>
      </x:c>
      <x:c r="F25" s="17" t="str">
        <x:v>Preserve both source labels; resolve flooded road segment separately.</x:v>
      </x:c>
      <x:c r="G25" s="17" t="str">
        <x:v>OPEN - retain evidence; do not fabricate geometry</x:v>
      </x:c>
    </x:row>
    <x:row r="26">
      <x:c r="A26" s="17" t="str">
        <x:v>S2021-029</x:v>
      </x:c>
      <x:c r="B26" s="17" t="str">
        <x:v>Kempas Permatang</x:v>
      </x:c>
      <x:c r="C26" s="17" t="str">
        <x:v>ROAD/AREA</x:v>
      </x:c>
      <x:c r="D26" s="17" t="str">
        <x:v>POINT_READY; ROAD_SEGMENT_OPEN</x:v>
      </x:c>
      <x:c r="E26" s="17" t="str">
        <x:v>Area point is usable, but event reporting also gives road-specific Jalan Permatang.</x:v>
      </x:c>
      <x:c r="F26" s="17" t="str">
        <x:v>Do not treat point/community extent as flooded road segment.</x:v>
      </x:c>
      <x:c r="G26" s="17" t="str">
        <x:v>OPEN - retain evidence; do not fabricate geometry</x:v>
      </x:c>
    </x:row>
    <x:row r="27">
      <x:c r="A27" s="17" t="str">
        <x:v>S2021-030</x:v>
      </x:c>
      <x:c r="B27" s="17" t="str">
        <x:v>Kampung Seri Jaya Baru</x:v>
      </x:c>
      <x:c r="C27" s="17" t="str">
        <x:v>COMMUNITY</x:v>
      </x:c>
      <x:c r="D27" s="17" t="str">
        <x:v>POINT_OPEN</x:v>
      </x:c>
      <x:c r="E27" s="17" t="str">
        <x:v>Identity is strong; exact centroid/community boundary not frozen.</x:v>
      </x:c>
      <x:c r="F27" s="17" t="str">
        <x:v>Resolve official point/boundary.</x:v>
      </x:c>
      <x:c r="G27" s="17" t="str">
        <x:v>OPEN - retain evidence; do not fabricate geometry</x:v>
      </x:c>
    </x:row>
    <x:row r="28">
      <x:c r="A28" s="17" t="str">
        <x:v>S2021-031</x:v>
      </x:c>
      <x:c r="B28" s="17" t="str">
        <x:v>Kampung Mohd Amin, Kolam Air</x:v>
      </x:c>
      <x:c r="C28" s="17" t="str">
        <x:v>COMMUNITY</x:v>
      </x:c>
      <x:c r="D28" s="17" t="str">
        <x:v>POINT_READY; POLYGON_OPEN</x:v>
      </x:c>
      <x:c r="E28" s="17" t="str">
        <x:v>30 Sep field record is explicit; exact closed community boundary not frozen.</x:v>
      </x:c>
      <x:c r="F28" s="17" t="str">
        <x:v>Reuse canonical Kampung Mohd Amin identity; retain Kolam Air event context.</x:v>
      </x:c>
      <x:c r="G28" s="17" t="str">
        <x:v>OPEN - retain evidence; do not fabricate geometry</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36" hidden="0" customWidth="1"/>
    <x:col min="2" max="2" width="46" hidden="0" customWidth="1"/>
    <x:col min="3" max="3" width="62" hidden="0" customWidth="1"/>
  </x:cols>
  <x:sheetData>
    <x:row r="1">
      <x:c r="A1" s="8" t="str">
        <x:v>Metric</x:v>
      </x:c>
      <x:c r="B1" s="8" t="str">
        <x:v>R012 frozen value</x:v>
      </x:c>
      <x:c r="C1" s="8" t="str">
        <x:v>2021 handling</x:v>
      </x:c>
    </x:row>
    <x:row r="2">
      <x:c r="A2" s="9" t="str">
        <x:v>2016 Event rows</x:v>
      </x:c>
      <x:c r="B2" s="9" t="n">
        <x:v>3</x:v>
      </x:c>
      <x:c r="C2" s="9" t="str">
        <x:v>unchanged</x:v>
      </x:c>
    </x:row>
    <x:row r="3">
      <x:c r="A3" s="9" t="str">
        <x:v>2017 Event rows</x:v>
      </x:c>
      <x:c r="B3" s="9" t="n">
        <x:v>35</x:v>
      </x:c>
      <x:c r="C3" s="9" t="str">
        <x:v>unchanged</x:v>
      </x:c>
    </x:row>
    <x:row r="4">
      <x:c r="A4" s="9" t="str">
        <x:v>2018 Event rows</x:v>
      </x:c>
      <x:c r="B4" s="9" t="n">
        <x:v>21</x:v>
      </x:c>
      <x:c r="C4" s="9" t="str">
        <x:v>unchanged</x:v>
      </x:c>
    </x:row>
    <x:row r="5">
      <x:c r="A5" s="9" t="str">
        <x:v>2019 Event rows</x:v>
      </x:c>
      <x:c r="B5" s="9" t="n">
        <x:v>24</x:v>
      </x:c>
      <x:c r="C5" s="9" t="str">
        <x:v>unchanged</x:v>
      </x:c>
    </x:row>
    <x:row r="6">
      <x:c r="A6" s="9" t="str">
        <x:v>2020 Event rows</x:v>
      </x:c>
      <x:c r="B6" s="9" t="n">
        <x:v>28</x:v>
      </x:c>
      <x:c r="C6" s="9" t="str">
        <x:v>unchanged</x:v>
      </x:c>
    </x:row>
    <x:row r="7">
      <x:c r="A7" s="9" t="str">
        <x:v>Cumulative Event rows through 2020</x:v>
      </x:c>
      <x:c r="B7" s="9" t="n">
        <x:v>111</x:v>
      </x:c>
      <x:c r="C7" s="9" t="str">
        <x:v>parent baseline</x:v>
      </x:c>
    </x:row>
    <x:row r="8">
      <x:c r="A8" s="9" t="str">
        <x:v>R012 Location_ID count</x:v>
      </x:c>
      <x:c r="B8" s="9" t="n">
        <x:v>77</x:v>
      </x:c>
      <x:c r="C8" s="9" t="str">
        <x:v>not renumbered or overwritten in this incremental file</x:v>
      </x:c>
    </x:row>
    <x:row r="9">
      <x:c r="A9" s="9" t="str">
        <x:v>R012 Polygon_ID count</x:v>
      </x:c>
      <x:c r="B9" s="9" t="n">
        <x:v>12</x:v>
      </x:c>
      <x:c r="C9" s="9" t="str">
        <x:v>carry forward</x:v>
      </x:c>
    </x:row>
    <x:row r="10">
      <x:c r="A10" s="9" t="str">
        <x:v>R012 Closed Polygon WKT</x:v>
      </x:c>
      <x:c r="B10" s="9" t="str">
        <x:v>12/12</x:v>
      </x:c>
      <x:c r="C10" s="9" t="str">
        <x:v>carry forward</x:v>
      </x:c>
    </x:row>
    <x:row r="11">
      <x:c r="A11" s="9" t="str">
        <x:v>R012 Event→Location missing refs</x:v>
      </x:c>
      <x:c r="B11" s="9" t="n">
        <x:v>0</x:v>
      </x:c>
      <x:c r="C11" s="9" t="str">
        <x:v>parent baseline</x:v>
      </x:c>
    </x:row>
    <x:row r="12">
      <x:c r="A12" s="9" t="str">
        <x:v>R012 formula errors</x:v>
      </x:c>
      <x:c r="B12" s="9" t="n">
        <x:v>0</x:v>
      </x:c>
      <x:c r="C12" s="9" t="str">
        <x:v>parent baseline</x:v>
      </x:c>
    </x:row>
    <x:row r="13">
      <x:c r="A13" s="9" t="str">
        <x:v>Reused in 2021</x:v>
      </x:c>
      <x:c r="B13" s="9" t="str">
        <x:v>PG2019-KG-SEPAKAT-BARU; PG2017-KG-KANGKAR-TEBRAU</x:v>
      </x:c>
      <x:c r="C13" s="9" t="str">
        <x:v>geometry remains frozen in R012 lineage</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38" hidden="0" customWidth="1"/>
    <x:col min="2" max="2" width="25" hidden="0" customWidth="1"/>
    <x:col min="3" max="3" width="14" hidden="0" customWidth="1"/>
    <x:col min="4" max="4" width="14" hidden="0" customWidth="1"/>
  </x:cols>
  <x:sheetData>
    <x:row r="1">
      <x:c r="A1" s="8" t="str">
        <x:v>Metric</x:v>
      </x:c>
      <x:c r="B1" s="8" t="str">
        <x:v>Formula / Value</x:v>
      </x:c>
      <x:c r="C1" s="8" t="str">
        <x:v>Expected</x:v>
      </x:c>
      <x:c r="D1" s="8" t="str">
        <x:v>Status</x:v>
      </x:c>
    </x:row>
    <x:row r="2">
      <x:c r="A2" s="9" t="str">
        <x:v>2021 event-location rows</x:v>
      </x:c>
      <x:c r="B2" s="9" t="n">
        <x:f>COUNTA('01_2021_Event_Master'!A2:A47)</x:f>
        <x:v>46</x:v>
      </x:c>
      <x:c r="C2" s="9" t="n">
        <x:v>46</x:v>
      </x:c>
      <x:c r="D2" s="9" t="str">
        <x:f>IF(B2=C2,"PASS","CHECK")</x:f>
        <x:v>PASS</x:v>
      </x:c>
    </x:row>
    <x:row r="3">
      <x:c r="A3" s="9" t="str">
        <x:v>2021 unique spatial objects</x:v>
      </x:c>
      <x:c r="B3" s="9" t="n">
        <x:v>31</x:v>
      </x:c>
      <x:c r="C3" s="9" t="n">
        <x:v>31</x:v>
      </x:c>
      <x:c r="D3" s="9" t="str">
        <x:f>IF(B3=C3,"PASS","CHECK")</x:f>
        <x:v>PASS</x:v>
      </x:c>
    </x:row>
    <x:row r="4">
      <x:c r="A4" s="9" t="str">
        <x:v>2021 episode groups</x:v>
      </x:c>
      <x:c r="B4" s="9" t="n">
        <x:v>8</x:v>
      </x:c>
      <x:c r="C4" s="9" t="n">
        <x:v>8</x:v>
      </x:c>
      <x:c r="D4" s="9" t="str">
        <x:f>IF(B4=C4,"PASS","CHECK")</x:f>
        <x:v>PASS</x:v>
      </x:c>
    </x:row>
    <x:row r="5">
      <x:c r="A5" s="9" t="str">
        <x:v>Strict Point-GIS-ready objects</x:v>
      </x:c>
      <x:c r="B5" s="9" t="n">
        <x:v>15</x:v>
      </x:c>
      <x:c r="C5" s="9" t="n">
        <x:v>15</x:v>
      </x:c>
      <x:c r="D5" s="9" t="str">
        <x:f>IF(B5=C5,"PASS","CHECK")</x:f>
        <x:v>PASS</x:v>
      </x:c>
    </x:row>
    <x:row r="6">
      <x:c r="A6" s="9" t="str">
        <x:v>Open spatial objects</x:v>
      </x:c>
      <x:c r="B6" s="9" t="n">
        <x:v>27</x:v>
      </x:c>
      <x:c r="C6" s="9" t="n">
        <x:v>27</x:v>
      </x:c>
      <x:c r="D6" s="9" t="str">
        <x:f>IF(B6=C6,"PASS","CHECK")</x:f>
        <x:v>PASS</x:v>
      </x:c>
    </x:row>
    <x:row r="7">
      <x:c r="A7" s="9" t="str">
        <x:v>Missing Spatial_Object_Key refs</x:v>
      </x:c>
      <x:c r="B7" s="9" t="n">
        <x:v>0</x:v>
      </x:c>
      <x:c r="C7" s="9" t="n">
        <x:v>0</x:v>
      </x:c>
      <x:c r="D7" s="9" t="str">
        <x:f>IF(B7=C7,"PASS","CHECK")</x:f>
        <x:v>PASS</x:v>
      </x:c>
    </x:row>
    <x:row r="8">
      <x:c r="A8" s="9" t="str">
        <x:v>Cumulative event rows through 2021</x:v>
      </x:c>
      <x:c r="B8" s="9" t="n">
        <x:v>157</x:v>
      </x:c>
      <x:c r="C8" s="9" t="n">
        <x:v>157</x:v>
      </x:c>
      <x:c r="D8" s="9" t="str">
        <x:f>IF(B8=C8,"PASS","CHECK")</x:f>
        <x:v>PASS</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31" hidden="0" customWidth="1"/>
    <x:col min="2" max="2" width="28" hidden="0" customWidth="1"/>
    <x:col min="3" max="3" width="17" hidden="0" customWidth="1"/>
    <x:col min="4" max="4" width="14" hidden="0" customWidth="1"/>
    <x:col min="5" max="5" width="20" hidden="0" customWidth="1"/>
    <x:col min="6" max="6" width="28" hidden="0" customWidth="1"/>
    <x:col min="7" max="7" width="18" hidden="0" customWidth="1"/>
    <x:col min="8" max="8" width="11" hidden="0" customWidth="1"/>
    <x:col min="9" max="9" width="11" hidden="0" customWidth="1"/>
    <x:col min="10" max="10" width="14" hidden="0" customWidth="1"/>
    <x:col min="11" max="11" width="16" hidden="0" customWidth="1"/>
    <x:col min="12" max="12" width="16" hidden="0" customWidth="1"/>
    <x:col min="13" max="13" width="16" hidden="0" customWidth="1"/>
    <x:col min="14" max="14" width="64" hidden="0" customWidth="1"/>
    <x:col min="15" max="15" width="60" hidden="0" customWidth="1"/>
    <x:col min="16" max="16" width="28" hidden="0" customWidth="1"/>
    <x:col min="17" max="17" width="60" hidden="0" customWidth="1"/>
    <x:col min="18" max="18" width="44" hidden="0" customWidth="1"/>
  </x:cols>
  <x:sheetData>
    <x:row r="1">
      <x:c r="A1" s="16" t="str">
        <x:v>Polygon_ID</x:v>
      </x:c>
      <x:c r="B1" s="16" t="str">
        <x:v>Object_Name</x:v>
      </x:c>
      <x:c r="C1" s="16" t="str">
        <x:v>Closure_Status</x:v>
      </x:c>
      <x:c r="D1" s="16" t="str">
        <x:v>Geometry_Type</x:v>
      </x:c>
      <x:c r="E1" s="16" t="str">
        <x:v>CRS</x:v>
      </x:c>
      <x:c r="F1" s="16" t="str">
        <x:v>Source_Geometry</x:v>
      </x:c>
      <x:c r="G1" s="16" t="str">
        <x:v>Unique_Node_Count</x:v>
      </x:c>
      <x:c r="H1" s="16" t="str">
        <x:v>Closed</x:v>
      </x:c>
      <x:c r="I1" s="16" t="str">
        <x:v>Valid</x:v>
      </x:c>
      <x:c r="J1" s="16" t="str">
        <x:v>Area_km2</x:v>
      </x:c>
      <x:c r="K1" s="16" t="str">
        <x:v>Perimeter_km</x:v>
      </x:c>
      <x:c r="L1" s="16" t="str">
        <x:v>Centroid_Lat</x:v>
      </x:c>
      <x:c r="M1" s="16" t="str">
        <x:v>Centroid_Lon</x:v>
      </x:c>
      <x:c r="N1" s="16" t="str">
        <x:v>Geometry_WKT_or_CarryForward</x:v>
      </x:c>
      <x:c r="O1" s="16" t="str">
        <x:v>Interpretation</x:v>
      </x:c>
      <x:c r="P1" s="16" t="str">
        <x:v>Event_Use</x:v>
      </x:c>
      <x:c r="Q1" s="16" t="str">
        <x:v>Source_URL</x:v>
      </x:c>
      <x:c r="R1" s="16" t="str">
        <x:v>Notes</x:v>
      </x:c>
    </x:row>
    <x:row r="2">
      <x:c r="A2" s="17" t="str">
        <x:v>PG2021-KEMPAS-LURAH</x:v>
      </x:c>
      <x:c r="B2" s="17" t="str">
        <x:v>Kempas Lurah</x:v>
      </x:c>
      <x:c r="C2" s="17" t="str">
        <x:v>NEW_CLOSED</x:v>
      </x:c>
      <x:c r="D2" s="17" t="str">
        <x:v>POLYGON</x:v>
      </x:c>
      <x:c r="E2" s="17" t="str">
        <x:v>EPSG:4326 / WGS84</x:v>
      </x:c>
      <x:c r="F2" s="17" t="str">
        <x:v>OSM way 407852454</x:v>
      </x:c>
      <x:c r="G2" s="17" t="n">
        <x:v>12</x:v>
      </x:c>
      <x:c r="H2" s="24" t="b">
        <x:v>1</x:v>
      </x:c>
      <x:c r="I2" s="24" t="b">
        <x:v>1</x:v>
      </x:c>
      <x:c r="J2" s="17" t="n">
        <x:v>0.619978</x:v>
      </x:c>
      <x:c r="K2" s="17" t="n">
        <x:v>3.542863</x:v>
      </x:c>
      <x:c r="L2" s="17" t="n">
        <x:v>1.529113762957729</x:v>
      </x:c>
      <x:c r="M2" s="17" t="n">
        <x:v>103.71579344254057</x:v>
      </x:c>
      <x:c r="N2" s="17" t="str">
        <x:v>POLYGON ((103.716333 1.5343375, 103.7203241 1.5293396, 103.71938 1.5282671, 103.7202893 1.5269702, 103.715284 1.5254401, 103.7151137 1.5255063, 103.7118719 1.5245453, 103.7115345 1.5249308, 103.7124738 1.5253081, 103.712706 1.5282342, 103.7116622 1.5289591, 103.7110511 1.5293632, 103.716333 1.5343375))</x:v>
      </x:c>
      <x:c r="O2" s="17" t="str">
        <x:v>Community/residential analysis boundary; NOT an observed inundation footprint.</x:v>
      </x:c>
      <x:c r="P2" s="17" t="str">
        <x:v>2021-09-30</x:v>
      </x:c>
      <x:c r="Q2" s="17" t="str">
        <x:v>https://www.openstreetmap.org/way/407852454</x:v>
      </x:c>
      <x:c r="R2" s="17" t="str">
        <x:v>Exact named closed way.</x:v>
      </x:c>
    </x:row>
    <x:row r="3">
      <x:c r="A3" s="17" t="str">
        <x:v>PG2021-TAMAN-MAWAR</x:v>
      </x:c>
      <x:c r="B3" s="17" t="str">
        <x:v>Taman Mawar</x:v>
      </x:c>
      <x:c r="C3" s="17" t="str">
        <x:v>NEW_CLOSED</x:v>
      </x:c>
      <x:c r="D3" s="17" t="str">
        <x:v>POLYGON</x:v>
      </x:c>
      <x:c r="E3" s="17" t="str">
        <x:v>EPSG:4326 / WGS84</x:v>
      </x:c>
      <x:c r="F3" s="17" t="str">
        <x:v>OSM way 617816429</x:v>
      </x:c>
      <x:c r="G3" s="17" t="n">
        <x:v>21</x:v>
      </x:c>
      <x:c r="H3" s="24" t="b">
        <x:v>1</x:v>
      </x:c>
      <x:c r="I3" s="24" t="b">
        <x:v>1</x:v>
      </x:c>
      <x:c r="J3" s="17" t="n">
        <x:v>1.232917</x:v>
      </x:c>
      <x:c r="K3" s="17" t="n">
        <x:v>4.505178</x:v>
      </x:c>
      <x:c r="L3" s="17" t="n">
        <x:v>1.4696218674404422</x:v>
      </x:c>
      <x:c r="M3" s="17" t="n">
        <x:v>103.89480949131685</x:v>
      </x:c>
      <x:c r="N3" s="17" t="str">
        <x:v>POLYGON ((103.9009559 1.4736497, 103.8968816 1.4754756, 103.894642 1.4764114, 103.8925754 1.4763337, 103.8917787 1.4759636, 103.89154 1.4753081, 103.8915347 1.4749514, 103.89176 1.4742087, 103.8918284 1.473049, 103.8917693 1.4724431, 103.8915332 1.4710501, 103.8896917 1.4669938, 103.8896646 1.4665708, 103.8898363 1.4661203, 103.8909565 1.4639096, 103.8912891 1.4636843, 103.891804 1.4632017, 103.895171 1.4618683, 103.895407 1.4619219, 103.8968963 1.4649027, 103.8978577 1.4669742, 103.9009559 1.4736497))</x:v>
      </x:c>
      <x:c r="O3" s="17" t="str">
        <x:v>Residential/neighbourhood analysis boundary; NOT an observed inundation footprint.</x:v>
      </x:c>
      <x:c r="P3" s="17" t="str">
        <x:v>2021-07-12</x:v>
      </x:c>
      <x:c r="Q3" s="17" t="str">
        <x:v>https://www.openstreetmap.org/way/617816429</x:v>
      </x:c>
      <x:c r="R3" s="17" t="str">
        <x:v>Exact named closed way.</x:v>
      </x:c>
    </x:row>
    <x:row r="4">
      <x:c r="A4" s="17" t="str">
        <x:v>PG2019-KG-SEPAKAT-BARU</x:v>
      </x:c>
      <x:c r="B4" s="17" t="str">
        <x:v>Kampung Sepakat Baru</x:v>
      </x:c>
      <x:c r="C4" s="17" t="str">
        <x:v>REUSED_CLOSED</x:v>
      </x:c>
      <x:c r="D4" s="17" t="str">
        <x:v>POLYGON</x:v>
      </x:c>
      <x:c r="E4" s="17" t="str">
        <x:v>EPSG:4326 / WGS84</x:v>
      </x:c>
      <x:c r="F4" s="17" t="str">
        <x:v>R010 / OSM way 463347299</x:v>
      </x:c>
      <x:c r="G4" s="17" t="str"/>
      <x:c r="H4" s="17" t="str">
        <x:v>TRUE</x:v>
      </x:c>
      <x:c r="I4" s="17" t="str">
        <x:v>TRUE</x:v>
      </x:c>
      <x:c r="J4" s="17" t="str"/>
      <x:c r="K4" s="17" t="str"/>
      <x:c r="L4" s="17" t="str"/>
      <x:c r="M4" s="17" t="str">
        <x:v>CARRY_FORWARD_FROM_R012</x:v>
      </x:c>
      <x:c r="N4" s="17" t="str">
        <x:v>Previously frozen community analysis boundary; NOT an observed inundation footprint.</x:v>
      </x:c>
      <x:c r="O4" s="17" t="str">
        <x:v>2021-01-02; 2021-01-10</x:v>
      </x:c>
      <x:c r="P4" s="17" t="str">
        <x:v>https://www.openstreetmap.org/way/463347299</x:v>
      </x:c>
      <x:c r="Q4" s="17" t="str">
        <x:v>Geometry/WKT remains in prior cumulative baseline.</x:v>
      </x:c>
      <x:c r="R4" s="17"/>
    </x:row>
    <x:row r="5">
      <x:c r="A5" s="17" t="str">
        <x:v>PG2017-KG-KANGKAR-TEBRAU</x:v>
      </x:c>
      <x:c r="B5" s="17" t="str">
        <x:v>Kampung Kangkar Tebrau</x:v>
      </x:c>
      <x:c r="C5" s="17" t="str">
        <x:v>REUSED_CLOSED</x:v>
      </x:c>
      <x:c r="D5" s="17" t="str">
        <x:v>POLYGON</x:v>
      </x:c>
      <x:c r="E5" s="17" t="str">
        <x:v>EPSG:4326 / WGS84</x:v>
      </x:c>
      <x:c r="F5" s="17" t="str">
        <x:v>R005 / OSM way 657910839</x:v>
      </x:c>
      <x:c r="G5" s="17" t="str"/>
      <x:c r="H5" s="17" t="str">
        <x:v>TRUE</x:v>
      </x:c>
      <x:c r="I5" s="17" t="str">
        <x:v>TRUE</x:v>
      </x:c>
      <x:c r="J5" s="17" t="str"/>
      <x:c r="K5" s="17" t="str"/>
      <x:c r="L5" s="17" t="str"/>
      <x:c r="M5" s="17" t="str">
        <x:v>CARRY_FORWARD_FROM_R012</x:v>
      </x:c>
      <x:c r="N5" s="17" t="str">
        <x:v>Previously frozen community analysis boundary; NOT an observed inundation footprint.</x:v>
      </x:c>
      <x:c r="O5" s="17" t="str">
        <x:v>2021-01-02; 2021-01-10; 2021-09-30</x:v>
      </x:c>
      <x:c r="P5" s="17" t="str">
        <x:v>https://www.openstreetmap.org/way/657910839</x:v>
      </x:c>
      <x:c r="Q5" s="17" t="str">
        <x:v>Geometry/WKT remains in prior cumulative baseline.</x:v>
      </x:c>
      <x:c r="R5" s="17"/>
    </x:row>
  </x:sheetData>
  <x:pageMargins left="0.7" right="0.7" top="0.75" bottom="0.75" header="0.3" footer="0.3"/>
</x:worksheet>
</file>

<file path=xl/worksheets/sheet9.xml><?xml version="1.0" encoding="utf-8"?>
<x:worksheet xmlns:x="http://schemas.openxmlformats.org/spreadsheetml/2006/main">
  <x:sheetFormatPr defaultRowHeight="15"/>
  <x:cols>
    <x:col min="1" max="1" width="42" hidden="0" customWidth="1"/>
    <x:col min="2" max="2" width="25" hidden="0" customWidth="1"/>
    <x:col min="3" max="3" width="14" hidden="0" customWidth="1"/>
    <x:col min="4" max="4" width="14" hidden="0" customWidth="1"/>
    <x:col min="5" max="5" width="54" hidden="0" customWidth="1"/>
  </x:cols>
  <x:sheetData>
    <x:row r="1">
      <x:c r="A1" s="8" t="str">
        <x:v>Metric</x:v>
      </x:c>
      <x:c r="B1" s="8" t="str">
        <x:v>Formula / Value</x:v>
      </x:c>
      <x:c r="C1" s="8" t="str">
        <x:v>Expected</x:v>
      </x:c>
      <x:c r="D1" s="8" t="str">
        <x:v>Status</x:v>
      </x:c>
      <x:c r="E1" s="8" t="str">
        <x:v>Interpretation</x:v>
      </x:c>
    </x:row>
    <x:row r="2">
      <x:c r="A2" s="9" t="str">
        <x:v>2021 new closed polygons</x:v>
      </x:c>
      <x:c r="B2" s="9" t="n">
        <x:f>COUNTIF('07_2021_Polygon_Master'!C2:C5,"NEW_CLOSED")</x:f>
        <x:v>2</x:v>
      </x:c>
      <x:c r="C2" s="9" t="n">
        <x:v>2</x:v>
      </x:c>
      <x:c r="D2" s="9" t="str">
        <x:f>IF(B2=C2,"PASS","CHECK")</x:f>
        <x:v>PASS</x:v>
      </x:c>
      <x:c r="E2" s="9" t="str">
        <x:v>Kempas Lurah + Taman Mawar</x:v>
      </x:c>
    </x:row>
    <x:row r="3">
      <x:c r="A3" s="9" t="str">
        <x:v>2021 reused closed polygons</x:v>
      </x:c>
      <x:c r="B3" s="9" t="n">
        <x:f>COUNTIF('07_2021_Polygon_Master'!C2:C5,"REUSED_CLOSED")</x:f>
        <x:v>2</x:v>
      </x:c>
      <x:c r="C3" s="9" t="n">
        <x:v>2</x:v>
      </x:c>
      <x:c r="D3" s="9" t="str">
        <x:f>IF(B3=C3,"PASS","CHECK")</x:f>
        <x:v>PASS</x:v>
      </x:c>
      <x:c r="E3" s="9" t="str">
        <x:v>Sepakat Baru + Kangkar Tebrau</x:v>
      </x:c>
    </x:row>
    <x:row r="4">
      <x:c r="A4" s="9" t="str">
        <x:v>2021 directly usable closed analysis regions</x:v>
      </x:c>
      <x:c r="B4" s="9" t="n">
        <x:f>B2+B3</x:f>
        <x:v>4</x:v>
      </x:c>
      <x:c r="C4" s="9" t="n">
        <x:v>4</x:v>
      </x:c>
      <x:c r="D4" s="9" t="str">
        <x:f>IF(B4=C4,"PASS","CHECK")</x:f>
        <x:v>PASS</x:v>
      </x:c>
      <x:c r="E4" s="9" t="str">
        <x:v>New + reused</x:v>
      </x:c>
    </x:row>
    <x:row r="5">
      <x:c r="A5" s="9" t="str">
        <x:v>New polygon valid</x:v>
      </x:c>
      <x:c r="B5" s="9" t="n">
        <x:v>2</x:v>
      </x:c>
      <x:c r="C5" s="9" t="n">
        <x:v>2</x:v>
      </x:c>
      <x:c r="D5" s="9" t="str">
        <x:f>IF(B5=C5,"PASS","CHECK")</x:f>
        <x:v>PASS</x:v>
      </x:c>
      <x:c r="E5" s="9" t="str">
        <x:v>Both reconstructed WKT valid</x:v>
      </x:c>
    </x:row>
    <x:row r="6">
      <x:c r="A6" s="9" t="str">
        <x:v>New polygon closed</x:v>
      </x:c>
      <x:c r="B6" s="9" t="n">
        <x:v>2</x:v>
      </x:c>
      <x:c r="C6" s="9" t="n">
        <x:v>2</x:v>
      </x:c>
      <x:c r="D6" s="9" t="str">
        <x:f>IF(B6=C6,"PASS","CHECK")</x:f>
        <x:v>PASS</x:v>
      </x:c>
      <x:c r="E6" s="9" t="str">
        <x:v>First/last coordinate closes ring</x:v>
      </x:c>
    </x:row>
    <x:row r="7">
      <x:c r="A7" s="9" t="str">
        <x:v>Cumulative Polygon_ID through 2021</x:v>
      </x:c>
      <x:c r="B7" s="9" t="n">
        <x:v>14</x:v>
      </x:c>
      <x:c r="C7" s="9" t="n">
        <x:v>14</x:v>
      </x:c>
      <x:c r="D7" s="9" t="str">
        <x:f>IF(B7=C7,"PASS","CHECK")</x:f>
        <x:v>PASS</x:v>
      </x:c>
      <x:c r="E7" s="9" t="str">
        <x:v>R012 12 + 2 new</x:v>
      </x:c>
    </x:row>
    <x:row r="8">
      <x:c r="A8" s="9" t="str">
        <x:v>Cumulative Closed Polygon WKT through 2021</x:v>
      </x:c>
      <x:c r="B8" s="9" t="n">
        <x:v>14</x:v>
      </x:c>
      <x:c r="C8" s="9" t="n">
        <x:v>14</x:v>
      </x:c>
      <x:c r="D8" s="9" t="str">
        <x:f>IF(B8=C8,"PASS","CHECK")</x:f>
        <x:v>PASS</x:v>
      </x:c>
      <x:c r="E8" s="9" t="str">
        <x:v>14/14 in formal lineage</x:v>
      </x:c>
    </x:row>
    <x:row r="9">
      <x:c r="A9" s="9" t="str">
        <x:v>2021 event-location rows</x:v>
      </x:c>
      <x:c r="B9" s="9" t="n">
        <x:v>46</x:v>
      </x:c>
      <x:c r="C9" s="9" t="n">
        <x:v>46</x:v>
      </x:c>
      <x:c r="D9" s="9" t="str">
        <x:f>IF(B9=C9,"PASS","CHECK")</x:f>
        <x:v>PASS</x:v>
      </x:c>
      <x:c r="E9" s="9" t="str">
        <x:v>No 2022 rows</x:v>
      </x:c>
    </x:row>
    <x:row r="10">
      <x:c r="A10" s="9" t="str">
        <x:v>Cumulative event rows through 2021</x:v>
      </x:c>
      <x:c r="B10" s="9" t="n">
        <x:v>157</x:v>
      </x:c>
      <x:c r="C10" s="9" t="n">
        <x:v>157</x:v>
      </x:c>
      <x:c r="D10" s="9" t="str">
        <x:f>IF(B10=C10,"PASS","CHECK")</x:f>
        <x:v>PASS</x:v>
      </x:c>
      <x:c r="E10" s="9" t="str">
        <x:v>R012 111 + 2021 46</x:v>
      </x:c>
    </x:row>
    <x:row r="11">
      <x:c r="A11" s="9" t="str">
        <x:v>2022 records included</x:v>
      </x:c>
      <x:c r="B11" s="9" t="n">
        <x:v>0</x:v>
      </x:c>
      <x:c r="C11" s="9" t="n">
        <x:v>0</x:v>
      </x:c>
      <x:c r="D11" s="9" t="str">
        <x:f>IF(B11=C11,"PASS","CHECK")</x:f>
        <x:v>PASS</x:v>
      </x:c>
      <x:c r="E11" s="9" t="str">
        <x:v>Hard stop after 2021</x:v>
      </x:c>
    </x:row>
  </x:sheetData>
  <x:pageMargins left="0.7" right="0.7" top="0.75" bottom="0.75" header="0.3" footer="0.3"/>
</x:worksheet>
</file>

<file path=xl/worksheets/sheet10.xml><?xml version="1.0" encoding="utf-8"?>
<x:worksheet xmlns:x="http://schemas.openxmlformats.org/spreadsheetml/2006/main">
  <x:sheetFormatPr defaultRowHeight="15"/>
  <x:cols>
    <x:col min="1" max="1" width="20" hidden="0" customWidth="1"/>
    <x:col min="2" max="2" width="13" hidden="0" customWidth="1"/>
    <x:col min="3" max="3" width="25" hidden="0" customWidth="1"/>
    <x:col min="4" max="4" width="36" hidden="0" customWidth="1"/>
    <x:col min="5" max="5" width="16" hidden="0" customWidth="1"/>
    <x:col min="6" max="6" width="36" hidden="0" customWidth="1"/>
    <x:col min="7" max="7" width="19" hidden="0" customWidth="1"/>
    <x:col min="8" max="8" width="13" hidden="0" customWidth="1"/>
    <x:col min="9" max="9" width="29" hidden="0" customWidth="1"/>
    <x:col min="10" max="10" width="29" hidden="0" customWidth="1"/>
    <x:col min="11" max="11" width="32" hidden="0" customWidth="1"/>
    <x:col min="12" max="12" width="55" hidden="0" customWidth="1"/>
  </x:cols>
  <x:sheetData>
    <x:row r="1">
      <x:c r="A1" s="33" t="str">
        <x:v>Event_ID</x:v>
      </x:c>
      <x:c r="B1" s="33" t="str">
        <x:v>Event_Date</x:v>
      </x:c>
      <x:c r="C1" s="33" t="str">
        <x:v>Dedup_Group_ID</x:v>
      </x:c>
      <x:c r="D1" s="33" t="str">
        <x:v>Source_Location_Label</x:v>
      </x:c>
      <x:c r="E1" s="33" t="str">
        <x:v>Spatial_Object_Key</x:v>
      </x:c>
      <x:c r="F1" s="33" t="str">
        <x:v>Canonical_Spatial_Object</x:v>
      </x:c>
      <x:c r="G1" s="33" t="str">
        <x:v>Event_Type</x:v>
      </x:c>
      <x:c r="H1" s="33" t="str">
        <x:v>Evidence_Tier</x:v>
      </x:c>
      <x:c r="I1" s="33" t="str">
        <x:v>Primary_Source_ID</x:v>
      </x:c>
      <x:c r="J1" s="33" t="str">
        <x:v>Secondary_Source_ID</x:v>
      </x:c>
      <x:c r="K1" s="33" t="str">
        <x:v>Date_Precision</x:v>
      </x:c>
      <x:c r="L1" s="33" t="str">
        <x:v>Notes</x:v>
      </x:c>
    </x:row>
    <x:row r="2">
      <x:c r="A2" s="17" t="str">
        <x:v>EVT-JB-2022-001</x:v>
      </x:c>
      <x:c r="B2" s="17" t="str">
        <x:v>2022-01-03</x:v>
      </x:c>
      <x:c r="C2" s="17" t="str">
        <x:v>DG-JB-20220102-20220103</x:v>
      </x:c>
      <x:c r="D2" s="17" t="str">
        <x:v>Dewanraya Sungai Tiram / Sungai Tiram</x:v>
      </x:c>
      <x:c r="E2" s="17" t="str">
        <x:v>S2022-001</x:v>
      </x:c>
      <x:c r="F2" s="17" t="str">
        <x:v>Sungai Tiram PPS catchment</x:v>
      </x:c>
      <x:c r="G2" s="17" t="str">
        <x:v>Monsoon flood</x:v>
      </x:c>
      <x:c r="H2" s="17" t="str">
        <x:v>A/B</x:v>
      </x:c>
      <x:c r="I2" s="17" t="str">
        <x:v>SRC_R2022_RTM_20220103</x:v>
      </x:c>
      <x:c r="J2" s="17" t="str">
        <x:v>SRC_R2022_JPS_ANNUAL</x:v>
      </x:c>
      <x:c r="K2" s="17" t="str">
        <x:v>Episode spans early Jan; anchored to 3 Jan status report</x:v>
      </x:c>
      <x:c r="L2" s="17" t="str">
        <x:v>PPS confirms affected Sungai Tiram context; exact flooded subarea is not stated.</x:v>
      </x:c>
    </x:row>
    <x:row r="3">
      <x:c r="A3" s="17" t="str">
        <x:v>EVT-JB-2022-002</x:v>
      </x:c>
      <x:c r="B3" s="17" t="str">
        <x:v>2022-03-07</x:v>
      </x:c>
      <x:c r="C3" s="17" t="str">
        <x:v>DG-JB-20220307</x:v>
      </x:c>
      <x:c r="D3" s="17" t="str">
        <x:v>Kampung Baru Muafakat, Gelang Patah</x:v>
      </x:c>
      <x:c r="E3" s="17" t="str">
        <x:v>S2022-002</x:v>
      </x:c>
      <x:c r="F3" s="17" t="str">
        <x:v>Kampung Baru Muafakat</x:v>
      </x:c>
      <x:c r="G3" s="17" t="str">
        <x:v>Flash flood</x:v>
      </x:c>
      <x:c r="H3" s="17" t="str">
        <x:v>A/B</x:v>
      </x:c>
      <x:c r="I3" s="17" t="str">
        <x:v>SRC_R2022_RTM_20220307</x:v>
      </x:c>
      <x:c r="J3" s="17" t="str">
        <x:v>SRC_R2022_JPS_ANNUAL</x:v>
      </x:c>
      <x:c r="K3" s="17" t="str">
        <x:v>Exact day</x:v>
      </x:c>
      <x:c r="L3" s="17" t="str"/>
    </x:row>
    <x:row r="4">
      <x:c r="A4" s="17" t="str">
        <x:v>EVT-JB-2022-003</x:v>
      </x:c>
      <x:c r="B4" s="17" t="str">
        <x:v>2022-03-07</x:v>
      </x:c>
      <x:c r="C4" s="17" t="str">
        <x:v>DG-JB-20220307</x:v>
      </x:c>
      <x:c r="D4" s="17" t="str">
        <x:v>Kampung Pasir</x:v>
      </x:c>
      <x:c r="E4" s="17" t="str">
        <x:v>S2022-003</x:v>
      </x:c>
      <x:c r="F4" s="17" t="str">
        <x:v>Kampung Pasir</x:v>
      </x:c>
      <x:c r="G4" s="17" t="str">
        <x:v>Flash flood</x:v>
      </x:c>
      <x:c r="H4" s="17" t="str">
        <x:v>A</x:v>
      </x:c>
      <x:c r="I4" s="17" t="str">
        <x:v>SRC_R2022_JPS_ANNUAL</x:v>
      </x:c>
      <x:c r="J4" s="17" t="str"/>
      <x:c r="K4" s="17" t="str">
        <x:v>Exact day</x:v>
      </x:c>
      <x:c r="L4" s="17" t="str"/>
    </x:row>
    <x:row r="5">
      <x:c r="A5" s="17" t="str">
        <x:v>EVT-JB-2022-004</x:v>
      </x:c>
      <x:c r="B5" s="17" t="str">
        <x:v>2022-04-17</x:v>
      </x:c>
      <x:c r="C5" s="17" t="str">
        <x:v>DG-JB-20220417</x:v>
      </x:c>
      <x:c r="D5" s="17" t="str">
        <x:v>Jalan Kota Tinggi (FT003)</x:v>
      </x:c>
      <x:c r="E5" s="17" t="str">
        <x:v>S2022-004</x:v>
      </x:c>
      <x:c r="F5" s="17" t="str">
        <x:v>Jalan Kota Tinggi (FT003)</x:v>
      </x:c>
      <x:c r="G5" s="17" t="str">
        <x:v>Flash flood</x:v>
      </x:c>
      <x:c r="H5" s="17" t="str">
        <x:v>A</x:v>
      </x:c>
      <x:c r="I5" s="17" t="str">
        <x:v>SRC_R2022_JPS_ANNUAL</x:v>
      </x:c>
      <x:c r="J5" s="17" t="str"/>
      <x:c r="K5" s="17" t="str">
        <x:v>Exact day</x:v>
      </x:c>
      <x:c r="L5" s="17" t="str"/>
    </x:row>
    <x:row r="6">
      <x:c r="A6" s="17" t="str">
        <x:v>EVT-JB-2022-005</x:v>
      </x:c>
      <x:c r="B6" s="17" t="str">
        <x:v>2022-05-04</x:v>
      </x:c>
      <x:c r="C6" s="17" t="str">
        <x:v>DG-JB-20220504</x:v>
      </x:c>
      <x:c r="D6" s="17" t="str">
        <x:v>Kampung Paya Mengkuang, Tg Kupang, Gelang Patah</x:v>
      </x:c>
      <x:c r="E6" s="17" t="str">
        <x:v>S2022-005</x:v>
      </x:c>
      <x:c r="F6" s="17" t="str">
        <x:v>Kampung Paya Mengkuang</x:v>
      </x:c>
      <x:c r="G6" s="17" t="str">
        <x:v>Flash flood</x:v>
      </x:c>
      <x:c r="H6" s="17" t="str">
        <x:v>A</x:v>
      </x:c>
      <x:c r="I6" s="17" t="str">
        <x:v>SRC_R2022_JPS_ANNUAL</x:v>
      </x:c>
      <x:c r="J6" s="17" t="str"/>
      <x:c r="K6" s="17" t="str">
        <x:v>Exact day</x:v>
      </x:c>
      <x:c r="L6" s="17" t="str"/>
    </x:row>
    <x:row r="7">
      <x:c r="A7" s="17" t="str">
        <x:v>EVT-JB-2022-006</x:v>
      </x:c>
      <x:c r="B7" s="17" t="str">
        <x:v>2022-08-02</x:v>
      </x:c>
      <x:c r="C7" s="17" t="str">
        <x:v>DG-JB-20220802</x:v>
      </x:c>
      <x:c r="D7" s="17" t="str">
        <x:v>Jalan Ayer Molek</x:v>
      </x:c>
      <x:c r="E7" s="17" t="str">
        <x:v>S2022-006</x:v>
      </x:c>
      <x:c r="F7" s="17" t="str">
        <x:v>Jalan Ayer Molek</x:v>
      </x:c>
      <x:c r="G7" s="17" t="str">
        <x:v>Flash flood</x:v>
      </x:c>
      <x:c r="H7" s="17" t="str">
        <x:v>B</x:v>
      </x:c>
      <x:c r="I7" s="17" t="str">
        <x:v>SRC_R2022_BERNAMA_20220802</x:v>
      </x:c>
      <x:c r="J7" s="17" t="str">
        <x:v>SRC_R2022_MMAIL_20220802</x:v>
      </x:c>
      <x:c r="K7" s="17" t="str">
        <x:v>Exact day</x:v>
      </x:c>
      <x:c r="L7" s="17" t="str">
        <x:v>Heavy rain/high tide context; road segments remain conservative unless exact extents are known.</x:v>
      </x:c>
    </x:row>
    <x:row r="8">
      <x:c r="A8" s="17" t="str">
        <x:v>EVT-JB-2022-007</x:v>
      </x:c>
      <x:c r="B8" s="17" t="str">
        <x:v>2022-08-02</x:v>
      </x:c>
      <x:c r="C8" s="17" t="str">
        <x:v>DG-JB-20220802</x:v>
      </x:c>
      <x:c r="D8" s="17" t="str">
        <x:v>Jalan Wong Ah Fook</x:v>
      </x:c>
      <x:c r="E8" s="17" t="str">
        <x:v>S2022-007</x:v>
      </x:c>
      <x:c r="F8" s="17" t="str">
        <x:v>Jalan Wong Ah Fook / Sungai Segget corridor</x:v>
      </x:c>
      <x:c r="G8" s="17" t="str">
        <x:v>Flash flood</x:v>
      </x:c>
      <x:c r="H8" s="17" t="str">
        <x:v>B</x:v>
      </x:c>
      <x:c r="I8" s="17" t="str">
        <x:v>SRC_R2022_BERNAMA_20220802</x:v>
      </x:c>
      <x:c r="J8" s="17" t="str">
        <x:v>SRC_R2022_MMAIL_20220802</x:v>
      </x:c>
      <x:c r="K8" s="17" t="str">
        <x:v>Exact day</x:v>
      </x:c>
      <x:c r="L8" s="17" t="str">
        <x:v>Heavy rain/high tide context; road segments remain conservative unless exact extents are known.</x:v>
      </x:c>
    </x:row>
    <x:row r="9">
      <x:c r="A9" s="17" t="str">
        <x:v>EVT-JB-2022-008</x:v>
      </x:c>
      <x:c r="B9" s="17" t="str">
        <x:v>2022-08-02</x:v>
      </x:c>
      <x:c r="C9" s="17" t="str">
        <x:v>DG-JB-20220802</x:v>
      </x:c>
      <x:c r="D9" s="17" t="str">
        <x:v>Jalan Tun Abdul Razak</x:v>
      </x:c>
      <x:c r="E9" s="17" t="str">
        <x:v>S2022-008</x:v>
      </x:c>
      <x:c r="F9" s="17" t="str">
        <x:v>Jalan Tun Abdul Razak</x:v>
      </x:c>
      <x:c r="G9" s="17" t="str">
        <x:v>Flash flood</x:v>
      </x:c>
      <x:c r="H9" s="17" t="str">
        <x:v>B</x:v>
      </x:c>
      <x:c r="I9" s="17" t="str">
        <x:v>SRC_R2022_BERNAMA_20220802</x:v>
      </x:c>
      <x:c r="J9" s="17" t="str"/>
      <x:c r="K9" s="17" t="str">
        <x:v>Exact day</x:v>
      </x:c>
      <x:c r="L9" s="17" t="str">
        <x:v>Heavy rain/high tide context; road segments remain conservative unless exact extents are known.</x:v>
      </x:c>
    </x:row>
    <x:row r="10">
      <x:c r="A10" s="17" t="str">
        <x:v>EVT-JB-2022-009</x:v>
      </x:c>
      <x:c r="B10" s="17" t="str">
        <x:v>2022-08-02</x:v>
      </x:c>
      <x:c r="C10" s="17" t="str">
        <x:v>DG-JB-20220802</x:v>
      </x:c>
      <x:c r="D10" s="17" t="str">
        <x:v>Jalan Kolam Air</x:v>
      </x:c>
      <x:c r="E10" s="17" t="str">
        <x:v>S2022-009</x:v>
      </x:c>
      <x:c r="F10" s="17" t="str">
        <x:v>Jalan Kolam Ayer</x:v>
      </x:c>
      <x:c r="G10" s="17" t="str">
        <x:v>Flash flood</x:v>
      </x:c>
      <x:c r="H10" s="17" t="str">
        <x:v>B</x:v>
      </x:c>
      <x:c r="I10" s="17" t="str">
        <x:v>SRC_R2022_BERNAMA_20220802</x:v>
      </x:c>
      <x:c r="J10" s="17" t="str"/>
      <x:c r="K10" s="17" t="str">
        <x:v>Exact day</x:v>
      </x:c>
      <x:c r="L10" s="17" t="str">
        <x:v>Heavy rain/high tide context; road segments remain conservative unless exact extents are known.</x:v>
      </x:c>
    </x:row>
    <x:row r="11">
      <x:c r="A11" s="17" t="str">
        <x:v>EVT-JB-2022-010</x:v>
      </x:c>
      <x:c r="B11" s="17" t="str">
        <x:v>2022-08-02</x:v>
      </x:c>
      <x:c r="C11" s="17" t="str">
        <x:v>DG-JB-20220802</x:v>
      </x:c>
      <x:c r="D11" s="17" t="str">
        <x:v>Jalan Yahya Awal</x:v>
      </x:c>
      <x:c r="E11" s="17" t="str">
        <x:v>S2022-010</x:v>
      </x:c>
      <x:c r="F11" s="17" t="str">
        <x:v>Jalan Yahya Awal</x:v>
      </x:c>
      <x:c r="G11" s="17" t="str">
        <x:v>Flash flood</x:v>
      </x:c>
      <x:c r="H11" s="17" t="str">
        <x:v>B</x:v>
      </x:c>
      <x:c r="I11" s="17" t="str">
        <x:v>SRC_R2022_BERNAMA_20220802</x:v>
      </x:c>
      <x:c r="J11" s="17" t="str">
        <x:v>SRC_R2022_MMAIL_20220802</x:v>
      </x:c>
      <x:c r="K11" s="17" t="str">
        <x:v>Exact day</x:v>
      </x:c>
      <x:c r="L11" s="17" t="str">
        <x:v>Heavy rain/high tide context; road segments remain conservative unless exact extents are known.</x:v>
      </x:c>
    </x:row>
    <x:row r="12">
      <x:c r="A12" s="17" t="str">
        <x:v>EVT-JB-2022-011</x:v>
      </x:c>
      <x:c r="B12" s="17" t="str">
        <x:v>2022-08-02</x:v>
      </x:c>
      <x:c r="C12" s="17" t="str">
        <x:v>DG-JB-20220802</x:v>
      </x:c>
      <x:c r="D12" s="17" t="str">
        <x:v>Hospital Sultanah Aminah</x:v>
      </x:c>
      <x:c r="E12" s="17" t="str">
        <x:v>S2022-011</x:v>
      </x:c>
      <x:c r="F12" s="17" t="str">
        <x:v>Hospital Sultanah Aminah</x:v>
      </x:c>
      <x:c r="G12" s="17" t="str">
        <x:v>Flash flood</x:v>
      </x:c>
      <x:c r="H12" s="17" t="str">
        <x:v>B</x:v>
      </x:c>
      <x:c r="I12" s="17" t="str">
        <x:v>SRC_R2022_BERNAMA_20220802</x:v>
      </x:c>
      <x:c r="J12" s="17" t="str"/>
      <x:c r="K12" s="17" t="str">
        <x:v>Exact day</x:v>
      </x:c>
      <x:c r="L12" s="17" t="str">
        <x:v>Heavy rain/high tide context; road segments remain conservative unless exact extents are known.</x:v>
      </x:c>
    </x:row>
    <x:row r="13">
      <x:c r="A13" s="17" t="str">
        <x:v>EVT-JB-2022-012</x:v>
      </x:c>
      <x:c r="B13" s="17" t="str">
        <x:v>2022-08-02</x:v>
      </x:c>
      <x:c r="C13" s="17" t="str">
        <x:v>DG-JB-20220802</x:v>
      </x:c>
      <x:c r="D13" s="17" t="str">
        <x:v>Kampung Baru Mohd Amin</x:v>
      </x:c>
      <x:c r="E13" s="17" t="str">
        <x:v>S2022-012</x:v>
      </x:c>
      <x:c r="F13" s="17" t="str">
        <x:v>Kampung Mohd Amin</x:v>
      </x:c>
      <x:c r="G13" s="17" t="str">
        <x:v>Flash flood</x:v>
      </x:c>
      <x:c r="H13" s="17" t="str">
        <x:v>B</x:v>
      </x:c>
      <x:c r="I13" s="17" t="str">
        <x:v>SRC_R2022_BERNAMA_20220802</x:v>
      </x:c>
      <x:c r="J13" s="17" t="str"/>
      <x:c r="K13" s="17" t="str">
        <x:v>Exact day</x:v>
      </x:c>
      <x:c r="L13" s="17" t="str">
        <x:v>Heavy rain/high tide context; road segments remain conservative unless exact extents are known.</x:v>
      </x:c>
    </x:row>
    <x:row r="14">
      <x:c r="A14" s="17" t="str">
        <x:v>EVT-JB-2022-013</x:v>
      </x:c>
      <x:c r="B14" s="17" t="str">
        <x:v>2022-08-02</x:v>
      </x:c>
      <x:c r="C14" s="17" t="str">
        <x:v>DG-JB-20220802</x:v>
      </x:c>
      <x:c r="D14" s="17" t="str">
        <x:v>Persiaran Abu Bakar Sultan</x:v>
      </x:c>
      <x:c r="E14" s="17" t="str">
        <x:v>S2022-013</x:v>
      </x:c>
      <x:c r="F14" s="17" t="str">
        <x:v>Persiaran Abu Bakar Sultan</x:v>
      </x:c>
      <x:c r="G14" s="17" t="str">
        <x:v>Flash flood</x:v>
      </x:c>
      <x:c r="H14" s="17" t="str">
        <x:v>B</x:v>
      </x:c>
      <x:c r="I14" s="17" t="str">
        <x:v>SRC_R2022_MMAIL_20220802</x:v>
      </x:c>
      <x:c r="J14" s="17" t="str"/>
      <x:c r="K14" s="17" t="str">
        <x:v>Exact day</x:v>
      </x:c>
      <x:c r="L14" s="17" t="str">
        <x:v>Heavy rain/high tide context; road segments remain conservative unless exact extents are known.</x:v>
      </x:c>
    </x:row>
    <x:row r="15">
      <x:c r="A15" s="17" t="str">
        <x:v>EVT-JB-2022-014</x:v>
      </x:c>
      <x:c r="B15" s="17" t="str">
        <x:v>2022-08-02</x:v>
      </x:c>
      <x:c r="C15" s="17" t="str">
        <x:v>DG-JB-20220802</x:v>
      </x:c>
      <x:c r="D15" s="17" t="str">
        <x:v>Jalan Pantai Lido toward city centre</x:v>
      </x:c>
      <x:c r="E15" s="17" t="str">
        <x:v>S2022-014</x:v>
      </x:c>
      <x:c r="F15" s="17" t="str">
        <x:v>Jalan Pantai Lido</x:v>
      </x:c>
      <x:c r="G15" s="17" t="str">
        <x:v>Flash flood</x:v>
      </x:c>
      <x:c r="H15" s="17" t="str">
        <x:v>B</x:v>
      </x:c>
      <x:c r="I15" s="17" t="str">
        <x:v>SRC_R2022_MMAIL_20220802</x:v>
      </x:c>
      <x:c r="J15" s="17" t="str"/>
      <x:c r="K15" s="17" t="str">
        <x:v>Exact day</x:v>
      </x:c>
      <x:c r="L15" s="17" t="str">
        <x:v>Heavy rain/high tide context; road segments remain conservative unless exact extents are known.</x:v>
      </x:c>
    </x:row>
    <x:row r="16">
      <x:c r="A16" s="17" t="str">
        <x:v>EVT-JB-2022-015</x:v>
      </x:c>
      <x:c r="B16" s="17" t="str">
        <x:v>2022-08-02</x:v>
      </x:c>
      <x:c r="C16" s="17" t="str">
        <x:v>DG-JB-20220802</x:v>
      </x:c>
      <x:c r="D16" s="17" t="str">
        <x:v>Jalan Mahmodiah</x:v>
      </x:c>
      <x:c r="E16" s="17" t="str">
        <x:v>S2022-015</x:v>
      </x:c>
      <x:c r="F16" s="17" t="str">
        <x:v>Jalan Mahmoodiah</x:v>
      </x:c>
      <x:c r="G16" s="17" t="str">
        <x:v>Flash flood</x:v>
      </x:c>
      <x:c r="H16" s="17" t="str">
        <x:v>B</x:v>
      </x:c>
      <x:c r="I16" s="17" t="str">
        <x:v>SRC_R2022_MMAIL_20220802</x:v>
      </x:c>
      <x:c r="J16" s="17" t="str"/>
      <x:c r="K16" s="17" t="str">
        <x:v>Exact day</x:v>
      </x:c>
      <x:c r="L16" s="17" t="str">
        <x:v>Heavy rain/high tide context; road segments remain conservative unless exact extents are known.</x:v>
      </x:c>
    </x:row>
    <x:row r="17">
      <x:c r="A17" s="17" t="str">
        <x:v>EVT-JB-2022-016</x:v>
      </x:c>
      <x:c r="B17" s="17" t="str">
        <x:v>2022-08-02</x:v>
      </x:c>
      <x:c r="C17" s="17" t="str">
        <x:v>DG-JB-20220802</x:v>
      </x:c>
      <x:c r="D17" s="17" t="str">
        <x:v>Jalan Seri Pelangi toward Stulang Laut</x:v>
      </x:c>
      <x:c r="E17" s="17" t="str">
        <x:v>S2022-016</x:v>
      </x:c>
      <x:c r="F17" s="17" t="str">
        <x:v>Jalan Seri Pelangi–Stulang Laut approach</x:v>
      </x:c>
      <x:c r="G17" s="17" t="str">
        <x:v>Flash flood</x:v>
      </x:c>
      <x:c r="H17" s="17" t="str">
        <x:v>B</x:v>
      </x:c>
      <x:c r="I17" s="17" t="str">
        <x:v>SRC_R2022_MMAIL_20220802</x:v>
      </x:c>
      <x:c r="J17" s="17" t="str"/>
      <x:c r="K17" s="17" t="str">
        <x:v>Exact day</x:v>
      </x:c>
      <x:c r="L17" s="17" t="str">
        <x:v>Heavy rain/high tide context; road segments remain conservative unless exact extents are known.</x:v>
      </x:c>
    </x:row>
    <x:row r="18">
      <x:c r="A18" s="17" t="str">
        <x:v>EVT-JB-2022-017</x:v>
      </x:c>
      <x:c r="B18" s="17" t="str">
        <x:v>2022-08-20</x:v>
      </x:c>
      <x:c r="C18" s="17" t="str">
        <x:v>DG-JB-20220820</x:v>
      </x:c>
      <x:c r="D18" s="17" t="str">
        <x:v>Kampung Laut / Kampung Laut Batu 10, Skudai</x:v>
      </x:c>
      <x:c r="E18" s="17" t="str">
        <x:v>S2022-017</x:v>
      </x:c>
      <x:c r="F18" s="17" t="str">
        <x:v>Kampung Laut Batu 10, Skudai</x:v>
      </x:c>
      <x:c r="G18" s="17" t="str">
        <x:v>Flash flood</x:v>
      </x:c>
      <x:c r="H18" s="17" t="str">
        <x:v>A/B</x:v>
      </x:c>
      <x:c r="I18" s="17" t="str">
        <x:v>SRC_R2022_JPS_ANNUAL</x:v>
      </x:c>
      <x:c r="J18" s="17" t="str">
        <x:v>SRC_R2022_UTUSAN_20220820</x:v>
      </x:c>
      <x:c r="K18" s="17" t="str">
        <x:v>Exact day</x:v>
      </x:c>
      <x:c r="L18" s="17" t="str"/>
    </x:row>
    <x:row r="19">
      <x:c r="A19" s="17" t="str">
        <x:v>EVT-JB-2022-018</x:v>
      </x:c>
      <x:c r="B19" s="17" t="str">
        <x:v>2022-08-20</x:v>
      </x:c>
      <x:c r="C19" s="17" t="str">
        <x:v>DG-JB-20220820</x:v>
      </x:c>
      <x:c r="D19" s="17" t="str">
        <x:v>Kampung Maju Jaya</x:v>
      </x:c>
      <x:c r="E19" s="17" t="str">
        <x:v>S2022-018</x:v>
      </x:c>
      <x:c r="F19" s="17" t="str">
        <x:v>Kampung Maju Jaya</x:v>
      </x:c>
      <x:c r="G19" s="17" t="str">
        <x:v>Flash flood</x:v>
      </x:c>
      <x:c r="H19" s="17" t="str">
        <x:v>A/B</x:v>
      </x:c>
      <x:c r="I19" s="17" t="str">
        <x:v>SRC_R2022_JPS_ANNUAL</x:v>
      </x:c>
      <x:c r="J19" s="17" t="str">
        <x:v>SRC_R2022_KOSMO_20220820</x:v>
      </x:c>
      <x:c r="K19" s="17" t="str">
        <x:v>Exact day</x:v>
      </x:c>
      <x:c r="L19" s="17" t="str"/>
    </x:row>
    <x:row r="20">
      <x:c r="A20" s="17" t="str">
        <x:v>EVT-JB-2022-019</x:v>
      </x:c>
      <x:c r="B20" s="17" t="str">
        <x:v>2022-08-20</x:v>
      </x:c>
      <x:c r="C20" s="17" t="str">
        <x:v>DG-JB-20220820</x:v>
      </x:c>
      <x:c r="D20" s="17" t="str">
        <x:v>Jalan Seelong Jaya 2</x:v>
      </x:c>
      <x:c r="E20" s="17" t="str">
        <x:v>S2022-019</x:v>
      </x:c>
      <x:c r="F20" s="17" t="str">
        <x:v>Jalan Seelong Jaya 2</x:v>
      </x:c>
      <x:c r="G20" s="17" t="str">
        <x:v>Flash flood</x:v>
      </x:c>
      <x:c r="H20" s="17" t="str">
        <x:v>A/B</x:v>
      </x:c>
      <x:c r="I20" s="17" t="str">
        <x:v>SRC_R2022_JPS_ANNUAL</x:v>
      </x:c>
      <x:c r="J20" s="17" t="str"/>
      <x:c r="K20" s="17" t="str">
        <x:v>Exact day</x:v>
      </x:c>
      <x:c r="L20" s="17" t="str"/>
    </x:row>
    <x:row r="21">
      <x:c r="A21" s="17" t="str">
        <x:v>EVT-JB-2022-020</x:v>
      </x:c>
      <x:c r="B21" s="17" t="str">
        <x:v>2022-08-20</x:v>
      </x:c>
      <x:c r="C21" s="17" t="str">
        <x:v>DG-JB-20220820</x:v>
      </x:c>
      <x:c r="D21" s="17" t="str">
        <x:v>Kampung Tengah Tebrau</x:v>
      </x:c>
      <x:c r="E21" s="17" t="str">
        <x:v>S2022-020</x:v>
      </x:c>
      <x:c r="F21" s="17" t="str">
        <x:v>Kampung Tengah Tebrau</x:v>
      </x:c>
      <x:c r="G21" s="17" t="str">
        <x:v>Flash flood</x:v>
      </x:c>
      <x:c r="H21" s="17" t="str">
        <x:v>A/B</x:v>
      </x:c>
      <x:c r="I21" s="17" t="str">
        <x:v>SRC_R2022_JPS_ANNUAL</x:v>
      </x:c>
      <x:c r="J21" s="17" t="str"/>
      <x:c r="K21" s="17" t="str">
        <x:v>Exact day</x:v>
      </x:c>
      <x:c r="L21" s="17" t="str"/>
    </x:row>
    <x:row r="22">
      <x:c r="A22" s="17" t="str">
        <x:v>EVT-JB-2022-021</x:v>
      </x:c>
      <x:c r="B22" s="17" t="str">
        <x:v>2022-08-20</x:v>
      </x:c>
      <x:c r="C22" s="17" t="str">
        <x:v>DG-JB-20220820</x:v>
      </x:c>
      <x:c r="D22" s="17" t="str">
        <x:v>Kampung Pasir Tebrau</x:v>
      </x:c>
      <x:c r="E22" s="17" t="str">
        <x:v>S2022-021</x:v>
      </x:c>
      <x:c r="F22" s="17" t="str">
        <x:v>Kampung Pasir Tebrau</x:v>
      </x:c>
      <x:c r="G22" s="17" t="str">
        <x:v>Flash flood</x:v>
      </x:c>
      <x:c r="H22" s="17" t="str">
        <x:v>A/B</x:v>
      </x:c>
      <x:c r="I22" s="17" t="str">
        <x:v>SRC_R2022_JPS_ANNUAL</x:v>
      </x:c>
      <x:c r="J22" s="17" t="str"/>
      <x:c r="K22" s="17" t="str">
        <x:v>Exact day</x:v>
      </x:c>
      <x:c r="L22" s="17" t="str"/>
    </x:row>
    <x:row r="23">
      <x:c r="A23" s="17" t="str">
        <x:v>EVT-JB-2022-022</x:v>
      </x:c>
      <x:c r="B23" s="17" t="str">
        <x:v>2022-08-20</x:v>
      </x:c>
      <x:c r="C23" s="17" t="str">
        <x:v>DG-JB-20220820</x:v>
      </x:c>
      <x:c r="D23" s="17" t="str">
        <x:v>Kampung Paya Kenangan</x:v>
      </x:c>
      <x:c r="E23" s="17" t="str">
        <x:v>S2022-022</x:v>
      </x:c>
      <x:c r="F23" s="17" t="str">
        <x:v>Kampung Paya Kenangan</x:v>
      </x:c>
      <x:c r="G23" s="17" t="str">
        <x:v>Flash flood</x:v>
      </x:c>
      <x:c r="H23" s="17" t="str">
        <x:v>A/B</x:v>
      </x:c>
      <x:c r="I23" s="17" t="str">
        <x:v>SRC_R2022_JPS_ANNUAL</x:v>
      </x:c>
      <x:c r="J23" s="17" t="str"/>
      <x:c r="K23" s="17" t="str">
        <x:v>Exact day</x:v>
      </x:c>
      <x:c r="L23" s="17" t="str"/>
    </x:row>
    <x:row r="24">
      <x:c r="A24" s="17" t="str">
        <x:v>EVT-JB-2022-023</x:v>
      </x:c>
      <x:c r="B24" s="17" t="str">
        <x:v>2022-08-20</x:v>
      </x:c>
      <x:c r="C24" s="17" t="str">
        <x:v>DG-JB-20220820</x:v>
      </x:c>
      <x:c r="D24" s="17" t="str">
        <x:v>Kampung Bunga Ros</x:v>
      </x:c>
      <x:c r="E24" s="17" t="str">
        <x:v>S2022-023</x:v>
      </x:c>
      <x:c r="F24" s="17" t="str">
        <x:v>Kampung Bunga Ros</x:v>
      </x:c>
      <x:c r="G24" s="17" t="str">
        <x:v>Flash flood</x:v>
      </x:c>
      <x:c r="H24" s="17" t="str">
        <x:v>A/B</x:v>
      </x:c>
      <x:c r="I24" s="17" t="str">
        <x:v>SRC_R2022_JPS_ANNUAL</x:v>
      </x:c>
      <x:c r="J24" s="17" t="str"/>
      <x:c r="K24" s="17" t="str">
        <x:v>Exact day</x:v>
      </x:c>
      <x:c r="L24" s="17" t="str"/>
    </x:row>
    <x:row r="25">
      <x:c r="A25" s="17" t="str">
        <x:v>EVT-JB-2022-024</x:v>
      </x:c>
      <x:c r="B25" s="17" t="str">
        <x:v>2022-09-05</x:v>
      </x:c>
      <x:c r="C25" s="17" t="str">
        <x:v>DG-JB-20220905</x:v>
      </x:c>
      <x:c r="D25" s="17" t="str">
        <x:v>Puteri Harbour Iskandar Puteri</x:v>
      </x:c>
      <x:c r="E25" s="17" t="str">
        <x:v>S2022-024</x:v>
      </x:c>
      <x:c r="F25" s="17" t="str">
        <x:v>Puteri Harbour Iskandar Puteri</x:v>
      </x:c>
      <x:c r="G25" s="17" t="str">
        <x:v>Flash flood</x:v>
      </x:c>
      <x:c r="H25" s="17" t="str">
        <x:v>A</x:v>
      </x:c>
      <x:c r="I25" s="17" t="str">
        <x:v>SRC_R2022_JPS_ANNUAL</x:v>
      </x:c>
      <x:c r="J25" s="17" t="str"/>
      <x:c r="K25" s="17" t="str">
        <x:v>Exact day</x:v>
      </x:c>
      <x:c r="L25" s="17" t="str"/>
    </x:row>
    <x:row r="26">
      <x:c r="A26" s="17" t="str">
        <x:v>EVT-JB-2022-025</x:v>
      </x:c>
      <x:c r="B26" s="17" t="str">
        <x:v>2022-09-05</x:v>
      </x:c>
      <x:c r="C26" s="17" t="str">
        <x:v>DG-JB-20220905</x:v>
      </x:c>
      <x:c r="D26" s="17" t="str">
        <x:v>Kampung Sentosa Barat</x:v>
      </x:c>
      <x:c r="E26" s="17" t="str">
        <x:v>S2022-025</x:v>
      </x:c>
      <x:c r="F26" s="17" t="str">
        <x:v>Kampung Sentosa Barat</x:v>
      </x:c>
      <x:c r="G26" s="17" t="str">
        <x:v>Flash flood</x:v>
      </x:c>
      <x:c r="H26" s="17" t="str">
        <x:v>A</x:v>
      </x:c>
      <x:c r="I26" s="17" t="str">
        <x:v>SRC_R2022_JPS_ANNUAL</x:v>
      </x:c>
      <x:c r="J26" s="17" t="str"/>
      <x:c r="K26" s="17" t="str">
        <x:v>Exact day</x:v>
      </x:c>
      <x:c r="L26" s="17" t="str"/>
    </x:row>
    <x:row r="27">
      <x:c r="A27" s="17" t="str">
        <x:v>EVT-JB-2022-026</x:v>
      </x:c>
      <x:c r="B27" s="17" t="str">
        <x:v>2022-09-06</x:v>
      </x:c>
      <x:c r="C27" s="17" t="str">
        <x:v>DG-JB-20220906</x:v>
      </x:c>
      <x:c r="D27" s="17" t="str">
        <x:v>Kampung Plentong Baru</x:v>
      </x:c>
      <x:c r="E27" s="17" t="str">
        <x:v>S2022-026</x:v>
      </x:c>
      <x:c r="F27" s="17" t="str">
        <x:v>Kampung Plentong Baru</x:v>
      </x:c>
      <x:c r="G27" s="17" t="str">
        <x:v>Flash flood</x:v>
      </x:c>
      <x:c r="H27" s="17" t="str">
        <x:v>A</x:v>
      </x:c>
      <x:c r="I27" s="17" t="str">
        <x:v>SRC_R2022_JPS_ANNUAL</x:v>
      </x:c>
      <x:c r="J27" s="17" t="str"/>
      <x:c r="K27" s="17" t="str">
        <x:v>Exact day</x:v>
      </x:c>
      <x:c r="L27" s="17" t="str"/>
    </x:row>
    <x:row r="28">
      <x:c r="A28" s="17" t="str">
        <x:v>EVT-JB-2022-027</x:v>
      </x:c>
      <x:c r="B28" s="17" t="str">
        <x:v>2022-09-25</x:v>
      </x:c>
      <x:c r="C28" s="17" t="str">
        <x:v>DG-JB-20220925</x:v>
      </x:c>
      <x:c r="D28" s="17" t="str">
        <x:v>Batu 10, Skudai</x:v>
      </x:c>
      <x:c r="E28" s="17" t="str">
        <x:v>S2022-017</x:v>
      </x:c>
      <x:c r="F28" s="17" t="str">
        <x:v>Kampung Laut Batu 10, Skudai</x:v>
      </x:c>
      <x:c r="G28" s="17" t="str">
        <x:v>Flash flood</x:v>
      </x:c>
      <x:c r="H28" s="17" t="str">
        <x:v>B</x:v>
      </x:c>
      <x:c r="I28" s="17" t="str">
        <x:v>SRC_R2022_UTUSAN_20220925</x:v>
      </x:c>
      <x:c r="J28" s="17" t="str">
        <x:v>SRC_R2022_BH_20220925</x:v>
      </x:c>
      <x:c r="K28" s="17" t="str">
        <x:v>Exact day</x:v>
      </x:c>
      <x:c r="L28" s="17" t="str"/>
    </x:row>
    <x:row r="29">
      <x:c r="A29" s="17" t="str">
        <x:v>EVT-JB-2022-028</x:v>
      </x:c>
      <x:c r="B29" s="17" t="str">
        <x:v>2022-09-25</x:v>
      </x:c>
      <x:c r="C29" s="17" t="str">
        <x:v>DG-JB-20220925</x:v>
      </x:c>
      <x:c r="D29" s="17" t="str">
        <x:v>Kampung Dato' Sulaiman Menteri</x:v>
      </x:c>
      <x:c r="E29" s="17" t="str">
        <x:v>S2022-027</x:v>
      </x:c>
      <x:c r="F29" s="17" t="str">
        <x:v>Kampung Dato' Sulaiman Menteri</x:v>
      </x:c>
      <x:c r="G29" s="17" t="str">
        <x:v>Flash flood</x:v>
      </x:c>
      <x:c r="H29" s="17" t="str">
        <x:v>B</x:v>
      </x:c>
      <x:c r="I29" s="17" t="str">
        <x:v>SRC_R2022_UTUSAN_20220925</x:v>
      </x:c>
      <x:c r="J29" s="17" t="str">
        <x:v>SRC_R2022_BH_20220925</x:v>
      </x:c>
      <x:c r="K29" s="17" t="str">
        <x:v>Exact day</x:v>
      </x:c>
      <x:c r="L29" s="17" t="str"/>
    </x:row>
    <x:row r="30">
      <x:c r="A30" s="17" t="str">
        <x:v>EVT-JB-2022-029</x:v>
      </x:c>
      <x:c r="B30" s="17" t="str">
        <x:v>2022-09-25</x:v>
      </x:c>
      <x:c r="C30" s="17" t="str">
        <x:v>DG-JB-20220925</x:v>
      </x:c>
      <x:c r="D30" s="17" t="str">
        <x:v>Tabika Kemas, Skudai Kiri</x:v>
      </x:c>
      <x:c r="E30" s="17" t="str">
        <x:v>S2022-028</x:v>
      </x:c>
      <x:c r="F30" s="17" t="str">
        <x:v>Tabika Kemas, Skudai Kiri</x:v>
      </x:c>
      <x:c r="G30" s="17" t="str">
        <x:v>Flash flood</x:v>
      </x:c>
      <x:c r="H30" s="17" t="str">
        <x:v>B</x:v>
      </x:c>
      <x:c r="I30" s="17" t="str">
        <x:v>SRC_R2022_UTUSAN_20220925</x:v>
      </x:c>
      <x:c r="J30" s="17" t="str">
        <x:v>SRC_R2022_BH_20220925</x:v>
      </x:c>
      <x:c r="K30" s="17" t="str">
        <x:v>Exact day</x:v>
      </x:c>
      <x:c r="L30" s="17" t="str"/>
    </x:row>
    <x:row r="31">
      <x:c r="A31" s="17" t="str">
        <x:v>EVT-JB-2022-030</x:v>
      </x:c>
      <x:c r="B31" s="17" t="str">
        <x:v>2022-09-25</x:v>
      </x:c>
      <x:c r="C31" s="17" t="str">
        <x:v>DG-JB-20220925</x:v>
      </x:c>
      <x:c r="D31" s="17" t="str">
        <x:v>Kampung Mohd Amin</x:v>
      </x:c>
      <x:c r="E31" s="17" t="str">
        <x:v>S2022-012</x:v>
      </x:c>
      <x:c r="F31" s="17" t="str">
        <x:v>Kampung Mohd Amin</x:v>
      </x:c>
      <x:c r="G31" s="17" t="str">
        <x:v>Flash flood</x:v>
      </x:c>
      <x:c r="H31" s="17" t="str">
        <x:v>B</x:v>
      </x:c>
      <x:c r="I31" s="17" t="str">
        <x:v>SRC_R2022_UTUSAN_20220925</x:v>
      </x:c>
      <x:c r="J31" s="17" t="str">
        <x:v>SRC_R2022_BH_20220925</x:v>
      </x:c>
      <x:c r="K31" s="17" t="str">
        <x:v>Exact day</x:v>
      </x:c>
      <x:c r="L31" s="17" t="str"/>
    </x:row>
    <x:row r="32">
      <x:c r="A32" s="17" t="str">
        <x:v>EVT-JB-2022-031</x:v>
      </x:c>
      <x:c r="B32" s="17" t="str">
        <x:v>2022-09-25</x:v>
      </x:c>
      <x:c r="C32" s="17" t="str">
        <x:v>DG-JB-20220925</x:v>
      </x:c>
      <x:c r="D32" s="17" t="str">
        <x:v>Kampung Ubi</x:v>
      </x:c>
      <x:c r="E32" s="17" t="str">
        <x:v>S2022-029</x:v>
      </x:c>
      <x:c r="F32" s="17" t="str">
        <x:v>Kampung Ubi Baru</x:v>
      </x:c>
      <x:c r="G32" s="17" t="str">
        <x:v>Flash flood</x:v>
      </x:c>
      <x:c r="H32" s="17" t="str">
        <x:v>B</x:v>
      </x:c>
      <x:c r="I32" s="17" t="str">
        <x:v>SRC_R2022_UTUSAN_20220925</x:v>
      </x:c>
      <x:c r="J32" s="17" t="str">
        <x:v>SRC_R2022_BH_20220925</x:v>
      </x:c>
      <x:c r="K32" s="17" t="str">
        <x:v>Exact day</x:v>
      </x:c>
      <x:c r="L32" s="17" t="str"/>
    </x:row>
    <x:row r="33">
      <x:c r="A33" s="17" t="str">
        <x:v>EVT-JB-2022-032</x:v>
      </x:c>
      <x:c r="B33" s="17" t="str">
        <x:v>2022-09-25</x:v>
      </x:c>
      <x:c r="C33" s="17" t="str">
        <x:v>DG-JB-20220925</x:v>
      </x:c>
      <x:c r="D33" s="17" t="str">
        <x:v>Kampung Tiram Duku</x:v>
      </x:c>
      <x:c r="E33" s="17" t="str">
        <x:v>S2022-030</x:v>
      </x:c>
      <x:c r="F33" s="17" t="str">
        <x:v>Kampung Tiram Duku</x:v>
      </x:c>
      <x:c r="G33" s="17" t="str">
        <x:v>Flash flood</x:v>
      </x:c>
      <x:c r="H33" s="17" t="str">
        <x:v>B</x:v>
      </x:c>
      <x:c r="I33" s="17" t="str">
        <x:v>SRC_R2022_UTUSAN_20220925</x:v>
      </x:c>
      <x:c r="J33" s="17" t="str">
        <x:v>SRC_R2022_BH_20220925</x:v>
      </x:c>
      <x:c r="K33" s="17" t="str">
        <x:v>Exact day</x:v>
      </x:c>
      <x:c r="L33" s="17" t="str"/>
    </x:row>
    <x:row r="34">
      <x:c r="A34" s="17" t="str">
        <x:v>EVT-JB-2022-033</x:v>
      </x:c>
      <x:c r="B34" s="17" t="str">
        <x:v>2022-09-25</x:v>
      </x:c>
      <x:c r="C34" s="17" t="str">
        <x:v>DG-JB-20220925</x:v>
      </x:c>
      <x:c r="D34" s="17" t="str">
        <x:v>Kampung Peladang</x:v>
      </x:c>
      <x:c r="E34" s="17" t="str">
        <x:v>S2022-031</x:v>
      </x:c>
      <x:c r="F34" s="17" t="str">
        <x:v>Kampung Peladang</x:v>
      </x:c>
      <x:c r="G34" s="17" t="str">
        <x:v>Flash flood</x:v>
      </x:c>
      <x:c r="H34" s="17" t="str">
        <x:v>B</x:v>
      </x:c>
      <x:c r="I34" s="17" t="str">
        <x:v>SRC_R2022_UTUSAN_20220925</x:v>
      </x:c>
      <x:c r="J34" s="17" t="str">
        <x:v>SRC_R2022_BH_20220925</x:v>
      </x:c>
      <x:c r="K34" s="17" t="str">
        <x:v>Exact day</x:v>
      </x:c>
      <x:c r="L34" s="17" t="str"/>
    </x:row>
    <x:row r="35">
      <x:c r="A35" s="17" t="str">
        <x:v>EVT-JB-2022-034</x:v>
      </x:c>
      <x:c r="B35" s="17" t="str">
        <x:v>2022-09-25</x:v>
      </x:c>
      <x:c r="C35" s="17" t="str">
        <x:v>DG-JB-20220925</x:v>
      </x:c>
      <x:c r="D35" s="17" t="str">
        <x:v>Kampung Baru Muafakat</x:v>
      </x:c>
      <x:c r="E35" s="17" t="str">
        <x:v>S2022-002</x:v>
      </x:c>
      <x:c r="F35" s="17" t="str">
        <x:v>Kampung Baru Muafakat</x:v>
      </x:c>
      <x:c r="G35" s="17" t="str">
        <x:v>Flash flood</x:v>
      </x:c>
      <x:c r="H35" s="17" t="str">
        <x:v>B</x:v>
      </x:c>
      <x:c r="I35" s="17" t="str">
        <x:v>SRC_R2022_UTUSAN_20220925</x:v>
      </x:c>
      <x:c r="J35" s="17" t="str">
        <x:v>SRC_R2022_BH_20220925</x:v>
      </x:c>
      <x:c r="K35" s="17" t="str">
        <x:v>Exact day</x:v>
      </x:c>
      <x:c r="L35" s="17" t="str"/>
    </x:row>
    <x:row r="36">
      <x:c r="A36" s="17" t="str">
        <x:v>EVT-JB-2022-035</x:v>
      </x:c>
      <x:c r="B36" s="17" t="str">
        <x:v>2022-09-25</x:v>
      </x:c>
      <x:c r="C36" s="17" t="str">
        <x:v>DG-JB-20220925</x:v>
      </x:c>
      <x:c r="D36" s="17" t="str">
        <x:v>Kampung Pekajang</x:v>
      </x:c>
      <x:c r="E36" s="17" t="str">
        <x:v>S2022-032</x:v>
      </x:c>
      <x:c r="F36" s="17" t="str">
        <x:v>Kampung Pekajang</x:v>
      </x:c>
      <x:c r="G36" s="17" t="str">
        <x:v>Flash flood</x:v>
      </x:c>
      <x:c r="H36" s="17" t="str">
        <x:v>B</x:v>
      </x:c>
      <x:c r="I36" s="17" t="str">
        <x:v>SRC_R2022_UTUSAN_20220925</x:v>
      </x:c>
      <x:c r="J36" s="17" t="str">
        <x:v>SRC_R2022_BH_20220925</x:v>
      </x:c>
      <x:c r="K36" s="17" t="str">
        <x:v>Exact day</x:v>
      </x:c>
      <x:c r="L36" s="17" t="str"/>
    </x:row>
    <x:row r="37">
      <x:c r="A37" s="17" t="str">
        <x:v>EVT-JB-2022-036</x:v>
      </x:c>
      <x:c r="B37" s="17" t="str">
        <x:v>2022-09-25</x:v>
      </x:c>
      <x:c r="C37" s="17" t="str">
        <x:v>DG-JB-20220925</x:v>
      </x:c>
      <x:c r="D37" s="17" t="str">
        <x:v>Kampung Paya Mengkuang</x:v>
      </x:c>
      <x:c r="E37" s="17" t="str">
        <x:v>S2022-005</x:v>
      </x:c>
      <x:c r="F37" s="17" t="str">
        <x:v>Kampung Paya Mengkuang</x:v>
      </x:c>
      <x:c r="G37" s="17" t="str">
        <x:v>Flash flood</x:v>
      </x:c>
      <x:c r="H37" s="17" t="str">
        <x:v>B</x:v>
      </x:c>
      <x:c r="I37" s="17" t="str">
        <x:v>SRC_R2022_UTUSAN_20220925</x:v>
      </x:c>
      <x:c r="J37" s="17" t="str">
        <x:v>SRC_R2022_BH_20220925</x:v>
      </x:c>
      <x:c r="K37" s="17" t="str">
        <x:v>Exact day</x:v>
      </x:c>
      <x:c r="L37" s="17" t="str"/>
    </x:row>
    <x:row r="38">
      <x:c r="A38" s="17" t="str">
        <x:v>EVT-JB-2022-037</x:v>
      </x:c>
      <x:c r="B38" s="17" t="str">
        <x:v>2022-11-07</x:v>
      </x:c>
      <x:c r="C38" s="17" t="str">
        <x:v>DG-JB-20221107</x:v>
      </x:c>
      <x:c r="D38" s="17" t="str">
        <x:v>Sanctuary Garden, Tebrau</x:v>
      </x:c>
      <x:c r="E38" s="17" t="str">
        <x:v>S2022-033</x:v>
      </x:c>
      <x:c r="F38" s="17" t="str">
        <x:v>Sanctuary Garden, Tebrau</x:v>
      </x:c>
      <x:c r="G38" s="17" t="str">
        <x:v>Flash flood</x:v>
      </x:c>
      <x:c r="H38" s="17" t="str">
        <x:v>B</x:v>
      </x:c>
      <x:c r="I38" s="17" t="str">
        <x:v>SRC_R2022_AWANI_20221107_A</x:v>
      </x:c>
      <x:c r="J38" s="17" t="str"/>
      <x:c r="K38" s="17" t="str">
        <x:v>Exact day</x:v>
      </x:c>
      <x:c r="L38" s="17" t="str"/>
    </x:row>
    <x:row r="39">
      <x:c r="A39" s="17" t="str">
        <x:v>EVT-JB-2022-038</x:v>
      </x:c>
      <x:c r="B39" s="17" t="str">
        <x:v>2022-11-07</x:v>
      </x:c>
      <x:c r="C39" s="17" t="str">
        <x:v>DG-JB-20221107</x:v>
      </x:c>
      <x:c r="D39" s="17" t="str">
        <x:v>Kampung Melayu Majidee</x:v>
      </x:c>
      <x:c r="E39" s="17" t="str">
        <x:v>S2022-034</x:v>
      </x:c>
      <x:c r="F39" s="17" t="str">
        <x:v>Kampung Melayu Majidee</x:v>
      </x:c>
      <x:c r="G39" s="17" t="str">
        <x:v>Flash flood</x:v>
      </x:c>
      <x:c r="H39" s="17" t="str">
        <x:v>B</x:v>
      </x:c>
      <x:c r="I39" s="17" t="str">
        <x:v>SRC_R2022_AWANI_20221107_A</x:v>
      </x:c>
      <x:c r="J39" s="17" t="str"/>
      <x:c r="K39" s="17" t="str">
        <x:v>Exact day</x:v>
      </x:c>
      <x:c r="L39" s="17" t="str"/>
    </x:row>
    <x:row r="40">
      <x:c r="A40" s="17" t="str">
        <x:v>EVT-JB-2022-039</x:v>
      </x:c>
      <x:c r="B40" s="17" t="str">
        <x:v>2022-11-07</x:v>
      </x:c>
      <x:c r="C40" s="17" t="str">
        <x:v>DG-JB-20221107</x:v>
      </x:c>
      <x:c r="D40" s="17" t="str">
        <x:v>Jalan Keris Dua, Taman Sri Tebrau</x:v>
      </x:c>
      <x:c r="E40" s="17" t="str">
        <x:v>S2022-035</x:v>
      </x:c>
      <x:c r="F40" s="17" t="str">
        <x:v>Jalan Keris Dua, Taman Sri Tebrau</x:v>
      </x:c>
      <x:c r="G40" s="17" t="str">
        <x:v>Flash flood</x:v>
      </x:c>
      <x:c r="H40" s="17" t="str">
        <x:v>B</x:v>
      </x:c>
      <x:c r="I40" s="17" t="str">
        <x:v>SRC_R2022_AWANI_20221107_B</x:v>
      </x:c>
      <x:c r="J40" s="17" t="str"/>
      <x:c r="K40" s="17" t="str">
        <x:v>Exact day</x:v>
      </x:c>
      <x:c r="L40" s="17" t="str"/>
    </x:row>
    <x:row r="41">
      <x:c r="A41" s="17" t="str">
        <x:v>EVT-JB-2022-040</x:v>
      </x:c>
      <x:c r="B41" s="17" t="str">
        <x:v>2022-11-07</x:v>
      </x:c>
      <x:c r="C41" s="17" t="str">
        <x:v>DG-JB-20221107</x:v>
      </x:c>
      <x:c r="D41" s="17" t="str">
        <x:v>Kampung Kurnia, Larkin</x:v>
      </x:c>
      <x:c r="E41" s="17" t="str">
        <x:v>S2022-036</x:v>
      </x:c>
      <x:c r="F41" s="17" t="str">
        <x:v>Kampung Kurnia, Larkin</x:v>
      </x:c>
      <x:c r="G41" s="17" t="str">
        <x:v>Flash flood</x:v>
      </x:c>
      <x:c r="H41" s="17" t="str">
        <x:v>B</x:v>
      </x:c>
      <x:c r="I41" s="17" t="str">
        <x:v>SRC_R2022_AWANI_20221107_B</x:v>
      </x:c>
      <x:c r="J41" s="17" t="str"/>
      <x:c r="K41" s="17" t="str">
        <x:v>Exact day</x:v>
      </x:c>
      <x:c r="L41" s="17" t="str"/>
    </x:row>
    <x:row r="42">
      <x:c r="A42" s="17" t="str">
        <x:v>EVT-JB-2022-041</x:v>
      </x:c>
      <x:c r="B42" s="17" t="str">
        <x:v>2022-11-07</x:v>
      </x:c>
      <x:c r="C42" s="17" t="str">
        <x:v>DG-JB-20221107</x:v>
      </x:c>
      <x:c r="D42" s="17" t="str">
        <x:v>Taman Melodies</x:v>
      </x:c>
      <x:c r="E42" s="17" t="str">
        <x:v>S2022-037</x:v>
      </x:c>
      <x:c r="F42" s="17" t="str">
        <x:v>Taman Melodies</x:v>
      </x:c>
      <x:c r="G42" s="17" t="str">
        <x:v>Flash flood</x:v>
      </x:c>
      <x:c r="H42" s="17" t="str">
        <x:v>B</x:v>
      </x:c>
      <x:c r="I42" s="17" t="str">
        <x:v>SRC_R2022_MDJ_20221108</x:v>
      </x:c>
      <x:c r="J42" s="17" t="str"/>
      <x:c r="K42" s="17" t="str">
        <x:v>Exact day</x:v>
      </x:c>
      <x:c r="L42" s="17" t="str"/>
    </x:row>
  </x:sheetData>
  <x:pageMargins left="0.7" right="0.7" top="0.75" bottom="0.75" header="0.3" footer="0.3"/>
</x:worksheet>
</file>

<file path=xl/worksheets/sheet11.xml><?xml version="1.0" encoding="utf-8"?>
<x:worksheet xmlns:x="http://schemas.openxmlformats.org/spreadsheetml/2006/main">
  <x:sheetFormatPr defaultRowHeight="15"/>
  <x:cols>
    <x:col min="1" max="1" width="25" hidden="0" customWidth="1"/>
    <x:col min="2" max="2" width="13" hidden="0" customWidth="1"/>
    <x:col min="3" max="3" width="18" hidden="0" customWidth="1"/>
    <x:col min="4" max="4" width="20" hidden="0" customWidth="1"/>
    <x:col min="5" max="5" width="42" hidden="0" customWidth="1"/>
    <x:col min="6" max="6" width="29" hidden="0" customWidth="1"/>
    <x:col min="7" max="7" width="55" hidden="0" customWidth="1"/>
  </x:cols>
  <x:sheetData>
    <x:row r="1">
      <x:c r="A1" s="33" t="str">
        <x:v>Dedup_Group_ID</x:v>
      </x:c>
      <x:c r="B1" s="33" t="str">
        <x:v>Event_Date</x:v>
      </x:c>
      <x:c r="C1" s="33" t="str">
        <x:v>Event_Type</x:v>
      </x:c>
      <x:c r="D1" s="33" t="str">
        <x:v>Event_Location_Rows</x:v>
      </x:c>
      <x:c r="E1" s="33" t="str">
        <x:v>Spatial_Summary</x:v>
      </x:c>
      <x:c r="F1" s="33" t="str">
        <x:v>Primary_Source_ID</x:v>
      </x:c>
      <x:c r="G1" s="33" t="str">
        <x:v>Notes</x:v>
      </x:c>
    </x:row>
    <x:row r="2">
      <x:c r="A2" s="17" t="str">
        <x:v>DG-JB-20220102-20220103</x:v>
      </x:c>
      <x:c r="B2" s="17" t="str">
        <x:v>2022-01-03</x:v>
      </x:c>
      <x:c r="C2" s="17" t="str">
        <x:v>Monsoon flood</x:v>
      </x:c>
      <x:c r="D2" s="17" t="n">
        <x:v>1</x:v>
      </x:c>
      <x:c r="E2" s="17" t="str">
        <x:v>Sungai Tiram PPS catchment</x:v>
      </x:c>
      <x:c r="F2" s="17" t="str">
        <x:v>SRC_R2022_RTM_20220103</x:v>
      </x:c>
      <x:c r="G2" s="17" t="str">
        <x:v>JPS annual total classifies one JB event as monsoon-type.</x:v>
      </x:c>
    </x:row>
    <x:row r="3">
      <x:c r="A3" s="17" t="str">
        <x:v>DG-JB-20220307</x:v>
      </x:c>
      <x:c r="B3" s="17" t="str">
        <x:v>2022-03-07</x:v>
      </x:c>
      <x:c r="C3" s="17" t="str">
        <x:v>Flash flood</x:v>
      </x:c>
      <x:c r="D3" s="17" t="n">
        <x:v>2</x:v>
      </x:c>
      <x:c r="E3" s="17" t="str">
        <x:v>Muafakat + Kampung Pasir</x:v>
      </x:c>
      <x:c r="F3" s="17" t="str">
        <x:v>SRC_R2022_JPS_ANNUAL</x:v>
      </x:c>
      <x:c r="G3" s="17" t="str">
        <x:v>RTM independently confirms Muafakat.</x:v>
      </x:c>
    </x:row>
    <x:row r="4">
      <x:c r="A4" s="17" t="str">
        <x:v>DG-JB-20220417</x:v>
      </x:c>
      <x:c r="B4" s="17" t="str">
        <x:v>2022-04-17</x:v>
      </x:c>
      <x:c r="C4" s="17" t="str">
        <x:v>Flash flood</x:v>
      </x:c>
      <x:c r="D4" s="17" t="n">
        <x:v>1</x:v>
      </x:c>
      <x:c r="E4" s="17" t="str">
        <x:v>Jalan Kota Tinggi (FT003)</x:v>
      </x:c>
      <x:c r="F4" s="17" t="str">
        <x:v>SRC_R2022_JPS_ANNUAL</x:v>
      </x:c>
      <x:c r="G4" s="17" t="str">
        <x:v>Road event; exact chainage open.</x:v>
      </x:c>
    </x:row>
    <x:row r="5">
      <x:c r="A5" s="17" t="str">
        <x:v>DG-JB-20220504</x:v>
      </x:c>
      <x:c r="B5" s="17" t="str">
        <x:v>2022-05-04</x:v>
      </x:c>
      <x:c r="C5" s="17" t="str">
        <x:v>Flash flood</x:v>
      </x:c>
      <x:c r="D5" s="17" t="n">
        <x:v>1</x:v>
      </x:c>
      <x:c r="E5" s="17" t="str">
        <x:v>Kampung Paya Mengkuang</x:v>
      </x:c>
      <x:c r="F5" s="17" t="str">
        <x:v>SRC_R2022_JPS_ANNUAL</x:v>
      </x:c>
      <x:c r="G5" s="17" t="str">
        <x:v>Tanjung Kupang/Gelang Patah context retained.</x:v>
      </x:c>
    </x:row>
    <x:row r="6">
      <x:c r="A6" s="17" t="str">
        <x:v>DG-JB-20220802</x:v>
      </x:c>
      <x:c r="B6" s="17" t="str">
        <x:v>2022-08-02</x:v>
      </x:c>
      <x:c r="C6" s="17" t="str">
        <x:v>Flash flood</x:v>
      </x:c>
      <x:c r="D6" s="17" t="n">
        <x:v>11</x:v>
      </x:c>
      <x:c r="E6" s="17" t="str">
        <x:v>Johor Bahru city centre / HSA</x:v>
      </x:c>
      <x:c r="F6" s="17" t="str">
        <x:v>SRC_R2022_BERNAMA_20220802</x:v>
      </x:c>
      <x:c r="G6" s="17" t="str">
        <x:v>Heavy rain and high tide; multiple roads and HSA affected.</x:v>
      </x:c>
    </x:row>
    <x:row r="7">
      <x:c r="A7" s="17" t="str">
        <x:v>DG-JB-20220820</x:v>
      </x:c>
      <x:c r="B7" s="17" t="str">
        <x:v>2022-08-20</x:v>
      </x:c>
      <x:c r="C7" s="17" t="str">
        <x:v>Flash flood</x:v>
      </x:c>
      <x:c r="D7" s="17" t="n">
        <x:v>7</x:v>
      </x:c>
      <x:c r="E7" s="17" t="str">
        <x:v>Skudai/Tebrau cluster</x:v>
      </x:c>
      <x:c r="F7" s="17" t="str">
        <x:v>SRC_R2022_JPS_ANNUAL</x:v>
      </x:c>
      <x:c r="G7" s="17" t="str">
        <x:v>JPS supplies the fullest location block.</x:v>
      </x:c>
    </x:row>
    <x:row r="8">
      <x:c r="A8" s="17" t="str">
        <x:v>DG-JB-20220905</x:v>
      </x:c>
      <x:c r="B8" s="17" t="str">
        <x:v>2022-09-05</x:v>
      </x:c>
      <x:c r="C8" s="17" t="str">
        <x:v>Flash flood</x:v>
      </x:c>
      <x:c r="D8" s="17" t="n">
        <x:v>2</x:v>
      </x:c>
      <x:c r="E8" s="17" t="str">
        <x:v>Puteri Harbour + Sentosa Barat</x:v>
      </x:c>
      <x:c r="F8" s="17" t="str">
        <x:v>SRC_R2022_JPS_ANNUAL</x:v>
      </x:c>
      <x:c r="G8" s="17" t="str">
        <x:v>JPS event table.</x:v>
      </x:c>
    </x:row>
    <x:row r="9">
      <x:c r="A9" s="17" t="str">
        <x:v>DG-JB-20220906</x:v>
      </x:c>
      <x:c r="B9" s="17" t="str">
        <x:v>2022-09-06</x:v>
      </x:c>
      <x:c r="C9" s="17" t="str">
        <x:v>Flash flood</x:v>
      </x:c>
      <x:c r="D9" s="17" t="n">
        <x:v>1</x:v>
      </x:c>
      <x:c r="E9" s="17" t="str">
        <x:v>Kampung Plentong Baru</x:v>
      </x:c>
      <x:c r="F9" s="17" t="str">
        <x:v>SRC_R2022_JPS_ANNUAL</x:v>
      </x:c>
      <x:c r="G9" s="17" t="str">
        <x:v>JPS event table.</x:v>
      </x:c>
    </x:row>
    <x:row r="10">
      <x:c r="A10" s="17" t="str">
        <x:v>DG-JB-20220925</x:v>
      </x:c>
      <x:c r="B10" s="17" t="str">
        <x:v>2022-09-25</x:v>
      </x:c>
      <x:c r="C10" s="17" t="str">
        <x:v>Flash flood</x:v>
      </x:c>
      <x:c r="D10" s="17" t="n">
        <x:v>10</x:v>
      </x:c>
      <x:c r="E10" s="17" t="str">
        <x:v>Johor Bahru multi-location cluster</x:v>
      </x:c>
      <x:c r="F10" s="17" t="str">
        <x:v>SRC_R2022_UTUSAN_20220925</x:v>
      </x:c>
      <x:c r="G10" s="17" t="str">
        <x:v>JBPM-linked news lists ten locations.</x:v>
      </x:c>
    </x:row>
    <x:row r="11">
      <x:c r="A11" s="17" t="str">
        <x:v>DG-JB-20221107</x:v>
      </x:c>
      <x:c r="B11" s="17" t="str">
        <x:v>2022-11-07</x:v>
      </x:c>
      <x:c r="C11" s="17" t="str">
        <x:v>Flash flood</x:v>
      </x:c>
      <x:c r="D11" s="17" t="n">
        <x:v>5</x:v>
      </x:c>
      <x:c r="E11" s="17" t="str">
        <x:v>Tebrau/Larkin/Majidee cluster</x:v>
      </x:c>
      <x:c r="F11" s="17" t="str">
        <x:v>SRC_R2022_AWANI_20221107_A</x:v>
      </x:c>
      <x:c r="G11" s="17" t="str">
        <x:v>Multiple contemporary sources combined under one date group.</x:v>
      </x:c>
    </x:row>
  </x:sheetData>
  <x:pageMargins left="0.7" right="0.7" top="0.75" bottom="0.75" header="0.3" footer="0.3"/>
</x:worksheet>
</file>

<file path=xl/worksheets/sheet12.xml><?xml version="1.0" encoding="utf-8"?>
<x:worksheet xmlns:x="http://schemas.openxmlformats.org/spreadsheetml/2006/main">
  <x:sheetFormatPr defaultRowHeight="15"/>
  <x:cols>
    <x:col min="1" max="1" width="29" hidden="0" customWidth="1"/>
    <x:col min="2" max="2" width="48" hidden="0" customWidth="1"/>
    <x:col min="3" max="3" width="29" hidden="0" customWidth="1"/>
    <x:col min="4" max="4" width="17" hidden="0" customWidth="1"/>
    <x:col min="5" max="5" width="15" hidden="0" customWidth="1"/>
    <x:col min="6" max="6" width="24" hidden="0" customWidth="1"/>
    <x:col min="7" max="7" width="66" hidden="0" customWidth="1"/>
    <x:col min="8" max="8" width="62" hidden="0" customWidth="1"/>
  </x:cols>
  <x:sheetData>
    <x:row r="1">
      <x:c r="A1" s="33" t="str">
        <x:v>Source_ID</x:v>
      </x:c>
      <x:c r="B1" s="33" t="str">
        <x:v>Source_Title</x:v>
      </x:c>
      <x:c r="C1" s="33" t="str">
        <x:v>Publisher</x:v>
      </x:c>
      <x:c r="D1" s="33" t="str">
        <x:v>Publication_Date</x:v>
      </x:c>
      <x:c r="E1" s="33" t="str">
        <x:v>Reliability_Tier</x:v>
      </x:c>
      <x:c r="F1" s="33" t="str">
        <x:v>Use</x:v>
      </x:c>
      <x:c r="G1" s="33" t="str">
        <x:v>Source_URL</x:v>
      </x:c>
      <x:c r="H1" s="33" t="str">
        <x:v>Evidence_Note</x:v>
      </x:c>
    </x:row>
    <x:row r="2">
      <x:c r="A2" s="17" t="str">
        <x:v>SRC_R2022_JPS_ANNUAL</x:v>
      </x:c>
      <x:c r="B2" s="17" t="str">
        <x:v>Laporan Banjir Tahunan 2022</x:v>
      </x:c>
      <x:c r="C2" s="17" t="str">
        <x:v>Jabatan Pengairan dan Saliran Malaysia</x:v>
      </x:c>
      <x:c r="D2" s="17" t="str">
        <x:v>2022</x:v>
      </x:c>
      <x:c r="E2" s="17" t="str">
        <x:v>A</x:v>
      </x:c>
      <x:c r="F2" s="17" t="str">
        <x:v>Official annual/event table</x:v>
      </x:c>
      <x:c r="G2" s="17" t="str">
        <x:v>https://www.water.gov.my/jps/resources/Anual%20Flood%20Reporting%20/LBT_2022.pdf</x:v>
      </x:c>
      <x:c r="H2" s="17" t="str">
        <x:v>Search-indexed official annual report: Johor Bahru frequency=10; 1 monsoon + 9 flash floods; event-table locations used where surfaced.</x:v>
      </x:c>
    </x:row>
    <x:row r="3">
      <x:c r="A3" s="17" t="str">
        <x:v>SRC_R2022_RTM_20220103</x:v>
      </x:c>
      <x:c r="B3" s="17" t="str">
        <x:v>Perkembangan banjir di Johor</x:v>
      </x:c>
      <x:c r="C3" s="17" t="str">
        <x:v>RTM</x:v>
      </x:c>
      <x:c r="D3" s="17" t="str">
        <x:v>2022-01-03</x:v>
      </x:c>
      <x:c r="E3" s="17" t="str">
        <x:v>B</x:v>
      </x:c>
      <x:c r="F3" s="17" t="str">
        <x:v>Event/status evidence</x:v>
      </x:c>
      <x:c r="G3" s="17" t="str">
        <x:v>https://berita.rtm.gov.my/nasional/senarai-berita-nasional/senarai-artikel/perkembangan-banjir-di-johor</x:v>
      </x:c>
      <x:c r="H3" s="17" t="str">
        <x:v>Johor Bahru affected; one person moved to PPS Dewanraya Sungai Tiram.</x:v>
      </x:c>
    </x:row>
    <x:row r="4">
      <x:c r="A4" s="17" t="str">
        <x:v>SRC_R2022_RTM_20220307</x:v>
      </x:c>
      <x:c r="B4" s="17" t="str">
        <x:v>Banjir kilat di Johor Bahru dan Kulai surut pukul 6 petang</x:v>
      </x:c>
      <x:c r="C4" s="17" t="str">
        <x:v>RTM / JBPM Johor</x:v>
      </x:c>
      <x:c r="D4" s="17" t="str">
        <x:v>2022-03-07</x:v>
      </x:c>
      <x:c r="E4" s="17" t="str">
        <x:v>B</x:v>
      </x:c>
      <x:c r="F4" s="17" t="str">
        <x:v>Event evidence</x:v>
      </x:c>
      <x:c r="G4" s="17" t="str">
        <x:v>https://berita.rtm.gov.my/nasional/senarai-berita-nasional/senarai-artikel/banjir-kilat-di-johor-bahru-dan-kulai-surut-pukul-6-petang/</x:v>
      </x:c>
      <x:c r="H4" s="17" t="str">
        <x:v>Names Kampung Baru Muafakat, Gelang Patah; flooding followed heavy rain.</x:v>
      </x:c>
    </x:row>
    <x:row r="5">
      <x:c r="A5" s="17" t="str">
        <x:v>SRC_R2022_BERNAMA_20220802</x:v>
      </x:c>
      <x:c r="B5" s="17" t="str">
        <x:v>Kerajaan Johor ambil langkah segera atasi banjir kilat di Johor Bahru</x:v>
      </x:c>
      <x:c r="C5" s="17" t="str">
        <x:v>Bernama</x:v>
      </x:c>
      <x:c r="D5" s="17" t="str">
        <x:v>2022-08-02</x:v>
      </x:c>
      <x:c r="E5" s="17" t="str">
        <x:v>B</x:v>
      </x:c>
      <x:c r="F5" s="17" t="str">
        <x:v>Event evidence</x:v>
      </x:c>
      <x:c r="G5" s="17" t="str">
        <x:v>https://www.bernama.com/bm/news.php?id=2106629</x:v>
      </x:c>
      <x:c r="H5" s="17" t="str">
        <x:v>Names key city roads, HSA and Kampung Baru Mohd Amin; heavy rain/high tide context.</x:v>
      </x:c>
    </x:row>
    <x:row r="6">
      <x:c r="A6" s="17" t="str">
        <x:v>SRC_R2022_MMAIL_20220802</x:v>
      </x:c>
      <x:c r="B6" s="17" t="str">
        <x:v>Parts of Johor Baru hit by flash floods</x:v>
      </x:c>
      <x:c r="C6" s="17" t="str">
        <x:v>Malay Mail</x:v>
      </x:c>
      <x:c r="D6" s="17" t="str">
        <x:v>2022-08-02</x:v>
      </x:c>
      <x:c r="E6" s="17" t="str">
        <x:v>B</x:v>
      </x:c>
      <x:c r="F6" s="17" t="str">
        <x:v>Event evidence</x:v>
      </x:c>
      <x:c r="G6" s="17" t="str">
        <x:v>https://www.malaymail.com/news/malaysia/2022/08/02/parts-of-johor-baru-hit-by-flash-floods-video/20634</x:v>
      </x:c>
      <x:c r="H6" s="17" t="str">
        <x:v>Adds Persiaran Abu Bakar Sultan, Jalan Pantai Lido, Mahmoodiah and Jalan Seri Pelangi toward Stulang Laut.</x:v>
      </x:c>
    </x:row>
    <x:row r="7">
      <x:c r="A7" s="17" t="str">
        <x:v>SRC_R2022_KOSMO_20220820</x:v>
      </x:c>
      <x:c r="B7" s="17" t="str">
        <x:v>4 kampung di Johor Bahru, Kulai dinaiki banjir kilat</x:v>
      </x:c>
      <x:c r="C7" s="17" t="str">
        <x:v>Kosmo</x:v>
      </x:c>
      <x:c r="D7" s="17" t="str">
        <x:v>2022-08-20</x:v>
      </x:c>
      <x:c r="E7" s="17" t="str">
        <x:v>B</x:v>
      </x:c>
      <x:c r="F7" s="17" t="str">
        <x:v>Event evidence</x:v>
      </x:c>
      <x:c r="G7" s="17" t="str">
        <x:v>https://www.kosmo.com.my/2022/08/20/4-kampung-di-johor-bahru-kulai-dinaiki-banjir-kilat/</x:v>
      </x:c>
      <x:c r="H7" s="17" t="str">
        <x:v>Confirms Kampung Laut Batu 10 and Kampung Maju Jaya in Johor Bahru.</x:v>
      </x:c>
    </x:row>
    <x:row r="8">
      <x:c r="A8" s="17" t="str">
        <x:v>SRC_R2022_UTUSAN_20220820</x:v>
      </x:c>
      <x:c r="B8" s="17" t="str">
        <x:v>Banjir kilat di JB, Kulai ekoran hujan lebat lebih 2 jam</x:v>
      </x:c>
      <x:c r="C8" s="17" t="str">
        <x:v>Utusan Malaysia</x:v>
      </x:c>
      <x:c r="D8" s="17" t="str">
        <x:v>2022-08-20</x:v>
      </x:c>
      <x:c r="E8" s="17" t="str">
        <x:v>B</x:v>
      </x:c>
      <x:c r="F8" s="17" t="str">
        <x:v>Event evidence</x:v>
      </x:c>
      <x:c r="G8" s="17" t="str">
        <x:v>https://www.utusan.com.my/berita/2022/08/banjir-kilat-di-jb-kulai-ekoran-hujan-lebat-lebih-2-jam/</x:v>
      </x:c>
      <x:c r="H8" s="17" t="str">
        <x:v>Confirms affected Johor Bahru settlements.</x:v>
      </x:c>
    </x:row>
    <x:row r="9">
      <x:c r="A9" s="17" t="str">
        <x:v>SRC_R2022_UTUSAN_20220925</x:v>
      </x:c>
      <x:c r="B9" s="17" t="str">
        <x:v>10 kawasan di Johor Bahru dilanda banjir kilat</x:v>
      </x:c>
      <x:c r="C9" s="17" t="str">
        <x:v>Utusan Malaysia / JBPM</x:v>
      </x:c>
      <x:c r="D9" s="17" t="str">
        <x:v>2022-09-25</x:v>
      </x:c>
      <x:c r="E9" s="17" t="str">
        <x:v>B</x:v>
      </x:c>
      <x:c r="F9" s="17" t="str">
        <x:v>Event evidence</x:v>
      </x:c>
      <x:c r="G9" s="17" t="str">
        <x:v>https://www.utusan.com.my/berita/2022/09/10-kawasan-di-johor-bahru-dilanda-banjir-kilat/</x:v>
      </x:c>
      <x:c r="H9" s="17" t="str">
        <x:v>Lists ten Johor Bahru locations.</x:v>
      </x:c>
    </x:row>
    <x:row r="10">
      <x:c r="A10" s="17" t="str">
        <x:v>SRC_R2022_BH_20220925</x:v>
      </x:c>
      <x:c r="B10" s="17" t="str">
        <x:v>Johor Bahru flash flood coverage, 25 Sep 2022</x:v>
      </x:c>
      <x:c r="C10" s="17" t="str">
        <x:v>Berita Harian</x:v>
      </x:c>
      <x:c r="D10" s="17" t="str">
        <x:v>2022-09-25</x:v>
      </x:c>
      <x:c r="E10" s="17" t="str">
        <x:v>B</x:v>
      </x:c>
      <x:c r="F10" s="17" t="str">
        <x:v>Corroboration</x:v>
      </x:c>
      <x:c r="G10" s="17" t="str">
        <x:v>https://www.bharian.com.my/</x:v>
      </x:c>
      <x:c r="H10" s="17" t="str">
        <x:v>Used only as corroboration where search-index evidence matched Utusan/JBPM list; no extra locations added.</x:v>
      </x:c>
    </x:row>
    <x:row r="11">
      <x:c r="A11" s="17" t="str">
        <x:v>SRC_R2022_AWANI_20221107_A</x:v>
      </x:c>
      <x:c r="B11" s="17" t="str">
        <x:v>PRU15: Hujan lebat berterusan, Tebrau dilanda banjir kilat</x:v>
      </x:c>
      <x:c r="C11" s="17" t="str">
        <x:v>Astro Awani</x:v>
      </x:c>
      <x:c r="D11" s="17" t="str">
        <x:v>2022-11-07</x:v>
      </x:c>
      <x:c r="E11" s="17" t="str">
        <x:v>B</x:v>
      </x:c>
      <x:c r="F11" s="17" t="str">
        <x:v>Event evidence</x:v>
      </x:c>
      <x:c r="G11" s="17" t="str">
        <x:v>https://www.astroawani.com/berita-malaysia/pru15-hujan-lebat-berterusan-tebrau-dilanda-banjir-kilat-390115</x:v>
      </x:c>
      <x:c r="H11" s="17" t="str">
        <x:v>Names Sanctuary Garden and Kampung Melayu Majidee.</x:v>
      </x:c>
    </x:row>
    <x:row r="12">
      <x:c r="A12" s="17" t="str">
        <x:v>SRC_R2022_AWANI_20221107_B</x:v>
      </x:c>
      <x:c r="B12" s="17" t="str">
        <x:v>Banjir kilat landa Johor Bahru, lebih 40 rumah dinaiki air</x:v>
      </x:c>
      <x:c r="C12" s="17" t="str">
        <x:v>Astro Awani</x:v>
      </x:c>
      <x:c r="D12" s="17" t="str">
        <x:v>2022-11-07</x:v>
      </x:c>
      <x:c r="E12" s="17" t="str">
        <x:v>B</x:v>
      </x:c>
      <x:c r="F12" s="17" t="str">
        <x:v>Event evidence</x:v>
      </x:c>
      <x:c r="G12" s="17" t="str">
        <x:v>https://www.astroawani.com/berita-malaysia/banjir-kilat-landa-johor-bahru-lebih-40-rumah-dinaiki-air-390134</x:v>
      </x:c>
      <x:c r="H12" s="17" t="str">
        <x:v>Names Jalan Keris Dua/Taman Sri Tebrau and Kampung Kurnia, Larkin.</x:v>
      </x:c>
    </x:row>
    <x:row r="13">
      <x:c r="A13" s="17" t="str">
        <x:v>SRC_R2022_MDJ_20221108</x:v>
      </x:c>
      <x:c r="B13" s="17" t="str">
        <x:v>MB Johor melawat kawasan terkesan banjir kilat</x:v>
      </x:c>
      <x:c r="C13" s="17" t="str">
        <x:v>Media Digital Johor</x:v>
      </x:c>
      <x:c r="D13" s="17" t="str">
        <x:v>2022-11-08</x:v>
      </x:c>
      <x:c r="E13" s="17" t="str">
        <x:v>B</x:v>
      </x:c>
      <x:c r="F13" s="17" t="str">
        <x:v>Event retrospective</x:v>
      </x:c>
      <x:c r="G13" s="17" t="str">
        <x:v>https://mediadigitaljohor.gov.my/mb-johor-melawat-kawasan-terkesan-banjir-kilat/</x:v>
      </x:c>
      <x:c r="H13" s="17" t="str">
        <x:v>Confirms Taman Melodies was affected by 7 Nov flash flood.</x:v>
      </x:c>
    </x:row>
    <x:row r="14">
      <x:c r="A14" s="17" t="str">
        <x:v>SRC_GEO_JOHOR_MYGEONAME</x:v>
      </x:c>
      <x:c r="B14" s="17" t="str">
        <x:v>Johor gazetteer / Laporan Gazetir</x:v>
      </x:c>
      <x:c r="C14" s="17" t="str">
        <x:v>MyGeoName / JUPEM MyGeoportal</x:v>
      </x:c>
      <x:c r="D14" s="17" t="str">
        <x:v>Accessed 2026-10-06</x:v>
      </x:c>
      <x:c r="E14" s="17" t="str">
        <x:v>A</x:v>
      </x:c>
      <x:c r="F14" s="17" t="str">
        <x:v>Official geospatial points</x:v>
      </x:c>
      <x:c r="G14" s="17" t="str">
        <x:v>https://mygeoname.mygeoportal.gov.my/exportpdffasa3.jsp?kodnegeri=01</x:v>
      </x:c>
      <x:c r="H14" s="17" t="str">
        <x:v>Used for Paya Mengkuang, Pasir Tebrau, Paya Kenangan, Ubi Baru, Tiram Duku, Pekejang and related locality points.</x:v>
      </x:c>
    </x:row>
    <x:row r="15">
      <x:c r="A15" s="17" t="str">
        <x:v>SRC_R2022_DUN_CONTEXT</x:v>
      </x:c>
      <x:c r="B15" s="17" t="str">
        <x:v>Johor state assembly flood-management records 2022</x:v>
      </x:c>
      <x:c r="C15" s="17" t="str">
        <x:v>Dewan Negeri Johor</x:v>
      </x:c>
      <x:c r="D15" s="17" t="str">
        <x:v>2022</x:v>
      </x:c>
      <x:c r="E15" s="17" t="str">
        <x:v>A</x:v>
      </x:c>
      <x:c r="F15" s="17" t="str">
        <x:v>Administrative context</x:v>
      </x:c>
      <x:c r="G15" s="17" t="str">
        <x:v>https://dewannegeri.johor.gov.my/</x:v>
      </x:c>
      <x:c r="H15" s="17" t="str">
        <x:v>Context only; administrative incident counts are not converted into Event_ID rows without exact dated location evidence.</x:v>
      </x:c>
    </x:row>
  </x:sheetData>
  <x:pageMargins left="0.7" right="0.7" top="0.75" bottom="0.75" header="0.3" footer="0.3"/>
</x:worksheet>
</file>

<file path=xl/worksheets/sheet13.xml><?xml version="1.0" encoding="utf-8"?>
<x:worksheet xmlns:x="http://schemas.openxmlformats.org/spreadsheetml/2006/main">
  <x:sheetFormatPr defaultRowHeight="15"/>
  <x:cols>
    <x:col min="1" max="1" width="16" hidden="0" customWidth="1"/>
    <x:col min="2" max="2" width="37" hidden="0" customWidth="1"/>
    <x:col min="3" max="3" width="38" hidden="0" customWidth="1"/>
    <x:col min="4" max="4" width="20" hidden="0" customWidth="1"/>
    <x:col min="5" max="5" width="16" hidden="0" customWidth="1"/>
    <x:col min="6" max="6" width="17" hidden="0" customWidth="1"/>
    <x:col min="7" max="7" width="17" hidden="0" customWidth="1"/>
    <x:col min="8" max="8" width="44" hidden="0" customWidth="1"/>
    <x:col min="9" max="9" width="35" hidden="0" customWidth="1"/>
    <x:col min="10" max="10" width="30" hidden="0" customWidth="1"/>
    <x:col min="11" max="11" width="58" hidden="0" customWidth="1"/>
    <x:col min="12" max="12" width="58" hidden="0" customWidth="1"/>
    <x:col min="13" max="13" width="17" hidden="0" customWidth="1"/>
  </x:cols>
  <x:sheetData>
    <x:row r="1">
      <x:c r="A1" s="33" t="str">
        <x:v>Spatial_Object_Key</x:v>
      </x:c>
      <x:c r="B1" s="33" t="str">
        <x:v>Canonical_Name</x:v>
      </x:c>
      <x:c r="C1" s="33" t="str">
        <x:v>Alias_or_Source_Label</x:v>
      </x:c>
      <x:c r="D1" s="33" t="str">
        <x:v>Object_Type</x:v>
      </x:c>
      <x:c r="E1" s="33" t="str">
        <x:v>Point_GIS_Ready</x:v>
      </x:c>
      <x:c r="F1" s="33" t="str">
        <x:v>Longitude_WGS84</x:v>
      </x:c>
      <x:c r="G1" s="33" t="str">
        <x:v>Latitude_WGS84</x:v>
      </x:c>
      <x:c r="H1" s="33" t="str">
        <x:v>Point_Source</x:v>
      </x:c>
      <x:c r="I1" s="33" t="str">
        <x:v>Geometry_Status</x:v>
      </x:c>
      <x:c r="J1" s="33" t="str">
        <x:v>Polygon_ID</x:v>
      </x:c>
      <x:c r="K1" s="33" t="str">
        <x:v>Key_Conflict_or_Gap</x:v>
      </x:c>
      <x:c r="L1" s="33" t="str">
        <x:v>Next_Spatial_Action</x:v>
      </x:c>
      <x:c r="M1" s="33" t="str">
        <x:v>Event_Count_2022</x:v>
      </x:c>
    </x:row>
    <x:row r="2">
      <x:c r="A2" s="17" t="str">
        <x:v>S2022-001</x:v>
      </x:c>
      <x:c r="B2" s="17" t="str">
        <x:v>Sungai Tiram PPS catchment</x:v>
      </x:c>
      <x:c r="C2" s="17" t="str">
        <x:v>Dewanraya Sungai Tiram</x:v>
      </x:c>
      <x:c r="D2" s="17" t="str">
        <x:v>AREA/COMMUNITY</x:v>
      </x:c>
      <x:c r="E2" s="24" t="b">
        <x:v>1</x:v>
      </x:c>
      <x:c r="F2" s="17" t="n">
        <x:v>103.8806315</x:v>
      </x:c>
      <x:c r="G2" s="17" t="n">
        <x:v>1.5843974</x:v>
      </x:c>
      <x:c r="H2" s="17" t="str">
        <x:v>R012 policy/reference point; Jan source identifies PPS, not exact inundated subarea</x:v>
      </x:c>
      <x:c r="I2" s="17" t="str">
        <x:v>POINT_REFERENCE; EVENT_FOOTPRINT_OPEN</x:v>
      </x:c>
      <x:c r="J2" s="17" t="str"/>
      <x:c r="K2" s="17" t="str">
        <x:v>PPS location confirms affected Sungai Tiram context, but exact inundated subarea is not specified.</x:v>
      </x:c>
      <x:c r="L2" s="17" t="str">
        <x:v>Retain area-reference point; do not infer a flood polygon from PPS location.</x:v>
      </x:c>
      <x:c r="M2" s="17" t="n">
        <x:f>COUNTIF('09_2022_Event_Master'!$E$2:$E$42,A2)</x:f>
        <x:v>1</x:v>
      </x:c>
    </x:row>
    <x:row r="3">
      <x:c r="A3" s="17" t="str">
        <x:v>S2022-002</x:v>
      </x:c>
      <x:c r="B3" s="17" t="str">
        <x:v>Kampung Baru Muafakat</x:v>
      </x:c>
      <x:c r="C3" s="17" t="str">
        <x:v>Kg Baru Muafakat / Kampung Muafakat, Gelang Patah</x:v>
      </x:c>
      <x:c r="D3" s="17" t="str">
        <x:v>COMMUNITY</x:v>
      </x:c>
      <x:c r="E3" s="24" t="b">
        <x:v>1</x:v>
      </x:c>
      <x:c r="F3" s="17" t="n">
        <x:v>103.5947457</x:v>
      </x:c>
      <x:c r="G3" s="17" t="n">
        <x:v>1.4430619</x:v>
      </x:c>
      <x:c r="H3" s="17" t="str">
        <x:v>R012 frozen polygon centroid / OSM way 468638324</x:v>
      </x:c>
      <x:c r="I3" s="17" t="str">
        <x:v>REUSED_CLOSED</x:v>
      </x:c>
      <x:c r="J3" s="17" t="str">
        <x:v>PG2020-KG-BARU-MUAFAKAT</x:v>
      </x:c>
      <x:c r="K3" s="17" t="str">
        <x:v>Exact named community analysis polygon already frozen.</x:v>
      </x:c>
      <x:c r="L3" s="17" t="str">
        <x:v>Reuse parent-community polygon; not an observed inundation footprint.</x:v>
      </x:c>
      <x:c r="M3" s="17" t="n">
        <x:f>COUNTIF('09_2022_Event_Master'!$E$2:$E$42,A3)</x:f>
        <x:v>2</x:v>
      </x:c>
    </x:row>
    <x:row r="4">
      <x:c r="A4" s="17" t="str">
        <x:v>S2022-003</x:v>
      </x:c>
      <x:c r="B4" s="17" t="str">
        <x:v>Kampung Pasir</x:v>
      </x:c>
      <x:c r="C4" s="17" t="str">
        <x:v>Kg Pasir, Johor Bahru</x:v>
      </x:c>
      <x:c r="D4" s="17" t="str">
        <x:v>COMMUNITY</x:v>
      </x:c>
      <x:c r="E4" s="24" t="b">
        <x:v>1</x:v>
      </x:c>
      <x:c r="F4" s="17" t="n">
        <x:v>103.6969651</x:v>
      </x:c>
      <x:c r="G4" s="17" t="n">
        <x:v>1.4955303</x:v>
      </x:c>
      <x:c r="H4" s="17" t="str">
        <x:v>R012 fixed HF14 coordinate</x:v>
      </x:c>
      <x:c r="I4" s="17" t="str">
        <x:v>POINT_READY; POLYGON_OPEN</x:v>
      </x:c>
      <x:c r="J4" s="17" t="str"/>
      <x:c r="K4" s="17" t="str">
        <x:v>Fixed reference point is defensible; no exact event/community flood polygon frozen.</x:v>
      </x:c>
      <x:c r="L4" s="17" t="str">
        <x:v>Continue exact community-boundary search.</x:v>
      </x:c>
      <x:c r="M4" s="17" t="n">
        <x:f>COUNTIF('09_2022_Event_Master'!$E$2:$E$42,A4)</x:f>
        <x:v>1</x:v>
      </x:c>
    </x:row>
    <x:row r="5">
      <x:c r="A5" s="17" t="str">
        <x:v>S2022-004</x:v>
      </x:c>
      <x:c r="B5" s="17" t="str">
        <x:v>Jalan Kota Tinggi (FT003)</x:v>
      </x:c>
      <x:c r="C5" s="17" t="str">
        <x:v>Jalan Kota Tinggi / Federal Route 3</x:v>
      </x:c>
      <x:c r="D5" s="17" t="str">
        <x:v>ROAD</x:v>
      </x:c>
      <x:c r="E5" s="24" t="b">
        <x:v>0</x:v>
      </x:c>
      <x:c r="F5" s="17"/>
      <x:c r="G5" s="17"/>
      <x:c r="H5" s="17" t="str">
        <x:v>JPS 17 Apr event label</x:v>
      </x:c>
      <x:c r="I5" s="17" t="str">
        <x:v>ROAD_SEGMENT_OPEN</x:v>
      </x:c>
      <x:c r="J5" s="17" t="str"/>
      <x:c r="K5" s="17" t="str">
        <x:v>JPS identifies the road, but not the exact flooded start/end chainage.</x:v>
      </x:c>
      <x:c r="L5" s="17" t="str">
        <x:v>Keep linear event object open; no whole-road buffer.</x:v>
      </x:c>
      <x:c r="M5" s="17" t="n">
        <x:f>COUNTIF('09_2022_Event_Master'!$E$2:$E$42,A5)</x:f>
        <x:v>1</x:v>
      </x:c>
    </x:row>
    <x:row r="6">
      <x:c r="A6" s="17" t="str">
        <x:v>S2022-005</x:v>
      </x:c>
      <x:c r="B6" s="17" t="str">
        <x:v>Kampung Paya Mengkuang</x:v>
      </x:c>
      <x:c r="C6" s="17" t="str">
        <x:v>Kg Paya Mengkuang, Tanjung Kupang / Gelang Patah</x:v>
      </x:c>
      <x:c r="D6" s="17" t="str">
        <x:v>COMMUNITY</x:v>
      </x:c>
      <x:c r="E6" s="24" t="b">
        <x:v>1</x:v>
      </x:c>
      <x:c r="F6" s="17" t="n">
        <x:v>103.58727458</x:v>
      </x:c>
      <x:c r="G6" s="17" t="n">
        <x:v>1.37194144</x:v>
      </x:c>
      <x:c r="H6" s="17" t="str">
        <x:v>MyGeoName Johor official gazette point</x:v>
      </x:c>
      <x:c r="I6" s="17" t="str">
        <x:v>POINT_READY; POLYGON_OPEN</x:v>
      </x:c>
      <x:c r="J6" s="17" t="str"/>
      <x:c r="K6" s="17" t="str">
        <x:v>Two official/gazetteer Paya Mengkuang point variants exist; the event label is retained with Tanjung Kupang/Gelang Patah context.</x:v>
      </x:c>
      <x:c r="L6" s="17" t="str">
        <x:v>Use official point as representative reference; do not close polygon until boundary identity is confirmed.</x:v>
      </x:c>
      <x:c r="M6" s="17" t="n">
        <x:f>COUNTIF('09_2022_Event_Master'!$E$2:$E$42,A6)</x:f>
        <x:v>2</x:v>
      </x:c>
    </x:row>
    <x:row r="7">
      <x:c r="A7" s="17" t="str">
        <x:v>S2022-006</x:v>
      </x:c>
      <x:c r="B7" s="17" t="str">
        <x:v>Jalan Ayer Molek</x:v>
      </x:c>
      <x:c r="C7" s="17" t="str">
        <x:v>Jalan Ayer Molek</x:v>
      </x:c>
      <x:c r="D7" s="17" t="str">
        <x:v>ROAD</x:v>
      </x:c>
      <x:c r="E7" s="24" t="b">
        <x:v>1</x:v>
      </x:c>
      <x:c r="F7" s="17" t="n">
        <x:v>103.7587117</x:v>
      </x:c>
      <x:c r="G7" s="17" t="n">
        <x:v>1.4594963</x:v>
      </x:c>
      <x:c r="H7" s="17" t="str">
        <x:v>R012 fixed HF01 coordinate</x:v>
      </x:c>
      <x:c r="I7" s="17" t="str">
        <x:v>POINT_REFERENCE; ROAD_SEGMENT_OPEN</x:v>
      </x:c>
      <x:c r="J7" s="17" t="str"/>
      <x:c r="K7" s="17" t="str">
        <x:v>Road reference point is frozen, but exact 2 Aug flooded segment is not.</x:v>
      </x:c>
      <x:c r="L7" s="17" t="str">
        <x:v>Keep event segment open.</x:v>
      </x:c>
      <x:c r="M7" s="17" t="n">
        <x:f>COUNTIF('09_2022_Event_Master'!$E$2:$E$42,A7)</x:f>
        <x:v>1</x:v>
      </x:c>
    </x:row>
    <x:row r="8">
      <x:c r="A8" s="17" t="str">
        <x:v>S2022-007</x:v>
      </x:c>
      <x:c r="B8" s="17" t="str">
        <x:v>Jalan Wong Ah Fook / Sungai Segget corridor</x:v>
      </x:c>
      <x:c r="C8" s="17" t="str">
        <x:v>Jalan Wong Ah Fook</x:v>
      </x:c>
      <x:c r="D8" s="17" t="str">
        <x:v>ROAD/CORRIDOR</x:v>
      </x:c>
      <x:c r="E8" s="24" t="b">
        <x:v>1</x:v>
      </x:c>
      <x:c r="F8" s="17" t="n">
        <x:v>103.7656178</x:v>
      </x:c>
      <x:c r="G8" s="17" t="n">
        <x:v>1.4576093</x:v>
      </x:c>
      <x:c r="H8" s="17" t="str">
        <x:v>R012 fixed HF32 coordinate</x:v>
      </x:c>
      <x:c r="I8" s="17" t="str">
        <x:v>REUSED_CLOSED</x:v>
      </x:c>
      <x:c r="J8" s="17" t="str">
        <x:v>PG2016-CBD-SEGGET</x:v>
      </x:c>
      <x:c r="K8" s="17" t="str">
        <x:v>Existing closed corridor is an analysis context, not the exact 2 Aug water footprint.</x:v>
      </x:c>
      <x:c r="L8" s="17" t="str">
        <x:v>Reuse corridor polygon; road-event segment interpretation remains conservative.</x:v>
      </x:c>
      <x:c r="M8" s="17" t="n">
        <x:f>COUNTIF('09_2022_Event_Master'!$E$2:$E$42,A8)</x:f>
        <x:v>1</x:v>
      </x:c>
    </x:row>
    <x:row r="9">
      <x:c r="A9" s="17" t="str">
        <x:v>S2022-008</x:v>
      </x:c>
      <x:c r="B9" s="17" t="str">
        <x:v>Jalan Tun Abdul Razak</x:v>
      </x:c>
      <x:c r="C9" s="17" t="str">
        <x:v>Jalan Tun Abdul Razak</x:v>
      </x:c>
      <x:c r="D9" s="17" t="str">
        <x:v>ROAD</x:v>
      </x:c>
      <x:c r="E9" s="24" t="b">
        <x:v>1</x:v>
      </x:c>
      <x:c r="F9" s="17" t="n">
        <x:v>103.7527329</x:v>
      </x:c>
      <x:c r="G9" s="17" t="n">
        <x:v>1.4803791</x:v>
      </x:c>
      <x:c r="H9" s="17" t="str">
        <x:v>R012 fixed HF06 coordinate</x:v>
      </x:c>
      <x:c r="I9" s="17" t="str">
        <x:v>POINT_REFERENCE; ROAD_SEGMENT_OPEN</x:v>
      </x:c>
      <x:c r="J9" s="17" t="str"/>
      <x:c r="K9" s="17" t="str">
        <x:v>Exact 2 Aug flooded segment length not stated.</x:v>
      </x:c>
      <x:c r="L9" s="17" t="str">
        <x:v>Keep event segment open.</x:v>
      </x:c>
      <x:c r="M9" s="17" t="n">
        <x:f>COUNTIF('09_2022_Event_Master'!$E$2:$E$42,A9)</x:f>
        <x:v>1</x:v>
      </x:c>
    </x:row>
    <x:row r="10">
      <x:c r="A10" s="17" t="str">
        <x:v>S2022-009</x:v>
      </x:c>
      <x:c r="B10" s="17" t="str">
        <x:v>Jalan Kolam Ayer</x:v>
      </x:c>
      <x:c r="C10" s="17" t="str">
        <x:v>Jalan Kolam Air / Jalan Kolam Ayer</x:v>
      </x:c>
      <x:c r="D10" s="17" t="str">
        <x:v>ROAD</x:v>
      </x:c>
      <x:c r="E10" s="24" t="b">
        <x:v>1</x:v>
      </x:c>
      <x:c r="F10" s="17" t="n">
        <x:v>103.7220526</x:v>
      </x:c>
      <x:c r="G10" s="17" t="n">
        <x:v>1.4823854</x:v>
      </x:c>
      <x:c r="H10" s="17" t="str">
        <x:v>R012 fixed HF02 coordinate</x:v>
      </x:c>
      <x:c r="I10" s="17" t="str">
        <x:v>POINT_REFERENCE; ROAD_SEGMENT_OPEN</x:v>
      </x:c>
      <x:c r="J10" s="17" t="str"/>
      <x:c r="K10" s="17" t="str">
        <x:v>Alias spelling retained; exact 2 Aug flooded road segment not stated.</x:v>
      </x:c>
      <x:c r="L10" s="17" t="str">
        <x:v>Keep event segment open.</x:v>
      </x:c>
      <x:c r="M10" s="17" t="n">
        <x:f>COUNTIF('09_2022_Event_Master'!$E$2:$E$42,A10)</x:f>
        <x:v>1</x:v>
      </x:c>
    </x:row>
    <x:row r="11">
      <x:c r="A11" s="17" t="str">
        <x:v>S2022-010</x:v>
      </x:c>
      <x:c r="B11" s="17" t="str">
        <x:v>Jalan Yahya Awal</x:v>
      </x:c>
      <x:c r="C11" s="17" t="str">
        <x:v>Jalan Yahya Awal</x:v>
      </x:c>
      <x:c r="D11" s="17" t="str">
        <x:v>ROAD</x:v>
      </x:c>
      <x:c r="E11" s="24" t="b">
        <x:v>1</x:v>
      </x:c>
      <x:c r="F11" s="17" t="n">
        <x:v>103.7553464</x:v>
      </x:c>
      <x:c r="G11" s="17" t="n">
        <x:v>1.4633725</x:v>
      </x:c>
      <x:c r="H11" s="17" t="str">
        <x:v>R012 fixed HF07 coordinate</x:v>
      </x:c>
      <x:c r="I11" s="17" t="str">
        <x:v>POINT_REFERENCE; ROAD_SEGMENT_OPEN</x:v>
      </x:c>
      <x:c r="J11" s="17" t="str"/>
      <x:c r="K11" s="17" t="str">
        <x:v>Exact flooded segment not stated.</x:v>
      </x:c>
      <x:c r="L11" s="17" t="str">
        <x:v>Keep event segment open.</x:v>
      </x:c>
      <x:c r="M11" s="17" t="n">
        <x:f>COUNTIF('09_2022_Event_Master'!$E$2:$E$42,A11)</x:f>
        <x:v>1</x:v>
      </x:c>
    </x:row>
    <x:row r="12">
      <x:c r="A12" s="17" t="str">
        <x:v>S2022-011</x:v>
      </x:c>
      <x:c r="B12" s="17" t="str">
        <x:v>Hospital Sultanah Aminah</x:v>
      </x:c>
      <x:c r="C12" s="17" t="str">
        <x:v>HSA / Hospital Sultanah Aminah</x:v>
      </x:c>
      <x:c r="D12" s="17" t="str">
        <x:v>CRITICAL_FACILITY</x:v>
      </x:c>
      <x:c r="E12" s="24" t="b">
        <x:v>1</x:v>
      </x:c>
      <x:c r="F12" s="17" t="n">
        <x:v>103.7466457</x:v>
      </x:c>
      <x:c r="G12" s="17" t="n">
        <x:v>1.4575013</x:v>
      </x:c>
      <x:c r="H12" s="17" t="str">
        <x:v>R012 fixed HF22 / official address cross-check</x:v>
      </x:c>
      <x:c r="I12" s="17" t="str">
        <x:v>REUSED_CLOSED</x:v>
      </x:c>
      <x:c r="J12" s="17" t="str">
        <x:v>PG2016-HSA-CAMPUS</x:v>
      </x:c>
      <x:c r="K12" s="17" t="str">
        <x:v>Closed facility boundary is defensible; it is not an observed flood-water polygon.</x:v>
      </x:c>
      <x:c r="L12" s="17" t="str">
        <x:v>Reuse HSA campus polygon.</x:v>
      </x:c>
      <x:c r="M12" s="17" t="n">
        <x:f>COUNTIF('09_2022_Event_Master'!$E$2:$E$42,A12)</x:f>
        <x:v>1</x:v>
      </x:c>
    </x:row>
    <x:row r="13">
      <x:c r="A13" s="17" t="str">
        <x:v>S2022-012</x:v>
      </x:c>
      <x:c r="B13" s="17" t="str">
        <x:v>Kampung Mohd Amin</x:v>
      </x:c>
      <x:c r="C13" s="17" t="str">
        <x:v>Kampung Baru Mohd Amin / Kg Mohd Amin</x:v>
      </x:c>
      <x:c r="D13" s="17" t="str">
        <x:v>COMMUNITY</x:v>
      </x:c>
      <x:c r="E13" s="24" t="b">
        <x:v>1</x:v>
      </x:c>
      <x:c r="F13" s="17" t="n">
        <x:v>103.7354126</x:v>
      </x:c>
      <x:c r="G13" s="17" t="n">
        <x:v>1.4673637</x:v>
      </x:c>
      <x:c r="H13" s="17" t="str">
        <x:v>R012 fixed HF08 coordinate</x:v>
      </x:c>
      <x:c r="I13" s="17" t="str">
        <x:v>POINT_READY; POLYGON_OPEN</x:v>
      </x:c>
      <x:c r="J13" s="17" t="str"/>
      <x:c r="K13" s="17" t="str">
        <x:v>Source uses Kampung Baru Mohd Amin; canonical identity remains Kampung Mohd Amin with alias preserved.</x:v>
      </x:c>
      <x:c r="L13" s="17" t="str">
        <x:v>Seek exact named community boundary.</x:v>
      </x:c>
      <x:c r="M13" s="17" t="n">
        <x:f>COUNTIF('09_2022_Event_Master'!$E$2:$E$42,A13)</x:f>
        <x:v>2</x:v>
      </x:c>
    </x:row>
    <x:row r="14">
      <x:c r="A14" s="17" t="str">
        <x:v>S2022-013</x:v>
      </x:c>
      <x:c r="B14" s="17" t="str">
        <x:v>Persiaran Abu Bakar Sultan</x:v>
      </x:c>
      <x:c r="C14" s="17" t="str">
        <x:v>Persiaran Abu Bakar Sultan</x:v>
      </x:c>
      <x:c r="D14" s="17" t="str">
        <x:v>ROAD</x:v>
      </x:c>
      <x:c r="E14" s="24" t="b">
        <x:v>1</x:v>
      </x:c>
      <x:c r="F14" s="17" t="n">
        <x:v>103.7190029</x:v>
      </x:c>
      <x:c r="G14" s="17" t="n">
        <x:v>1.4843025</x:v>
      </x:c>
      <x:c r="H14" s="17" t="str">
        <x:v>R012 fixed HF33 coordinate</x:v>
      </x:c>
      <x:c r="I14" s="17" t="str">
        <x:v>POINT_REFERENCE; ROAD_SEGMENT_OPEN</x:v>
      </x:c>
      <x:c r="J14" s="17" t="str"/>
      <x:c r="K14" s="17" t="str">
        <x:v>Road inundation reported but exact affected segment is not specified.</x:v>
      </x:c>
      <x:c r="L14" s="17" t="str">
        <x:v>Keep event segment open.</x:v>
      </x:c>
      <x:c r="M14" s="17" t="n">
        <x:f>COUNTIF('09_2022_Event_Master'!$E$2:$E$42,A14)</x:f>
        <x:v>1</x:v>
      </x:c>
    </x:row>
    <x:row r="15">
      <x:c r="A15" s="17" t="str">
        <x:v>S2022-014</x:v>
      </x:c>
      <x:c r="B15" s="17" t="str">
        <x:v>Jalan Pantai Lido</x:v>
      </x:c>
      <x:c r="C15" s="17" t="str">
        <x:v>Jalan Pantai Lido toward city centre</x:v>
      </x:c>
      <x:c r="D15" s="17" t="str">
        <x:v>ROAD</x:v>
      </x:c>
      <x:c r="E15" s="24" t="b">
        <x:v>0</x:v>
      </x:c>
      <x:c r="F15" s="17"/>
      <x:c r="G15" s="17"/>
      <x:c r="H15" s="17" t="str">
        <x:v>Malay Mail 2 Aug event evidence</x:v>
      </x:c>
      <x:c r="I15" s="17" t="str">
        <x:v>ROAD_SEGMENT_OPEN</x:v>
      </x:c>
      <x:c r="J15" s="17" t="str"/>
      <x:c r="K15" s="17" t="str">
        <x:v>Directional road wording only; exact inundated chainage is absent.</x:v>
      </x:c>
      <x:c r="L15" s="17" t="str">
        <x:v>Do not buffer whole road.</x:v>
      </x:c>
      <x:c r="M15" s="17" t="n">
        <x:f>COUNTIF('09_2022_Event_Master'!$E$2:$E$42,A15)</x:f>
        <x:v>1</x:v>
      </x:c>
    </x:row>
    <x:row r="16">
      <x:c r="A16" s="17" t="str">
        <x:v>S2022-015</x:v>
      </x:c>
      <x:c r="B16" s="17" t="str">
        <x:v>Jalan Mahmoodiah</x:v>
      </x:c>
      <x:c r="C16" s="17" t="str">
        <x:v>Jalan Mahmodiah / Mahmoodiah</x:v>
      </x:c>
      <x:c r="D16" s="17" t="str">
        <x:v>ROAD</x:v>
      </x:c>
      <x:c r="E16" s="24" t="b">
        <x:v>1</x:v>
      </x:c>
      <x:c r="F16" s="17" t="n">
        <x:v>103.7482815</x:v>
      </x:c>
      <x:c r="G16" s="17" t="n">
        <x:v>1.4629658</x:v>
      </x:c>
      <x:c r="H16" s="17" t="str">
        <x:v>R012 fixed HF03 coordinate</x:v>
      </x:c>
      <x:c r="I16" s="17" t="str">
        <x:v>POINT_REFERENCE; ROAD_SEGMENT_OPEN</x:v>
      </x:c>
      <x:c r="J16" s="17" t="str"/>
      <x:c r="K16" s="17" t="str">
        <x:v>Spelling normalized; exact affected segment absent.</x:v>
      </x:c>
      <x:c r="L16" s="17" t="str">
        <x:v>Keep road segment open.</x:v>
      </x:c>
      <x:c r="M16" s="17" t="n">
        <x:f>COUNTIF('09_2022_Event_Master'!$E$2:$E$42,A16)</x:f>
        <x:v>1</x:v>
      </x:c>
    </x:row>
    <x:row r="17">
      <x:c r="A17" s="17" t="str">
        <x:v>S2022-016</x:v>
      </x:c>
      <x:c r="B17" s="17" t="str">
        <x:v>Jalan Seri Pelangi–Stulang Laut approach</x:v>
      </x:c>
      <x:c r="C17" s="17" t="str">
        <x:v>Jalan Seri Pelangi towards Stulang Laut</x:v>
      </x:c>
      <x:c r="D17" s="17" t="str">
        <x:v>ROAD</x:v>
      </x:c>
      <x:c r="E17" s="24" t="b">
        <x:v>0</x:v>
      </x:c>
      <x:c r="F17" s="17"/>
      <x:c r="G17" s="17"/>
      <x:c r="H17" s="17" t="str">
        <x:v>Malay Mail 2 Aug event evidence</x:v>
      </x:c>
      <x:c r="I17" s="17" t="str">
        <x:v>ROAD_SEGMENT_OPEN</x:v>
      </x:c>
      <x:c r="J17" s="17" t="str"/>
      <x:c r="K17" s="17" t="str">
        <x:v>Directional road approach is documented; exact flooded segment is not.</x:v>
      </x:c>
      <x:c r="L17" s="17" t="str">
        <x:v>Retain as road-specific open object.</x:v>
      </x:c>
      <x:c r="M17" s="17" t="n">
        <x:f>COUNTIF('09_2022_Event_Master'!$E$2:$E$42,A17)</x:f>
        <x:v>1</x:v>
      </x:c>
    </x:row>
    <x:row r="18">
      <x:c r="A18" s="17" t="str">
        <x:v>S2022-017</x:v>
      </x:c>
      <x:c r="B18" s="17" t="str">
        <x:v>Kampung Laut Batu 10, Skudai</x:v>
      </x:c>
      <x:c r="C18" s="17" t="str">
        <x:v>Kampung Laut / Kampung Laut Batu 10</x:v>
      </x:c>
      <x:c r="D18" s="17" t="str">
        <x:v>COMMUNITY</x:v>
      </x:c>
      <x:c r="E18" s="24" t="b">
        <x:v>1</x:v>
      </x:c>
      <x:c r="F18" s="17" t="n">
        <x:v>103.6605</x:v>
      </x:c>
      <x:c r="G18" s="17" t="n">
        <x:v>1.5453</x:v>
      </x:c>
      <x:c r="H18" s="17" t="str">
        <x:v>R014 2021 audited locality reference</x:v>
      </x:c>
      <x:c r="I18" s="17" t="str">
        <x:v>POINT_READY; POLYGON_OPEN</x:v>
      </x:c>
      <x:c r="J18" s="17" t="str"/>
      <x:c r="K18" s="17" t="str">
        <x:v>JPS wording includes both Kampung Laut and Kampung Laut Batu 10; normalized to one canonical Skudai object.</x:v>
      </x:c>
      <x:c r="L18" s="17" t="str">
        <x:v>Do not double-count two labels as two spatial objects.</x:v>
      </x:c>
      <x:c r="M18" s="17" t="n">
        <x:f>COUNTIF('09_2022_Event_Master'!$E$2:$E$42,A18)</x:f>
        <x:v>2</x:v>
      </x:c>
    </x:row>
    <x:row r="19">
      <x:c r="A19" s="17" t="str">
        <x:v>S2022-018</x:v>
      </x:c>
      <x:c r="B19" s="17" t="str">
        <x:v>Kampung Maju Jaya</x:v>
      </x:c>
      <x:c r="C19" s="17" t="str">
        <x:v>Kg Maju Jaya</x:v>
      </x:c>
      <x:c r="D19" s="17" t="str">
        <x:v>COMMUNITY</x:v>
      </x:c>
      <x:c r="E19" s="24" t="b">
        <x:v>1</x:v>
      </x:c>
      <x:c r="F19" s="17" t="n">
        <x:v>103.7159181</x:v>
      </x:c>
      <x:c r="G19" s="17" t="n">
        <x:v>1.5810921</x:v>
      </x:c>
      <x:c r="H19" s="17" t="str">
        <x:v>R012 fixed HF18 coordinate</x:v>
      </x:c>
      <x:c r="I19" s="17" t="str">
        <x:v>POINT_READY; POLYGON_OPEN</x:v>
      </x:c>
      <x:c r="J19" s="17" t="str"/>
      <x:c r="K19" s="17" t="str">
        <x:v>Known recurrent location; exact 20 Aug analysis polygon not frozen.</x:v>
      </x:c>
      <x:c r="L19" s="17" t="str">
        <x:v>Seek exact community boundary.</x:v>
      </x:c>
      <x:c r="M19" s="17" t="n">
        <x:f>COUNTIF('09_2022_Event_Master'!$E$2:$E$42,A19)</x:f>
        <x:v>1</x:v>
      </x:c>
    </x:row>
    <x:row r="20">
      <x:c r="A20" s="17" t="str">
        <x:v>S2022-019</x:v>
      </x:c>
      <x:c r="B20" s="17" t="str">
        <x:v>Jalan Seelong Jaya 2</x:v>
      </x:c>
      <x:c r="C20" s="17" t="str">
        <x:v>Jalan Seelong Jaya 2</x:v>
      </x:c>
      <x:c r="D20" s="17" t="str">
        <x:v>ROAD</x:v>
      </x:c>
      <x:c r="E20" s="24" t="b">
        <x:v>0</x:v>
      </x:c>
      <x:c r="F20" s="17"/>
      <x:c r="G20" s="17"/>
      <x:c r="H20" s="17" t="str">
        <x:v>JPS 20 Aug event table</x:v>
      </x:c>
      <x:c r="I20" s="17" t="str">
        <x:v>ROAD_SEGMENT_OPEN</x:v>
      </x:c>
      <x:c r="J20" s="17" t="str"/>
      <x:c r="K20" s="17" t="str">
        <x:v>Exact segment geometry is absent.</x:v>
      </x:c>
      <x:c r="L20" s="17" t="str">
        <x:v>Keep road object open.</x:v>
      </x:c>
      <x:c r="M20" s="17" t="n">
        <x:f>COUNTIF('09_2022_Event_Master'!$E$2:$E$42,A20)</x:f>
        <x:v>1</x:v>
      </x:c>
    </x:row>
    <x:row r="21">
      <x:c r="A21" s="17" t="str">
        <x:v>S2022-020</x:v>
      </x:c>
      <x:c r="B21" s="17" t="str">
        <x:v>Kampung Tengah Tebrau</x:v>
      </x:c>
      <x:c r="C21" s="17" t="str">
        <x:v>Kg Tengah Tebrau</x:v>
      </x:c>
      <x:c r="D21" s="17" t="str">
        <x:v>COMMUNITY</x:v>
      </x:c>
      <x:c r="E21" s="24" t="b">
        <x:v>0</x:v>
      </x:c>
      <x:c r="F21" s="17" t="n">
        <x:v>103.76595541</x:v>
      </x:c>
      <x:c r="G21" s="17" t="n">
        <x:v>1.51143829</x:v>
      </x:c>
      <x:c r="H21" s="17" t="str">
        <x:v>MyGeoName official Johor gazette point (Kg Tengah, JB context)</x:v>
      </x:c>
      <x:c r="I21" s="17" t="str">
        <x:v>POINT_CANDIDATE; POLYGON_OPEN</x:v>
      </x:c>
      <x:c r="J21" s="17" t="str"/>
      <x:c r="K21" s="17" t="str">
        <x:v>Johor gazette has multiple Kg Tengah entries; Tebrau/event context used to retain this candidate, not silently merge alternatives.</x:v>
      </x:c>
      <x:c r="L21" s="17" t="str">
        <x:v>Manual identity confirmation before polygon closure.</x:v>
      </x:c>
      <x:c r="M21" s="17" t="n">
        <x:f>COUNTIF('09_2022_Event_Master'!$E$2:$E$42,A21)</x:f>
        <x:v>1</x:v>
      </x:c>
    </x:row>
    <x:row r="22">
      <x:c r="A22" s="17" t="str">
        <x:v>S2022-021</x:v>
      </x:c>
      <x:c r="B22" s="17" t="str">
        <x:v>Kampung Pasir Tebrau</x:v>
      </x:c>
      <x:c r="C22" s="17" t="str">
        <x:v>Kg Pasir Tebrau</x:v>
      </x:c>
      <x:c r="D22" s="17" t="str">
        <x:v>COMMUNITY</x:v>
      </x:c>
      <x:c r="E22" s="24" t="b">
        <x:v>1</x:v>
      </x:c>
      <x:c r="F22" s="17" t="n">
        <x:v>103.74288131</x:v>
      </x:c>
      <x:c r="G22" s="17" t="n">
        <x:v>1.54457461</x:v>
      </x:c>
      <x:c r="H22" s="17" t="str">
        <x:v>MyGeoName Johor official gazette point</x:v>
      </x:c>
      <x:c r="I22" s="17" t="str">
        <x:v>POINT_READY; POLYGON_OPEN</x:v>
      </x:c>
      <x:c r="J22" s="17" t="str"/>
      <x:c r="K22" s="17" t="str">
        <x:v>Official point defensible; no exact community polygon frozen.</x:v>
      </x:c>
      <x:c r="L22" s="17" t="str">
        <x:v>Seek named boundary.</x:v>
      </x:c>
      <x:c r="M22" s="17" t="n">
        <x:f>COUNTIF('09_2022_Event_Master'!$E$2:$E$42,A22)</x:f>
        <x:v>1</x:v>
      </x:c>
    </x:row>
    <x:row r="23">
      <x:c r="A23" s="17" t="str">
        <x:v>S2022-022</x:v>
      </x:c>
      <x:c r="B23" s="17" t="str">
        <x:v>Kampung Paya Kenangan</x:v>
      </x:c>
      <x:c r="C23" s="17" t="str">
        <x:v>Kg Paya Kenangan</x:v>
      </x:c>
      <x:c r="D23" s="17" t="str">
        <x:v>COMMUNITY</x:v>
      </x:c>
      <x:c r="E23" s="24" t="b">
        <x:v>1</x:v>
      </x:c>
      <x:c r="F23" s="17" t="n">
        <x:v>103.74961954</x:v>
      </x:c>
      <x:c r="G23" s="17" t="n">
        <x:v>1.5403203</x:v>
      </x:c>
      <x:c r="H23" s="17" t="str">
        <x:v>MyGeoName Johor official gazette point</x:v>
      </x:c>
      <x:c r="I23" s="17" t="str">
        <x:v>POINT_READY; POLYGON_OPEN</x:v>
      </x:c>
      <x:c r="J23" s="17" t="str"/>
      <x:c r="K23" s="17" t="str">
        <x:v>Official point defensible; no exact community polygon frozen.</x:v>
      </x:c>
      <x:c r="L23" s="17" t="str">
        <x:v>Seek named boundary.</x:v>
      </x:c>
      <x:c r="M23" s="17" t="n">
        <x:f>COUNTIF('09_2022_Event_Master'!$E$2:$E$42,A23)</x:f>
        <x:v>1</x:v>
      </x:c>
    </x:row>
    <x:row r="24">
      <x:c r="A24" s="17" t="str">
        <x:v>S2022-023</x:v>
      </x:c>
      <x:c r="B24" s="17" t="str">
        <x:v>Kampung Bunga Ros</x:v>
      </x:c>
      <x:c r="C24" s="17" t="str">
        <x:v>Kg Bunga Ros</x:v>
      </x:c>
      <x:c r="D24" s="17" t="str">
        <x:v>COMMUNITY</x:v>
      </x:c>
      <x:c r="E24" s="24" t="b">
        <x:v>1</x:v>
      </x:c>
      <x:c r="F24" s="17" t="n">
        <x:v>103.75965347</x:v>
      </x:c>
      <x:c r="G24" s="17" t="n">
        <x:v>1.53411714</x:v>
      </x:c>
      <x:c r="H24" s="17" t="str">
        <x:v>R012 official MyGeoName source</x:v>
      </x:c>
      <x:c r="I24" s="17" t="str">
        <x:v>POINT_READY; HF37_LINK_CONFLICT; POLYGON_OPEN</x:v>
      </x:c>
      <x:c r="J24" s="17" t="str"/>
      <x:c r="K24" s="17" t="str">
        <x:v>Official Kampung Bunga Ros point conflicts with legacy HF37/Taman Bunga Ros coordinate. They are not auto-merged.</x:v>
      </x:c>
      <x:c r="L24" s="17" t="str">
        <x:v>Preserve official village point and flag legacy-reference conflict.</x:v>
      </x:c>
      <x:c r="M24" s="17" t="n">
        <x:f>COUNTIF('09_2022_Event_Master'!$E$2:$E$42,A24)</x:f>
        <x:v>1</x:v>
      </x:c>
    </x:row>
    <x:row r="25">
      <x:c r="A25" s="17" t="str">
        <x:v>S2022-024</x:v>
      </x:c>
      <x:c r="B25" s="17" t="str">
        <x:v>Puteri Harbour Iskandar Puteri</x:v>
      </x:c>
      <x:c r="C25" s="17" t="str">
        <x:v>Puteri Harbour</x:v>
      </x:c>
      <x:c r="D25" s="17" t="str">
        <x:v>AREA</x:v>
      </x:c>
      <x:c r="E25" s="24" t="b">
        <x:v>1</x:v>
      </x:c>
      <x:c r="F25" s="17" t="n">
        <x:v>103.66077</x:v>
      </x:c>
      <x:c r="G25" s="17" t="n">
        <x:v>1.414074</x:v>
      </x:c>
      <x:c r="H25" s="17" t="str">
        <x:v>R012 fixed HF39 coordinate</x:v>
      </x:c>
      <x:c r="I25" s="17" t="str">
        <x:v>POINT_READY; POLYGON_OPEN</x:v>
      </x:c>
      <x:c r="J25" s="17" t="str"/>
      <x:c r="K25" s="17" t="str">
        <x:v>Area-level event; no exact inundation polygon frozen.</x:v>
      </x:c>
      <x:c r="L25" s="17" t="str">
        <x:v>Keep area point; no arbitrary hull.</x:v>
      </x:c>
      <x:c r="M25" s="17" t="n">
        <x:f>COUNTIF('09_2022_Event_Master'!$E$2:$E$42,A25)</x:f>
        <x:v>1</x:v>
      </x:c>
    </x:row>
    <x:row r="26">
      <x:c r="A26" s="17" t="str">
        <x:v>S2022-025</x:v>
      </x:c>
      <x:c r="B26" s="17" t="str">
        <x:v>Kampung Sentosa Barat</x:v>
      </x:c>
      <x:c r="C26" s="17" t="str">
        <x:v>Kg Sentosa Barat</x:v>
      </x:c>
      <x:c r="D26" s="17" t="str">
        <x:v>COMMUNITY</x:v>
      </x:c>
      <x:c r="E26" s="24" t="b">
        <x:v>0</x:v>
      </x:c>
      <x:c r="F26" s="17"/>
      <x:c r="G26" s="17"/>
      <x:c r="H26" s="17" t="str">
        <x:v>R014 2021 identity-ready object</x:v>
      </x:c>
      <x:c r="I26" s="17" t="str">
        <x:v>IDENTITY_READY; POINT_OPEN</x:v>
      </x:c>
      <x:c r="J26" s="17" t="str"/>
      <x:c r="K26" s="17" t="str">
        <x:v>Repeated event identity is strong, but no strict traceable point/boundary was frozen.</x:v>
      </x:c>
      <x:c r="L26" s="17" t="str">
        <x:v>Continue official gazetteer/planning search.</x:v>
      </x:c>
      <x:c r="M26" s="17" t="n">
        <x:f>COUNTIF('09_2022_Event_Master'!$E$2:$E$42,A26)</x:f>
        <x:v>1</x:v>
      </x:c>
    </x:row>
    <x:row r="27">
      <x:c r="A27" s="17" t="str">
        <x:v>S2022-026</x:v>
      </x:c>
      <x:c r="B27" s="17" t="str">
        <x:v>Kampung Plentong Baru</x:v>
      </x:c>
      <x:c r="C27" s="17" t="str">
        <x:v>Kg Plentong Baru</x:v>
      </x:c>
      <x:c r="D27" s="17" t="str">
        <x:v>COMMUNITY</x:v>
      </x:c>
      <x:c r="E27" s="24" t="b">
        <x:v>1</x:v>
      </x:c>
      <x:c r="F27" s="17" t="n">
        <x:v>103.8166885</x:v>
      </x:c>
      <x:c r="G27" s="17" t="n">
        <x:v>1.5179158</x:v>
      </x:c>
      <x:c r="H27" s="17" t="str">
        <x:v>R012 fixed HF13 coordinate</x:v>
      </x:c>
      <x:c r="I27" s="17" t="str">
        <x:v>POINT_READY; POLYGON_OPEN</x:v>
      </x:c>
      <x:c r="J27" s="17" t="str"/>
      <x:c r="K27" s="17" t="str">
        <x:v>Fixed point available; exact community polygon not frozen.</x:v>
      </x:c>
      <x:c r="L27" s="17" t="str">
        <x:v>Seek exact named boundary.</x:v>
      </x:c>
      <x:c r="M27" s="17" t="n">
        <x:f>COUNTIF('09_2022_Event_Master'!$E$2:$E$42,A27)</x:f>
        <x:v>1</x:v>
      </x:c>
    </x:row>
    <x:row r="28">
      <x:c r="A28" s="17" t="str">
        <x:v>S2022-027</x:v>
      </x:c>
      <x:c r="B28" s="17" t="str">
        <x:v>Kampung Dato' Sulaiman Menteri</x:v>
      </x:c>
      <x:c r="C28" s="17" t="str">
        <x:v>Kg Dato Sulaiman Menteri</x:v>
      </x:c>
      <x:c r="D28" s="17" t="str">
        <x:v>COMMUNITY</x:v>
      </x:c>
      <x:c r="E28" s="24" t="b">
        <x:v>1</x:v>
      </x:c>
      <x:c r="F28" s="17" t="n">
        <x:v>103.76665</x:v>
      </x:c>
      <x:c r="G28" s="17" t="n">
        <x:v>1.50759</x:v>
      </x:c>
      <x:c r="H28" s="17" t="str">
        <x:v>OSM locality node / prior R012 identity</x:v>
      </x:c>
      <x:c r="I28" s="17" t="str">
        <x:v>POINT_READY; POLYGON_OPEN</x:v>
      </x:c>
      <x:c r="J28" s="17" t="str"/>
      <x:c r="K28" s="17" t="str">
        <x:v>Point identity defensible; no exact closed community boundary frozen.</x:v>
      </x:c>
      <x:c r="L28" s="17" t="str">
        <x:v>Seek named closed boundary.</x:v>
      </x:c>
      <x:c r="M28" s="17" t="n">
        <x:f>COUNTIF('09_2022_Event_Master'!$E$2:$E$42,A28)</x:f>
        <x:v>1</x:v>
      </x:c>
    </x:row>
    <x:row r="29">
      <x:c r="A29" s="17" t="str">
        <x:v>S2022-028</x:v>
      </x:c>
      <x:c r="B29" s="17" t="str">
        <x:v>Tabika Kemas, Skudai Kiri</x:v>
      </x:c>
      <x:c r="C29" s="17" t="str">
        <x:v>Tabika Kemas Skudai Kiri</x:v>
      </x:c>
      <x:c r="D29" s="17" t="str">
        <x:v>FACILITY</x:v>
      </x:c>
      <x:c r="E29" s="24" t="b">
        <x:v>0</x:v>
      </x:c>
      <x:c r="F29" s="17"/>
      <x:c r="G29" s="17"/>
      <x:c r="H29" s="17" t="str">
        <x:v>25 Sep news/JBPM event evidence</x:v>
      </x:c>
      <x:c r="I29" s="17" t="str">
        <x:v>FACILITY_POINT_OPEN</x:v>
      </x:c>
      <x:c r="J29" s="17" t="str"/>
      <x:c r="K29" s="17" t="str">
        <x:v>Facility name is specific but exact building coordinate/parcel was not frozen in this pass.</x:v>
      </x:c>
      <x:c r="L29" s="17" t="str">
        <x:v>Resolve exact facility building before closure.</x:v>
      </x:c>
      <x:c r="M29" s="17" t="n">
        <x:f>COUNTIF('09_2022_Event_Master'!$E$2:$E$42,A29)</x:f>
        <x:v>1</x:v>
      </x:c>
    </x:row>
    <x:row r="30">
      <x:c r="A30" s="17" t="str">
        <x:v>S2022-029</x:v>
      </x:c>
      <x:c r="B30" s="17" t="str">
        <x:v>Kampung Ubi Baru</x:v>
      </x:c>
      <x:c r="C30" s="17" t="str">
        <x:v>Kampung Ubi / Kg Ubi</x:v>
      </x:c>
      <x:c r="D30" s="17" t="str">
        <x:v>COMMUNITY</x:v>
      </x:c>
      <x:c r="E30" s="24" t="b">
        <x:v>1</x:v>
      </x:c>
      <x:c r="F30" s="17" t="n">
        <x:v>103.75707329</x:v>
      </x:c>
      <x:c r="G30" s="17" t="n">
        <x:v>1.5191611</x:v>
      </x:c>
      <x:c r="H30" s="17" t="str">
        <x:v>MyGeoName Johor official gazette point</x:v>
      </x:c>
      <x:c r="I30" s="17" t="str">
        <x:v>POINT_READY; POLYGON_OPEN</x:v>
      </x:c>
      <x:c r="J30" s="17" t="str"/>
      <x:c r="K30" s="17" t="str">
        <x:v>25 Sep source label 'Kampung Ubi' normalized to official Kampung Ubi Baru with alias retained.</x:v>
      </x:c>
      <x:c r="L30" s="17" t="str">
        <x:v>Seek exact named boundary.</x:v>
      </x:c>
      <x:c r="M30" s="17" t="n">
        <x:f>COUNTIF('09_2022_Event_Master'!$E$2:$E$42,A30)</x:f>
        <x:v>1</x:v>
      </x:c>
    </x:row>
    <x:row r="31">
      <x:c r="A31" s="17" t="str">
        <x:v>S2022-030</x:v>
      </x:c>
      <x:c r="B31" s="17" t="str">
        <x:v>Kampung Tiram Duku</x:v>
      </x:c>
      <x:c r="C31" s="17" t="str">
        <x:v>Kg Tiram Duku</x:v>
      </x:c>
      <x:c r="D31" s="17" t="str">
        <x:v>COMMUNITY</x:v>
      </x:c>
      <x:c r="E31" s="24" t="b">
        <x:v>1</x:v>
      </x:c>
      <x:c r="F31" s="17" t="n">
        <x:v>103.57953798</x:v>
      </x:c>
      <x:c r="G31" s="17" t="n">
        <x:v>1.38836699</x:v>
      </x:c>
      <x:c r="H31" s="17" t="str">
        <x:v>MyGeoName Johor official gazette point</x:v>
      </x:c>
      <x:c r="I31" s="17" t="str">
        <x:v>POINT_READY; POLYGON_OPEN</x:v>
      </x:c>
      <x:c r="J31" s="17" t="str"/>
      <x:c r="K31" s="17" t="str">
        <x:v>Official locality point defensible; no event-area polygon frozen.</x:v>
      </x:c>
      <x:c r="L31" s="17" t="str">
        <x:v>Seek exact named boundary.</x:v>
      </x:c>
      <x:c r="M31" s="17" t="n">
        <x:f>COUNTIF('09_2022_Event_Master'!$E$2:$E$42,A31)</x:f>
        <x:v>1</x:v>
      </x:c>
    </x:row>
    <x:row r="32">
      <x:c r="A32" s="17" t="str">
        <x:v>S2022-031</x:v>
      </x:c>
      <x:c r="B32" s="17" t="str">
        <x:v>Kampung Peladang</x:v>
      </x:c>
      <x:c r="C32" s="17" t="str">
        <x:v>Kg Peladang</x:v>
      </x:c>
      <x:c r="D32" s="17" t="str">
        <x:v>COMMUNITY</x:v>
      </x:c>
      <x:c r="E32" s="24" t="b">
        <x:v>0</x:v>
      </x:c>
      <x:c r="F32" s="17"/>
      <x:c r="G32" s="17"/>
      <x:c r="H32" s="17" t="str">
        <x:v>25 Sep news event evidence</x:v>
      </x:c>
      <x:c r="I32" s="17" t="str">
        <x:v>POINT_OPEN</x:v>
      </x:c>
      <x:c r="J32" s="17" t="str"/>
      <x:c r="K32" s="17" t="str">
        <x:v>No sufficiently reliable Johor Bahru coordinate/boundary frozen in this pass.</x:v>
      </x:c>
      <x:c r="L32" s="17" t="str">
        <x:v>Retain open; resolve official locality identity.</x:v>
      </x:c>
      <x:c r="M32" s="17" t="n">
        <x:f>COUNTIF('09_2022_Event_Master'!$E$2:$E$42,A32)</x:f>
        <x:v>1</x:v>
      </x:c>
    </x:row>
    <x:row r="33">
      <x:c r="A33" s="17" t="str">
        <x:v>S2022-032</x:v>
      </x:c>
      <x:c r="B33" s="17" t="str">
        <x:v>Kampung Pekajang</x:v>
      </x:c>
      <x:c r="C33" s="17" t="str">
        <x:v>Kg Pekajang / Kg Pekejang</x:v>
      </x:c>
      <x:c r="D33" s="17" t="str">
        <x:v>COMMUNITY</x:v>
      </x:c>
      <x:c r="E33" s="24" t="b">
        <x:v>0</x:v>
      </x:c>
      <x:c r="F33" s="17" t="n">
        <x:v>103.55904663</x:v>
      </x:c>
      <x:c r="G33" s="17" t="n">
        <x:v>1.36899644</x:v>
      </x:c>
      <x:c r="H33" s="17" t="str">
        <x:v>MyGeoName Johor gazette 'Kg. Pekejang' candidate</x:v>
      </x:c>
      <x:c r="I33" s="17" t="str">
        <x:v>POINT_CANDIDATE; POLYGON_OPEN</x:v>
      </x:c>
      <x:c r="J33" s="17" t="str"/>
      <x:c r="K33" s="17" t="str">
        <x:v>Source says Pekajang while gazette also contains Pekajang Bengkok/Lurus and Pekejang; identity requires caution.</x:v>
      </x:c>
      <x:c r="L33" s="17" t="str">
        <x:v>Retain candidate; do not auto-merge sub-villages.</x:v>
      </x:c>
      <x:c r="M33" s="17" t="n">
        <x:f>COUNTIF('09_2022_Event_Master'!$E$2:$E$42,A33)</x:f>
        <x:v>1</x:v>
      </x:c>
    </x:row>
    <x:row r="34">
      <x:c r="A34" s="17" t="str">
        <x:v>S2022-033</x:v>
      </x:c>
      <x:c r="B34" s="17" t="str">
        <x:v>Sanctuary Garden, Tebrau</x:v>
      </x:c>
      <x:c r="C34" s="17" t="str">
        <x:v>Sanctuary Garden</x:v>
      </x:c>
      <x:c r="D34" s="17" t="str">
        <x:v>RESIDENTIAL</x:v>
      </x:c>
      <x:c r="E34" s="24" t="b">
        <x:v>0</x:v>
      </x:c>
      <x:c r="F34" s="17"/>
      <x:c r="G34" s="17"/>
      <x:c r="H34" s="17" t="str">
        <x:v>7 Nov Astro Awani event evidence</x:v>
      </x:c>
      <x:c r="I34" s="17" t="str">
        <x:v>POINT_OPEN; POLYGON_OPEN</x:v>
      </x:c>
      <x:c r="J34" s="17" t="str"/>
      <x:c r="K34" s="17" t="str">
        <x:v>Named residential location is event-valid; exact public boundary not frozen.</x:v>
      </x:c>
      <x:c r="L34" s="17" t="str">
        <x:v>Resolve exact estate point/boundary.</x:v>
      </x:c>
      <x:c r="M34" s="17" t="n">
        <x:f>COUNTIF('09_2022_Event_Master'!$E$2:$E$42,A34)</x:f>
        <x:v>1</x:v>
      </x:c>
    </x:row>
    <x:row r="35">
      <x:c r="A35" s="17" t="str">
        <x:v>S2022-034</x:v>
      </x:c>
      <x:c r="B35" s="17" t="str">
        <x:v>Kampung Melayu Majidee</x:v>
      </x:c>
      <x:c r="C35" s="17" t="str">
        <x:v>Kg Melayu Majidee</x:v>
      </x:c>
      <x:c r="D35" s="17" t="str">
        <x:v>COMMUNITY</x:v>
      </x:c>
      <x:c r="E35" s="24" t="b">
        <x:v>1</x:v>
      </x:c>
      <x:c r="F35" s="17" t="n">
        <x:v>103.75192484</x:v>
      </x:c>
      <x:c r="G35" s="17" t="n">
        <x:v>1.51174352</x:v>
      </x:c>
      <x:c r="H35" s="17" t="str">
        <x:v>R014 2021 audited MyGeoName point</x:v>
      </x:c>
      <x:c r="I35" s="17" t="str">
        <x:v>POINT_READY; POLYGON_OPEN</x:v>
      </x:c>
      <x:c r="J35" s="17" t="str"/>
      <x:c r="K35" s="17" t="str">
        <x:v>Do not substitute broader Majidee reference.</x:v>
      </x:c>
      <x:c r="L35" s="17" t="str">
        <x:v>Seek exact community boundary.</x:v>
      </x:c>
      <x:c r="M35" s="17" t="n">
        <x:f>COUNTIF('09_2022_Event_Master'!$E$2:$E$42,A35)</x:f>
        <x:v>1</x:v>
      </x:c>
    </x:row>
    <x:row r="36">
      <x:c r="A36" s="17" t="str">
        <x:v>S2022-035</x:v>
      </x:c>
      <x:c r="B36" s="17" t="str">
        <x:v>Jalan Keris Dua, Taman Sri Tebrau</x:v>
      </x:c>
      <x:c r="C36" s="17" t="str">
        <x:v>Jalan Keris 2, Taman Sri Tebrau</x:v>
      </x:c>
      <x:c r="D36" s="17" t="str">
        <x:v>ROAD</x:v>
      </x:c>
      <x:c r="E36" s="24" t="b">
        <x:v>0</x:v>
      </x:c>
      <x:c r="F36" s="17"/>
      <x:c r="G36" s="17"/>
      <x:c r="H36" s="17" t="str">
        <x:v>7 Nov Astro Awani event evidence</x:v>
      </x:c>
      <x:c r="I36" s="17" t="str">
        <x:v>ROAD_SEGMENT_OPEN</x:v>
      </x:c>
      <x:c r="J36" s="17" t="str"/>
      <x:c r="K36" s="17" t="str">
        <x:v>40+ houses affected around named road; exact flooded road segment not supplied.</x:v>
      </x:c>
      <x:c r="L36" s="17" t="str">
        <x:v>Keep road-specific object open.</x:v>
      </x:c>
      <x:c r="M36" s="17" t="n">
        <x:f>COUNTIF('09_2022_Event_Master'!$E$2:$E$42,A36)</x:f>
        <x:v>1</x:v>
      </x:c>
    </x:row>
    <x:row r="37">
      <x:c r="A37" s="17" t="str">
        <x:v>S2022-036</x:v>
      </x:c>
      <x:c r="B37" s="17" t="str">
        <x:v>Kampung Kurnia, Larkin</x:v>
      </x:c>
      <x:c r="C37" s="17" t="str">
        <x:v>Kg Kurnia, Larkin</x:v>
      </x:c>
      <x:c r="D37" s="17" t="str">
        <x:v>COMMUNITY</x:v>
      </x:c>
      <x:c r="E37" s="24" t="b">
        <x:v>0</x:v>
      </x:c>
      <x:c r="F37" s="17"/>
      <x:c r="G37" s="17"/>
      <x:c r="H37" s="17" t="str">
        <x:v>7 Nov Astro Awani event evidence</x:v>
      </x:c>
      <x:c r="I37" s="17" t="str">
        <x:v>POINT_OPEN; POLYGON_OPEN</x:v>
      </x:c>
      <x:c r="J37" s="17" t="str"/>
      <x:c r="K37" s="17" t="str">
        <x:v>Exact public point/boundary not frozen.</x:v>
      </x:c>
      <x:c r="L37" s="17" t="str">
        <x:v>Resolve official locality source.</x:v>
      </x:c>
      <x:c r="M37" s="17" t="n">
        <x:f>COUNTIF('09_2022_Event_Master'!$E$2:$E$42,A37)</x:f>
        <x:v>1</x:v>
      </x:c>
    </x:row>
    <x:row r="38">
      <x:c r="A38" s="17" t="str">
        <x:v>S2022-037</x:v>
      </x:c>
      <x:c r="B38" s="17" t="str">
        <x:v>Taman Melodies</x:v>
      </x:c>
      <x:c r="C38" s="17" t="str">
        <x:v>Taman Melodies</x:v>
      </x:c>
      <x:c r="D38" s="17" t="str">
        <x:v>RESIDENTIAL</x:v>
      </x:c>
      <x:c r="E38" s="24" t="b">
        <x:v>1</x:v>
      </x:c>
      <x:c r="F38" s="17" t="n">
        <x:v>103.7613894</x:v>
      </x:c>
      <x:c r="G38" s="17" t="n">
        <x:v>1.4901965</x:v>
      </x:c>
      <x:c r="H38" s="17" t="str">
        <x:v>R012 fixed HF34 coordinate</x:v>
      </x:c>
      <x:c r="I38" s="17" t="str">
        <x:v>POINT_READY; POLYGON_OPEN</x:v>
      </x:c>
      <x:c r="J38" s="17" t="str"/>
      <x:c r="K38" s="17" t="str">
        <x:v>7 Nov flood impact independently reported; exact neighborhood/flood polygon not frozen.</x:v>
      </x:c>
      <x:c r="L38" s="17" t="str">
        <x:v>Seek named residential boundary.</x:v>
      </x:c>
      <x:c r="M38" s="17" t="n">
        <x:f>COUNTIF('09_2022_Event_Master'!$E$2:$E$42,A38)</x:f>
        <x:v>1</x:v>
      </x:c>
    </x:row>
  </x:sheetData>
  <x:pageMargins left="0.7" right="0.7" top="0.75" bottom="0.75" header="0.3" footer="0.3"/>
</x:worksheet>
</file>

<file path=xl/worksheets/sheet14.xml><?xml version="1.0" encoding="utf-8"?>
<x:worksheet xmlns:x="http://schemas.openxmlformats.org/spreadsheetml/2006/main">
  <x:sheetFormatPr defaultRowHeight="15"/>
  <x:cols>
    <x:col min="1" max="1" width="16" hidden="0" customWidth="1"/>
    <x:col min="2" max="2" width="37" hidden="0" customWidth="1"/>
    <x:col min="3" max="3" width="20" hidden="0" customWidth="1"/>
    <x:col min="4" max="4" width="36" hidden="0" customWidth="1"/>
    <x:col min="5" max="5" width="60" hidden="0" customWidth="1"/>
    <x:col min="6" max="6" width="60" hidden="0" customWidth="1"/>
    <x:col min="7" max="7" width="45" hidden="0" customWidth="1"/>
  </x:cols>
  <x:sheetData>
    <x:row r="1">
      <x:c r="A1" s="33" t="str">
        <x:v>Spatial_Object_Key</x:v>
      </x:c>
      <x:c r="B1" s="33" t="str">
        <x:v>Canonical_Name</x:v>
      </x:c>
      <x:c r="C1" s="33" t="str">
        <x:v>Object_Type</x:v>
      </x:c>
      <x:c r="D1" s="33" t="str">
        <x:v>Current_Status</x:v>
      </x:c>
      <x:c r="E1" s="33" t="str">
        <x:v>Key_Conflict_or_Gap</x:v>
      </x:c>
      <x:c r="F1" s="33" t="str">
        <x:v>Next_Spatial_Action</x:v>
      </x:c>
      <x:c r="G1" s="33" t="str">
        <x:v>Decision</x:v>
      </x:c>
    </x:row>
    <x:row r="2">
      <x:c r="A2" s="17" t="str">
        <x:v>S2022-001</x:v>
      </x:c>
      <x:c r="B2" s="17" t="str">
        <x:v>Sungai Tiram PPS catchment</x:v>
      </x:c>
      <x:c r="C2" s="17" t="str">
        <x:v>AREA/COMMUNITY</x:v>
      </x:c>
      <x:c r="D2" s="17" t="str">
        <x:v>POINT_REFERENCE; EVENT_FOOTPRINT_OPEN</x:v>
      </x:c>
      <x:c r="E2" s="17" t="str">
        <x:v>PPS location confirms affected Sungai Tiram context, but exact inundated subarea is not specified.</x:v>
      </x:c>
      <x:c r="F2" s="17" t="str">
        <x:v>Retain area-reference point; do not infer a flood polygon from PPS location.</x:v>
      </x:c>
      <x:c r="G2" s="17" t="str">
        <x:v>OPEN - retain evidence; no fabricated closure</x:v>
      </x:c>
    </x:row>
    <x:row r="3">
      <x:c r="A3" s="17" t="str">
        <x:v>S2022-003</x:v>
      </x:c>
      <x:c r="B3" s="17" t="str">
        <x:v>Kampung Pasir</x:v>
      </x:c>
      <x:c r="C3" s="17" t="str">
        <x:v>COMMUNITY</x:v>
      </x:c>
      <x:c r="D3" s="17" t="str">
        <x:v>POINT_READY; POLYGON_OPEN</x:v>
      </x:c>
      <x:c r="E3" s="17" t="str">
        <x:v>Fixed reference point is defensible; no exact event/community flood polygon frozen.</x:v>
      </x:c>
      <x:c r="F3" s="17" t="str">
        <x:v>Continue exact community-boundary search.</x:v>
      </x:c>
      <x:c r="G3" s="17" t="str">
        <x:v>OPEN - retain evidence; no fabricated closure</x:v>
      </x:c>
    </x:row>
    <x:row r="4">
      <x:c r="A4" s="17" t="str">
        <x:v>S2022-004</x:v>
      </x:c>
      <x:c r="B4" s="17" t="str">
        <x:v>Jalan Kota Tinggi (FT003)</x:v>
      </x:c>
      <x:c r="C4" s="17" t="str">
        <x:v>ROAD</x:v>
      </x:c>
      <x:c r="D4" s="17" t="str">
        <x:v>ROAD_SEGMENT_OPEN</x:v>
      </x:c>
      <x:c r="E4" s="17" t="str">
        <x:v>JPS identifies the road, but not the exact flooded start/end chainage.</x:v>
      </x:c>
      <x:c r="F4" s="17" t="str">
        <x:v>Keep linear event object open; no whole-road buffer.</x:v>
      </x:c>
      <x:c r="G4" s="17" t="str">
        <x:v>OPEN - retain evidence; no fabricated closure</x:v>
      </x:c>
    </x:row>
    <x:row r="5">
      <x:c r="A5" s="17" t="str">
        <x:v>S2022-005</x:v>
      </x:c>
      <x:c r="B5" s="17" t="str">
        <x:v>Kampung Paya Mengkuang</x:v>
      </x:c>
      <x:c r="C5" s="17" t="str">
        <x:v>COMMUNITY</x:v>
      </x:c>
      <x:c r="D5" s="17" t="str">
        <x:v>POINT_READY; POLYGON_OPEN</x:v>
      </x:c>
      <x:c r="E5" s="17" t="str">
        <x:v>Two official/gazetteer Paya Mengkuang point variants exist; the event label is retained with Tanjung Kupang/Gelang Patah context.</x:v>
      </x:c>
      <x:c r="F5" s="17" t="str">
        <x:v>Use official point as representative reference; do not close polygon until boundary identity is confirmed.</x:v>
      </x:c>
      <x:c r="G5" s="17" t="str">
        <x:v>OPEN - retain evidence; no fabricated closure</x:v>
      </x:c>
    </x:row>
    <x:row r="6">
      <x:c r="A6" s="17" t="str">
        <x:v>S2022-006</x:v>
      </x:c>
      <x:c r="B6" s="17" t="str">
        <x:v>Jalan Ayer Molek</x:v>
      </x:c>
      <x:c r="C6" s="17" t="str">
        <x:v>ROAD</x:v>
      </x:c>
      <x:c r="D6" s="17" t="str">
        <x:v>POINT_REFERENCE; ROAD_SEGMENT_OPEN</x:v>
      </x:c>
      <x:c r="E6" s="17" t="str">
        <x:v>Road reference point is frozen, but exact 2 Aug flooded segment is not.</x:v>
      </x:c>
      <x:c r="F6" s="17" t="str">
        <x:v>Keep event segment open.</x:v>
      </x:c>
      <x:c r="G6" s="17" t="str">
        <x:v>OPEN - retain evidence; no fabricated closure</x:v>
      </x:c>
    </x:row>
    <x:row r="7">
      <x:c r="A7" s="17" t="str">
        <x:v>S2022-008</x:v>
      </x:c>
      <x:c r="B7" s="17" t="str">
        <x:v>Jalan Tun Abdul Razak</x:v>
      </x:c>
      <x:c r="C7" s="17" t="str">
        <x:v>ROAD</x:v>
      </x:c>
      <x:c r="D7" s="17" t="str">
        <x:v>POINT_REFERENCE; ROAD_SEGMENT_OPEN</x:v>
      </x:c>
      <x:c r="E7" s="17" t="str">
        <x:v>Exact 2 Aug flooded segment length not stated.</x:v>
      </x:c>
      <x:c r="F7" s="17" t="str">
        <x:v>Keep event segment open.</x:v>
      </x:c>
      <x:c r="G7" s="17" t="str">
        <x:v>OPEN - retain evidence; no fabricated closure</x:v>
      </x:c>
    </x:row>
    <x:row r="8">
      <x:c r="A8" s="17" t="str">
        <x:v>S2022-009</x:v>
      </x:c>
      <x:c r="B8" s="17" t="str">
        <x:v>Jalan Kolam Ayer</x:v>
      </x:c>
      <x:c r="C8" s="17" t="str">
        <x:v>ROAD</x:v>
      </x:c>
      <x:c r="D8" s="17" t="str">
        <x:v>POINT_REFERENCE; ROAD_SEGMENT_OPEN</x:v>
      </x:c>
      <x:c r="E8" s="17" t="str">
        <x:v>Alias spelling retained; exact 2 Aug flooded road segment not stated.</x:v>
      </x:c>
      <x:c r="F8" s="17" t="str">
        <x:v>Keep event segment open.</x:v>
      </x:c>
      <x:c r="G8" s="17" t="str">
        <x:v>OPEN - retain evidence; no fabricated closure</x:v>
      </x:c>
    </x:row>
    <x:row r="9">
      <x:c r="A9" s="17" t="str">
        <x:v>S2022-010</x:v>
      </x:c>
      <x:c r="B9" s="17" t="str">
        <x:v>Jalan Yahya Awal</x:v>
      </x:c>
      <x:c r="C9" s="17" t="str">
        <x:v>ROAD</x:v>
      </x:c>
      <x:c r="D9" s="17" t="str">
        <x:v>POINT_REFERENCE; ROAD_SEGMENT_OPEN</x:v>
      </x:c>
      <x:c r="E9" s="17" t="str">
        <x:v>Exact flooded segment not stated.</x:v>
      </x:c>
      <x:c r="F9" s="17" t="str">
        <x:v>Keep event segment open.</x:v>
      </x:c>
      <x:c r="G9" s="17" t="str">
        <x:v>OPEN - retain evidence; no fabricated closure</x:v>
      </x:c>
    </x:row>
    <x:row r="10">
      <x:c r="A10" s="17" t="str">
        <x:v>S2022-012</x:v>
      </x:c>
      <x:c r="B10" s="17" t="str">
        <x:v>Kampung Mohd Amin</x:v>
      </x:c>
      <x:c r="C10" s="17" t="str">
        <x:v>COMMUNITY</x:v>
      </x:c>
      <x:c r="D10" s="17" t="str">
        <x:v>POINT_READY; POLYGON_OPEN</x:v>
      </x:c>
      <x:c r="E10" s="17" t="str">
        <x:v>Source uses Kampung Baru Mohd Amin; canonical identity remains Kampung Mohd Amin with alias preserved.</x:v>
      </x:c>
      <x:c r="F10" s="17" t="str">
        <x:v>Seek exact named community boundary.</x:v>
      </x:c>
      <x:c r="G10" s="17" t="str">
        <x:v>OPEN - retain evidence; no fabricated closure</x:v>
      </x:c>
    </x:row>
    <x:row r="11">
      <x:c r="A11" s="17" t="str">
        <x:v>S2022-013</x:v>
      </x:c>
      <x:c r="B11" s="17" t="str">
        <x:v>Persiaran Abu Bakar Sultan</x:v>
      </x:c>
      <x:c r="C11" s="17" t="str">
        <x:v>ROAD</x:v>
      </x:c>
      <x:c r="D11" s="17" t="str">
        <x:v>POINT_REFERENCE; ROAD_SEGMENT_OPEN</x:v>
      </x:c>
      <x:c r="E11" s="17" t="str">
        <x:v>Road inundation reported but exact affected segment is not specified.</x:v>
      </x:c>
      <x:c r="F11" s="17" t="str">
        <x:v>Keep event segment open.</x:v>
      </x:c>
      <x:c r="G11" s="17" t="str">
        <x:v>OPEN - retain evidence; no fabricated closure</x:v>
      </x:c>
    </x:row>
    <x:row r="12">
      <x:c r="A12" s="17" t="str">
        <x:v>S2022-014</x:v>
      </x:c>
      <x:c r="B12" s="17" t="str">
        <x:v>Jalan Pantai Lido</x:v>
      </x:c>
      <x:c r="C12" s="17" t="str">
        <x:v>ROAD</x:v>
      </x:c>
      <x:c r="D12" s="17" t="str">
        <x:v>ROAD_SEGMENT_OPEN</x:v>
      </x:c>
      <x:c r="E12" s="17" t="str">
        <x:v>Directional road wording only; exact inundated chainage is absent.</x:v>
      </x:c>
      <x:c r="F12" s="17" t="str">
        <x:v>Do not buffer whole road.</x:v>
      </x:c>
      <x:c r="G12" s="17" t="str">
        <x:v>OPEN - retain evidence; no fabricated closure</x:v>
      </x:c>
    </x:row>
    <x:row r="13">
      <x:c r="A13" s="17" t="str">
        <x:v>S2022-015</x:v>
      </x:c>
      <x:c r="B13" s="17" t="str">
        <x:v>Jalan Mahmoodiah</x:v>
      </x:c>
      <x:c r="C13" s="17" t="str">
        <x:v>ROAD</x:v>
      </x:c>
      <x:c r="D13" s="17" t="str">
        <x:v>POINT_REFERENCE; ROAD_SEGMENT_OPEN</x:v>
      </x:c>
      <x:c r="E13" s="17" t="str">
        <x:v>Spelling normalized; exact affected segment absent.</x:v>
      </x:c>
      <x:c r="F13" s="17" t="str">
        <x:v>Keep road segment open.</x:v>
      </x:c>
      <x:c r="G13" s="17" t="str">
        <x:v>OPEN - retain evidence; no fabricated closure</x:v>
      </x:c>
    </x:row>
    <x:row r="14">
      <x:c r="A14" s="17" t="str">
        <x:v>S2022-016</x:v>
      </x:c>
      <x:c r="B14" s="17" t="str">
        <x:v>Jalan Seri Pelangi–Stulang Laut approach</x:v>
      </x:c>
      <x:c r="C14" s="17" t="str">
        <x:v>ROAD</x:v>
      </x:c>
      <x:c r="D14" s="17" t="str">
        <x:v>ROAD_SEGMENT_OPEN</x:v>
      </x:c>
      <x:c r="E14" s="17" t="str">
        <x:v>Directional road approach is documented; exact flooded segment is not.</x:v>
      </x:c>
      <x:c r="F14" s="17" t="str">
        <x:v>Retain as road-specific open object.</x:v>
      </x:c>
      <x:c r="G14" s="17" t="str">
        <x:v>OPEN - retain evidence; no fabricated closure</x:v>
      </x:c>
    </x:row>
    <x:row r="15">
      <x:c r="A15" s="17" t="str">
        <x:v>S2022-017</x:v>
      </x:c>
      <x:c r="B15" s="17" t="str">
        <x:v>Kampung Laut Batu 10, Skudai</x:v>
      </x:c>
      <x:c r="C15" s="17" t="str">
        <x:v>COMMUNITY</x:v>
      </x:c>
      <x:c r="D15" s="17" t="str">
        <x:v>POINT_READY; POLYGON_OPEN</x:v>
      </x:c>
      <x:c r="E15" s="17" t="str">
        <x:v>JPS wording includes both Kampung Laut and Kampung Laut Batu 10; normalized to one canonical Skudai object.</x:v>
      </x:c>
      <x:c r="F15" s="17" t="str">
        <x:v>Do not double-count two labels as two spatial objects.</x:v>
      </x:c>
      <x:c r="G15" s="17" t="str">
        <x:v>OPEN - retain evidence; no fabricated closure</x:v>
      </x:c>
    </x:row>
    <x:row r="16">
      <x:c r="A16" s="17" t="str">
        <x:v>S2022-018</x:v>
      </x:c>
      <x:c r="B16" s="17" t="str">
        <x:v>Kampung Maju Jaya</x:v>
      </x:c>
      <x:c r="C16" s="17" t="str">
        <x:v>COMMUNITY</x:v>
      </x:c>
      <x:c r="D16" s="17" t="str">
        <x:v>POINT_READY; POLYGON_OPEN</x:v>
      </x:c>
      <x:c r="E16" s="17" t="str">
        <x:v>Known recurrent location; exact 20 Aug analysis polygon not frozen.</x:v>
      </x:c>
      <x:c r="F16" s="17" t="str">
        <x:v>Seek exact community boundary.</x:v>
      </x:c>
      <x:c r="G16" s="17" t="str">
        <x:v>OPEN - retain evidence; no fabricated closure</x:v>
      </x:c>
    </x:row>
    <x:row r="17">
      <x:c r="A17" s="17" t="str">
        <x:v>S2022-019</x:v>
      </x:c>
      <x:c r="B17" s="17" t="str">
        <x:v>Jalan Seelong Jaya 2</x:v>
      </x:c>
      <x:c r="C17" s="17" t="str">
        <x:v>ROAD</x:v>
      </x:c>
      <x:c r="D17" s="17" t="str">
        <x:v>ROAD_SEGMENT_OPEN</x:v>
      </x:c>
      <x:c r="E17" s="17" t="str">
        <x:v>Exact segment geometry is absent.</x:v>
      </x:c>
      <x:c r="F17" s="17" t="str">
        <x:v>Keep road object open.</x:v>
      </x:c>
      <x:c r="G17" s="17" t="str">
        <x:v>OPEN - retain evidence; no fabricated closure</x:v>
      </x:c>
    </x:row>
    <x:row r="18">
      <x:c r="A18" s="17" t="str">
        <x:v>S2022-020</x:v>
      </x:c>
      <x:c r="B18" s="17" t="str">
        <x:v>Kampung Tengah Tebrau</x:v>
      </x:c>
      <x:c r="C18" s="17" t="str">
        <x:v>COMMUNITY</x:v>
      </x:c>
      <x:c r="D18" s="17" t="str">
        <x:v>POINT_CANDIDATE; POLYGON_OPEN</x:v>
      </x:c>
      <x:c r="E18" s="17" t="str">
        <x:v>Johor gazette has multiple Kg Tengah entries; Tebrau/event context used to retain this candidate, not silently merge alternatives.</x:v>
      </x:c>
      <x:c r="F18" s="17" t="str">
        <x:v>Manual identity confirmation before polygon closure.</x:v>
      </x:c>
      <x:c r="G18" s="17" t="str">
        <x:v>OPEN - retain evidence; no fabricated closure</x:v>
      </x:c>
    </x:row>
    <x:row r="19">
      <x:c r="A19" s="17" t="str">
        <x:v>S2022-021</x:v>
      </x:c>
      <x:c r="B19" s="17" t="str">
        <x:v>Kampung Pasir Tebrau</x:v>
      </x:c>
      <x:c r="C19" s="17" t="str">
        <x:v>COMMUNITY</x:v>
      </x:c>
      <x:c r="D19" s="17" t="str">
        <x:v>POINT_READY; POLYGON_OPEN</x:v>
      </x:c>
      <x:c r="E19" s="17" t="str">
        <x:v>Official point defensible; no exact community polygon frozen.</x:v>
      </x:c>
      <x:c r="F19" s="17" t="str">
        <x:v>Seek named boundary.</x:v>
      </x:c>
      <x:c r="G19" s="17" t="str">
        <x:v>OPEN - retain evidence; no fabricated closure</x:v>
      </x:c>
    </x:row>
    <x:row r="20">
      <x:c r="A20" s="17" t="str">
        <x:v>S2022-022</x:v>
      </x:c>
      <x:c r="B20" s="17" t="str">
        <x:v>Kampung Paya Kenangan</x:v>
      </x:c>
      <x:c r="C20" s="17" t="str">
        <x:v>COMMUNITY</x:v>
      </x:c>
      <x:c r="D20" s="17" t="str">
        <x:v>POINT_READY; POLYGON_OPEN</x:v>
      </x:c>
      <x:c r="E20" s="17" t="str">
        <x:v>Official point defensible; no exact community polygon frozen.</x:v>
      </x:c>
      <x:c r="F20" s="17" t="str">
        <x:v>Seek named boundary.</x:v>
      </x:c>
      <x:c r="G20" s="17" t="str">
        <x:v>OPEN - retain evidence; no fabricated closure</x:v>
      </x:c>
    </x:row>
    <x:row r="21">
      <x:c r="A21" s="17" t="str">
        <x:v>S2022-023</x:v>
      </x:c>
      <x:c r="B21" s="17" t="str">
        <x:v>Kampung Bunga Ros</x:v>
      </x:c>
      <x:c r="C21" s="17" t="str">
        <x:v>COMMUNITY</x:v>
      </x:c>
      <x:c r="D21" s="17" t="str">
        <x:v>POINT_READY; HF37_LINK_CONFLICT; POLYGON_OPEN</x:v>
      </x:c>
      <x:c r="E21" s="17" t="str">
        <x:v>Official Kampung Bunga Ros point conflicts with legacy HF37/Taman Bunga Ros coordinate. They are not auto-merged.</x:v>
      </x:c>
      <x:c r="F21" s="17" t="str">
        <x:v>Preserve official village point and flag legacy-reference conflict.</x:v>
      </x:c>
      <x:c r="G21" s="17" t="str">
        <x:v>OPEN - retain evidence; no fabricated closure</x:v>
      </x:c>
    </x:row>
    <x:row r="22">
      <x:c r="A22" s="17" t="str">
        <x:v>S2022-024</x:v>
      </x:c>
      <x:c r="B22" s="17" t="str">
        <x:v>Puteri Harbour Iskandar Puteri</x:v>
      </x:c>
      <x:c r="C22" s="17" t="str">
        <x:v>AREA</x:v>
      </x:c>
      <x:c r="D22" s="17" t="str">
        <x:v>POINT_READY; POLYGON_OPEN</x:v>
      </x:c>
      <x:c r="E22" s="17" t="str">
        <x:v>Area-level event; no exact inundation polygon frozen.</x:v>
      </x:c>
      <x:c r="F22" s="17" t="str">
        <x:v>Keep area point; no arbitrary hull.</x:v>
      </x:c>
      <x:c r="G22" s="17" t="str">
        <x:v>OPEN - retain evidence; no fabricated closure</x:v>
      </x:c>
    </x:row>
    <x:row r="23">
      <x:c r="A23" s="17" t="str">
        <x:v>S2022-025</x:v>
      </x:c>
      <x:c r="B23" s="17" t="str">
        <x:v>Kampung Sentosa Barat</x:v>
      </x:c>
      <x:c r="C23" s="17" t="str">
        <x:v>COMMUNITY</x:v>
      </x:c>
      <x:c r="D23" s="17" t="str">
        <x:v>IDENTITY_READY; POINT_OPEN</x:v>
      </x:c>
      <x:c r="E23" s="17" t="str">
        <x:v>Repeated event identity is strong, but no strict traceable point/boundary was frozen.</x:v>
      </x:c>
      <x:c r="F23" s="17" t="str">
        <x:v>Continue official gazetteer/planning search.</x:v>
      </x:c>
      <x:c r="G23" s="17" t="str">
        <x:v>OPEN - retain evidence; no fabricated closure</x:v>
      </x:c>
    </x:row>
    <x:row r="24">
      <x:c r="A24" s="17" t="str">
        <x:v>S2022-026</x:v>
      </x:c>
      <x:c r="B24" s="17" t="str">
        <x:v>Kampung Plentong Baru</x:v>
      </x:c>
      <x:c r="C24" s="17" t="str">
        <x:v>COMMUNITY</x:v>
      </x:c>
      <x:c r="D24" s="17" t="str">
        <x:v>POINT_READY; POLYGON_OPEN</x:v>
      </x:c>
      <x:c r="E24" s="17" t="str">
        <x:v>Fixed point available; exact community polygon not frozen.</x:v>
      </x:c>
      <x:c r="F24" s="17" t="str">
        <x:v>Seek exact named boundary.</x:v>
      </x:c>
      <x:c r="G24" s="17" t="str">
        <x:v>OPEN - retain evidence; no fabricated closure</x:v>
      </x:c>
    </x:row>
    <x:row r="25">
      <x:c r="A25" s="17" t="str">
        <x:v>S2022-027</x:v>
      </x:c>
      <x:c r="B25" s="17" t="str">
        <x:v>Kampung Dato' Sulaiman Menteri</x:v>
      </x:c>
      <x:c r="C25" s="17" t="str">
        <x:v>COMMUNITY</x:v>
      </x:c>
      <x:c r="D25" s="17" t="str">
        <x:v>POINT_READY; POLYGON_OPEN</x:v>
      </x:c>
      <x:c r="E25" s="17" t="str">
        <x:v>Point identity defensible; no exact closed community boundary frozen.</x:v>
      </x:c>
      <x:c r="F25" s="17" t="str">
        <x:v>Seek named closed boundary.</x:v>
      </x:c>
      <x:c r="G25" s="17" t="str">
        <x:v>OPEN - retain evidence; no fabricated closure</x:v>
      </x:c>
    </x:row>
    <x:row r="26">
      <x:c r="A26" s="17" t="str">
        <x:v>S2022-028</x:v>
      </x:c>
      <x:c r="B26" s="17" t="str">
        <x:v>Tabika Kemas, Skudai Kiri</x:v>
      </x:c>
      <x:c r="C26" s="17" t="str">
        <x:v>FACILITY</x:v>
      </x:c>
      <x:c r="D26" s="17" t="str">
        <x:v>FACILITY_POINT_OPEN</x:v>
      </x:c>
      <x:c r="E26" s="17" t="str">
        <x:v>Facility name is specific but exact building coordinate/parcel was not frozen in this pass.</x:v>
      </x:c>
      <x:c r="F26" s="17" t="str">
        <x:v>Resolve exact facility building before closure.</x:v>
      </x:c>
      <x:c r="G26" s="17" t="str">
        <x:v>OPEN - retain evidence; no fabricated closure</x:v>
      </x:c>
    </x:row>
    <x:row r="27">
      <x:c r="A27" s="17" t="str">
        <x:v>S2022-029</x:v>
      </x:c>
      <x:c r="B27" s="17" t="str">
        <x:v>Kampung Ubi Baru</x:v>
      </x:c>
      <x:c r="C27" s="17" t="str">
        <x:v>COMMUNITY</x:v>
      </x:c>
      <x:c r="D27" s="17" t="str">
        <x:v>POINT_READY; POLYGON_OPEN</x:v>
      </x:c>
      <x:c r="E27" s="17" t="str">
        <x:v>25 Sep source label 'Kampung Ubi' normalized to official Kampung Ubi Baru with alias retained.</x:v>
      </x:c>
      <x:c r="F27" s="17" t="str">
        <x:v>Seek exact named boundary.</x:v>
      </x:c>
      <x:c r="G27" s="17" t="str">
        <x:v>OPEN - retain evidence; no fabricated closure</x:v>
      </x:c>
    </x:row>
    <x:row r="28">
      <x:c r="A28" s="17" t="str">
        <x:v>S2022-030</x:v>
      </x:c>
      <x:c r="B28" s="17" t="str">
        <x:v>Kampung Tiram Duku</x:v>
      </x:c>
      <x:c r="C28" s="17" t="str">
        <x:v>COMMUNITY</x:v>
      </x:c>
      <x:c r="D28" s="17" t="str">
        <x:v>POINT_READY; POLYGON_OPEN</x:v>
      </x:c>
      <x:c r="E28" s="17" t="str">
        <x:v>Official locality point defensible; no event-area polygon frozen.</x:v>
      </x:c>
      <x:c r="F28" s="17" t="str">
        <x:v>Seek exact named boundary.</x:v>
      </x:c>
      <x:c r="G28" s="17" t="str">
        <x:v>OPEN - retain evidence; no fabricated closure</x:v>
      </x:c>
    </x:row>
    <x:row r="29">
      <x:c r="A29" s="17" t="str">
        <x:v>S2022-031</x:v>
      </x:c>
      <x:c r="B29" s="17" t="str">
        <x:v>Kampung Peladang</x:v>
      </x:c>
      <x:c r="C29" s="17" t="str">
        <x:v>COMMUNITY</x:v>
      </x:c>
      <x:c r="D29" s="17" t="str">
        <x:v>POINT_OPEN</x:v>
      </x:c>
      <x:c r="E29" s="17" t="str">
        <x:v>No sufficiently reliable Johor Bahru coordinate/boundary frozen in this pass.</x:v>
      </x:c>
      <x:c r="F29" s="17" t="str">
        <x:v>Retain open; resolve official locality identity.</x:v>
      </x:c>
      <x:c r="G29" s="17" t="str">
        <x:v>OPEN - retain evidence; no fabricated closure</x:v>
      </x:c>
    </x:row>
    <x:row r="30">
      <x:c r="A30" s="17" t="str">
        <x:v>S2022-032</x:v>
      </x:c>
      <x:c r="B30" s="17" t="str">
        <x:v>Kampung Pekajang</x:v>
      </x:c>
      <x:c r="C30" s="17" t="str">
        <x:v>COMMUNITY</x:v>
      </x:c>
      <x:c r="D30" s="17" t="str">
        <x:v>POINT_CANDIDATE; POLYGON_OPEN</x:v>
      </x:c>
      <x:c r="E30" s="17" t="str">
        <x:v>Source says Pekajang while gazette also contains Pekajang Bengkok/Lurus and Pekejang; identity requires caution.</x:v>
      </x:c>
      <x:c r="F30" s="17" t="str">
        <x:v>Retain candidate; do not auto-merge sub-villages.</x:v>
      </x:c>
      <x:c r="G30" s="17" t="str">
        <x:v>OPEN - retain evidence; no fabricated closure</x:v>
      </x:c>
    </x:row>
    <x:row r="31">
      <x:c r="A31" s="17" t="str">
        <x:v>S2022-033</x:v>
      </x:c>
      <x:c r="B31" s="17" t="str">
        <x:v>Sanctuary Garden, Tebrau</x:v>
      </x:c>
      <x:c r="C31" s="17" t="str">
        <x:v>RESIDENTIAL</x:v>
      </x:c>
      <x:c r="D31" s="17" t="str">
        <x:v>POINT_OPEN; POLYGON_OPEN</x:v>
      </x:c>
      <x:c r="E31" s="17" t="str">
        <x:v>Named residential location is event-valid; exact public boundary not frozen.</x:v>
      </x:c>
      <x:c r="F31" s="17" t="str">
        <x:v>Resolve exact estate point/boundary.</x:v>
      </x:c>
      <x:c r="G31" s="17" t="str">
        <x:v>OPEN - retain evidence; no fabricated closure</x:v>
      </x:c>
    </x:row>
    <x:row r="32">
      <x:c r="A32" s="17" t="str">
        <x:v>S2022-034</x:v>
      </x:c>
      <x:c r="B32" s="17" t="str">
        <x:v>Kampung Melayu Majidee</x:v>
      </x:c>
      <x:c r="C32" s="17" t="str">
        <x:v>COMMUNITY</x:v>
      </x:c>
      <x:c r="D32" s="17" t="str">
        <x:v>POINT_READY; POLYGON_OPEN</x:v>
      </x:c>
      <x:c r="E32" s="17" t="str">
        <x:v>Do not substitute broader Majidee reference.</x:v>
      </x:c>
      <x:c r="F32" s="17" t="str">
        <x:v>Seek exact community boundary.</x:v>
      </x:c>
      <x:c r="G32" s="17" t="str">
        <x:v>OPEN - retain evidence; no fabricated closure</x:v>
      </x:c>
    </x:row>
    <x:row r="33">
      <x:c r="A33" s="17" t="str">
        <x:v>S2022-035</x:v>
      </x:c>
      <x:c r="B33" s="17" t="str">
        <x:v>Jalan Keris Dua, Taman Sri Tebrau</x:v>
      </x:c>
      <x:c r="C33" s="17" t="str">
        <x:v>ROAD</x:v>
      </x:c>
      <x:c r="D33" s="17" t="str">
        <x:v>ROAD_SEGMENT_OPEN</x:v>
      </x:c>
      <x:c r="E33" s="17" t="str">
        <x:v>40+ houses affected around named road; exact flooded road segment not supplied.</x:v>
      </x:c>
      <x:c r="F33" s="17" t="str">
        <x:v>Keep road-specific object open.</x:v>
      </x:c>
      <x:c r="G33" s="17" t="str">
        <x:v>OPEN - retain evidence; no fabricated closure</x:v>
      </x:c>
    </x:row>
    <x:row r="34">
      <x:c r="A34" s="17" t="str">
        <x:v>S2022-036</x:v>
      </x:c>
      <x:c r="B34" s="17" t="str">
        <x:v>Kampung Kurnia, Larkin</x:v>
      </x:c>
      <x:c r="C34" s="17" t="str">
        <x:v>COMMUNITY</x:v>
      </x:c>
      <x:c r="D34" s="17" t="str">
        <x:v>POINT_OPEN; POLYGON_OPEN</x:v>
      </x:c>
      <x:c r="E34" s="17" t="str">
        <x:v>Exact public point/boundary not frozen.</x:v>
      </x:c>
      <x:c r="F34" s="17" t="str">
        <x:v>Resolve official locality source.</x:v>
      </x:c>
      <x:c r="G34" s="17" t="str">
        <x:v>OPEN - retain evidence; no fabricated closure</x:v>
      </x:c>
    </x:row>
    <x:row r="35">
      <x:c r="A35" s="17" t="str">
        <x:v>S2022-037</x:v>
      </x:c>
      <x:c r="B35" s="17" t="str">
        <x:v>Taman Melodies</x:v>
      </x:c>
      <x:c r="C35" s="17" t="str">
        <x:v>RESIDENTIAL</x:v>
      </x:c>
      <x:c r="D35" s="17" t="str">
        <x:v>POINT_READY; POLYGON_OPEN</x:v>
      </x:c>
      <x:c r="E35" s="17" t="str">
        <x:v>7 Nov flood impact independently reported; exact neighborhood/flood polygon not frozen.</x:v>
      </x:c>
      <x:c r="F35" s="17" t="str">
        <x:v>Seek named residential boundary.</x:v>
      </x:c>
      <x:c r="G35" s="17" t="str">
        <x:v>OPEN - retain evidence; no fabricated closure</x:v>
      </x:c>
    </x:row>
  </x:sheetData>
  <x:pageMargins left="0.7" right="0.7" top="0.75" bottom="0.75" header="0.3" footer="0.3"/>
</x:worksheet>
</file>

<file path=xl/worksheets/sheet15.xml><?xml version="1.0" encoding="utf-8"?>
<x:worksheet xmlns:x="http://schemas.openxmlformats.org/spreadsheetml/2006/main">
  <x:sheetFormatPr defaultRowHeight="15"/>
  <x:cols>
    <x:col min="1" max="1" width="47" hidden="0" customWidth="1"/>
    <x:col min="2" max="2" width="25" hidden="0" customWidth="1"/>
    <x:col min="3" max="3" width="14" hidden="0" customWidth="1"/>
    <x:col min="4" max="4" width="14" hidden="0" customWidth="1"/>
  </x:cols>
  <x:sheetData>
    <x:row r="1">
      <x:c r="A1" s="31" t="str">
        <x:v>Metric</x:v>
      </x:c>
      <x:c r="B1" s="31" t="str">
        <x:v>Formula / Value</x:v>
      </x:c>
      <x:c r="C1" s="31" t="str">
        <x:v>Expected</x:v>
      </x:c>
      <x:c r="D1" s="31" t="str">
        <x:v>Status</x:v>
      </x:c>
    </x:row>
    <x:row r="2">
      <x:c r="A2" s="9" t="str">
        <x:v>2022 event-location rows</x:v>
      </x:c>
      <x:c r="B2" s="9" t="n">
        <x:f>COUNTA('09_2022_Event_Master'!A2:A42)</x:f>
        <x:v>41</x:v>
      </x:c>
      <x:c r="C2" s="9" t="n">
        <x:v>41</x:v>
      </x:c>
      <x:c r="D2" s="9" t="str">
        <x:f>IF(B2=C2,"PASS","CHECK")</x:f>
        <x:v>PASS</x:v>
      </x:c>
    </x:row>
    <x:row r="3">
      <x:c r="A3" s="9" t="str">
        <x:v>2022 episode groups</x:v>
      </x:c>
      <x:c r="B3" s="9" t="n">
        <x:f>COUNTA('10_2022_Episodes'!A2:A11)</x:f>
        <x:v>10</x:v>
      </x:c>
      <x:c r="C3" s="9" t="n">
        <x:v>10</x:v>
      </x:c>
      <x:c r="D3" s="9" t="str">
        <x:f>IF(B3=C3,"PASS","CHECK")</x:f>
        <x:v>PASS</x:v>
      </x:c>
    </x:row>
    <x:row r="4">
      <x:c r="A4" s="9" t="str">
        <x:v>2022 unique spatial objects</x:v>
      </x:c>
      <x:c r="B4" s="9" t="n">
        <x:f>COUNTA('12_2022_Spatial_Resolution'!A2:A38)</x:f>
        <x:v>37</x:v>
      </x:c>
      <x:c r="C4" s="9" t="n">
        <x:v>37</x:v>
      </x:c>
      <x:c r="D4" s="9" t="str">
        <x:f>IF(B4=C4,"PASS","CHECK")</x:f>
        <x:v>PASS</x:v>
      </x:c>
    </x:row>
    <x:row r="5">
      <x:c r="A5" s="9" t="str">
        <x:v>Strict Point-GIS-ready objects</x:v>
      </x:c>
      <x:c r="B5" s="9" t="n">
        <x:f>SUMPRODUCT(--('12_2022_Spatial_Resolution'!E2:E38=TRUE))</x:f>
        <x:v>25</x:v>
      </x:c>
      <x:c r="C5" s="9" t="n">
        <x:v>25</x:v>
      </x:c>
      <x:c r="D5" s="9" t="str">
        <x:f>IF(B5=C5,"PASS","CHECK")</x:f>
        <x:v>PASS</x:v>
      </x:c>
    </x:row>
    <x:row r="6">
      <x:c r="A6" s="9" t="str">
        <x:v>Spatial objects without reusable closed analysis polygon</x:v>
      </x:c>
      <x:c r="B6" s="9" t="n">
        <x:f>COUNTIF('12_2022_Spatial_Resolution'!I2:I38,"&lt;&gt;REUSED_CLOSED")</x:f>
        <x:v>34</x:v>
      </x:c>
      <x:c r="C6" s="9" t="n">
        <x:v>34</x:v>
      </x:c>
      <x:c r="D6" s="9" t="str">
        <x:f>IF(B6=C6,"PASS","CHECK")</x:f>
        <x:v>PASS</x:v>
      </x:c>
    </x:row>
    <x:row r="7">
      <x:c r="A7" s="9" t="str">
        <x:v>Missing Spatial_Object_Key refs</x:v>
      </x:c>
      <x:c r="B7" s="9" t="n">
        <x:f>COUNTIF('09_2022_Event_Master'!E2:E42,"")</x:f>
        <x:v>0</x:v>
      </x:c>
      <x:c r="C7" s="9" t="n">
        <x:v>0</x:v>
      </x:c>
      <x:c r="D7" s="9" t="str">
        <x:f>IF(B7=C7,"PASS","CHECK")</x:f>
        <x:v>PASS</x:v>
      </x:c>
    </x:row>
    <x:row r="8">
      <x:c r="A8" s="9" t="str">
        <x:v>Cumulative event rows through 2022</x:v>
      </x:c>
      <x:c r="B8" s="9" t="n">
        <x:f>157+B2</x:f>
        <x:v>198</x:v>
      </x:c>
      <x:c r="C8" s="9" t="n">
        <x:v>198</x:v>
      </x:c>
      <x:c r="D8" s="9" t="str">
        <x:f>IF(B8=C8,"PASS","CHECK")</x:f>
        <x:v>PASS</x:v>
      </x:c>
    </x:row>
    <x:row r="9">
      <x:c r="A9" s="9" t="str">
        <x:v>2023 records included</x:v>
      </x:c>
      <x:c r="B9" s="9" t="n">
        <x:v>0</x:v>
      </x:c>
      <x:c r="C9" s="9" t="n">
        <x:v>0</x:v>
      </x:c>
      <x:c r="D9" s="9" t="str">
        <x:f>IF(B9=C9,"PASS","CHECK")</x:f>
        <x:v>PASS</x:v>
      </x:c>
    </x:row>
  </x:sheetData>
  <x:pageMargins left="0.7" right="0.7" top="0.75" bottom="0.75" header="0.3" footer="0.3"/>
</x:worksheet>
</file>

<file path=xl/worksheets/sheet16.xml><?xml version="1.0" encoding="utf-8"?>
<x:worksheet xmlns:x="http://schemas.openxmlformats.org/spreadsheetml/2006/main">
  <x:sheetFormatPr defaultRowHeight="15"/>
  <x:cols>
    <x:col min="1" max="1" width="31" hidden="0" customWidth="1"/>
    <x:col min="2" max="2" width="42" hidden="0" customWidth="1"/>
    <x:col min="3" max="3" width="17" hidden="0" customWidth="1"/>
    <x:col min="4" max="4" width="38" hidden="0" customWidth="1"/>
    <x:col min="5" max="5" width="14" hidden="0" customWidth="1"/>
    <x:col min="6" max="6" width="26" hidden="0" customWidth="1"/>
    <x:col min="7" max="7" width="64" hidden="0" customWidth="1"/>
    <x:col min="8" max="8" width="62" hidden="0" customWidth="1"/>
  </x:cols>
  <x:sheetData>
    <x:row r="1">
      <x:c r="A1" s="33" t="str">
        <x:v>Polygon_ID</x:v>
      </x:c>
      <x:c r="B1" s="33" t="str">
        <x:v>Object_Name</x:v>
      </x:c>
      <x:c r="C1" s="33" t="str">
        <x:v>Closure_Status</x:v>
      </x:c>
      <x:c r="D1" s="33" t="str">
        <x:v>Geometry_Source</x:v>
      </x:c>
      <x:c r="E1" s="33" t="str">
        <x:v>Area_km2</x:v>
      </x:c>
      <x:c r="F1" s="33" t="str">
        <x:v>2022_Event_Use</x:v>
      </x:c>
      <x:c r="G1" s="33" t="str">
        <x:v>Interpretation</x:v>
      </x:c>
      <x:c r="H1" s="33" t="str">
        <x:v>Source_URL_or_Lineage</x:v>
      </x:c>
    </x:row>
    <x:row r="2">
      <x:c r="A2" s="17" t="str">
        <x:v>PG2020-KG-BARU-MUAFAKAT</x:v>
      </x:c>
      <x:c r="B2" s="17" t="str">
        <x:v>Kampung Baru Muafakat</x:v>
      </x:c>
      <x:c r="C2" s="17" t="str">
        <x:v>REUSED_CLOSED</x:v>
      </x:c>
      <x:c r="D2" s="17" t="str">
        <x:v>R012 / OSM way 468638324</x:v>
      </x:c>
      <x:c r="E2" s="17" t="n">
        <x:v>0.13438</x:v>
      </x:c>
      <x:c r="F2" s="17" t="str">
        <x:v>2022-03-07; 2022-09-25</x:v>
      </x:c>
      <x:c r="G2" s="17" t="str">
        <x:v>Parent-community analysis polygon; not observed inundation footprint.</x:v>
      </x:c>
      <x:c r="H2" s="17" t="str">
        <x:v>https://www.openstreetmap.org/way/468638324</x:v>
      </x:c>
    </x:row>
    <x:row r="3">
      <x:c r="A3" s="17" t="str">
        <x:v>PG2016-HSA-CAMPUS</x:v>
      </x:c>
      <x:c r="B3" s="17" t="str">
        <x:v>Hospital Sultanah Aminah</x:v>
      </x:c>
      <x:c r="C3" s="17" t="str">
        <x:v>REUSED_CLOSED</x:v>
      </x:c>
      <x:c r="D3" s="17" t="str">
        <x:v>R003 / OSM way 566502798</x:v>
      </x:c>
      <x:c r="E3" s="17" t="n">
        <x:v>0.288325</x:v>
      </x:c>
      <x:c r="F3" s="17" t="str">
        <x:v>2022-08-02</x:v>
      </x:c>
      <x:c r="G3" s="17" t="str">
        <x:v>Facility/campus analysis polygon; not observed inundation footprint.</x:v>
      </x:c>
      <x:c r="H3" s="17" t="str">
        <x:v>https://www.openstreetmap.org/way/566502798</x:v>
      </x:c>
    </x:row>
    <x:row r="4">
      <x:c r="A4" s="17" t="str">
        <x:v>PG2016-CBD-SEGGET</x:v>
      </x:c>
      <x:c r="B4" s="17" t="str">
        <x:v>Jalan Wong Ah Fook / Sungai Segget corridor</x:v>
      </x:c>
      <x:c r="C4" s="17" t="str">
        <x:v>REUSED_CLOSED</x:v>
      </x:c>
      <x:c r="D4" s="17" t="str">
        <x:v>R003 derived 25 m core corridor</x:v>
      </x:c>
      <x:c r="E4" s="17" t="n">
        <x:v>0.029149</x:v>
      </x:c>
      <x:c r="F4" s="17" t="str">
        <x:v>2022-08-02</x:v>
      </x:c>
      <x:c r="G4" s="17" t="str">
        <x:v>Reproducible corridor analysis polygon; not exact road-water footprint.</x:v>
      </x:c>
      <x:c r="H4" s="17" t="str">
        <x:v>Carry forward from R003/R012 lineage</x:v>
      </x:c>
    </x:row>
  </x:sheetData>
  <x:pageMargins left="0.7" right="0.7" top="0.75" bottom="0.75" header="0.3" footer="0.3"/>
</x:worksheet>
</file>

<file path=xl/worksheets/sheet17.xml><?xml version="1.0" encoding="utf-8"?>
<x:worksheet xmlns:x="http://schemas.openxmlformats.org/spreadsheetml/2006/main">
  <x:sheetFormatPr defaultRowHeight="15"/>
  <x:cols>
    <x:col min="1" max="1" width="43" hidden="0" customWidth="1"/>
    <x:col min="2" max="2" width="25" hidden="0" customWidth="1"/>
    <x:col min="3" max="3" width="14" hidden="0" customWidth="1"/>
    <x:col min="4" max="4" width="14" hidden="0" customWidth="1"/>
    <x:col min="5" max="5" width="63" hidden="0" customWidth="1"/>
  </x:cols>
  <x:sheetData>
    <x:row r="1">
      <x:c r="A1" s="31" t="str">
        <x:v>Metric</x:v>
      </x:c>
      <x:c r="B1" s="31" t="str">
        <x:v>Formula / Value</x:v>
      </x:c>
      <x:c r="C1" s="31" t="str">
        <x:v>Expected</x:v>
      </x:c>
      <x:c r="D1" s="31" t="str">
        <x:v>Status</x:v>
      </x:c>
      <x:c r="E1" s="31" t="str">
        <x:v>Interpretation</x:v>
      </x:c>
    </x:row>
    <x:row r="2">
      <x:c r="A2" s="9" t="str">
        <x:v>2022 new closed polygons</x:v>
      </x:c>
      <x:c r="B2" s="9" t="n">
        <x:v>0</x:v>
      </x:c>
      <x:c r="C2" s="9" t="n">
        <x:v>0</x:v>
      </x:c>
      <x:c r="D2" s="9" t="str">
        <x:f>IF(B2=C2,"PASS","CHECK")</x:f>
        <x:v>PASS</x:v>
      </x:c>
      <x:c r="E2" s="9" t="str">
        <x:v>No exact new named closed geometry was defensibly frozen.</x:v>
      </x:c>
    </x:row>
    <x:row r="3">
      <x:c r="A3" s="9" t="str">
        <x:v>2022 reused closed polygons</x:v>
      </x:c>
      <x:c r="B3" s="9" t="n">
        <x:f>COUNTA('15_2022_Polygon_Reuse'!A2:A4)</x:f>
        <x:v>3</x:v>
      </x:c>
      <x:c r="C3" s="9" t="n">
        <x:v>3</x:v>
      </x:c>
      <x:c r="D3" s="9" t="str">
        <x:f>IF(B3=C3,"PASS","CHECK")</x:f>
        <x:v>PASS</x:v>
      </x:c>
      <x:c r="E3" s="9" t="str">
        <x:v>Muafakat, HSA campus, CBD/Segget corridor.</x:v>
      </x:c>
    </x:row>
    <x:row r="4">
      <x:c r="A4" s="9" t="str">
        <x:v>2022 directly usable closed analysis regions</x:v>
      </x:c>
      <x:c r="B4" s="9" t="n">
        <x:f>B2+B3</x:f>
        <x:v>3</x:v>
      </x:c>
      <x:c r="C4" s="9" t="n">
        <x:v>3</x:v>
      </x:c>
      <x:c r="D4" s="9" t="str">
        <x:f>IF(B4=C4,"PASS","CHECK")</x:f>
        <x:v>PASS</x:v>
      </x:c>
      <x:c r="E4" s="9" t="str">
        <x:v>Reused only; no geometry duplication.</x:v>
      </x:c>
    </x:row>
    <x:row r="5">
      <x:c r="A5" s="9" t="str">
        <x:v>Cumulative Polygon_ID through 2022</x:v>
      </x:c>
      <x:c r="B5" s="9" t="n">
        <x:f>14+B2</x:f>
        <x:v>14</x:v>
      </x:c>
      <x:c r="C5" s="9" t="n">
        <x:v>14</x:v>
      </x:c>
      <x:c r="D5" s="9" t="str">
        <x:f>IF(B5=C5,"PASS","CHECK")</x:f>
        <x:v>PASS</x:v>
      </x:c>
      <x:c r="E5" s="9" t="str">
        <x:v>R014 total remains unchanged because no new Polygon_ID was created.</x:v>
      </x:c>
    </x:row>
    <x:row r="6">
      <x:c r="A6" s="9" t="str">
        <x:v>Cumulative closed polygon WKT lineage</x:v>
      </x:c>
      <x:c r="B6" s="9" t="n">
        <x:f>B5</x:f>
        <x:v>14</x:v>
      </x:c>
      <x:c r="C6" s="9" t="n">
        <x:v>14</x:v>
      </x:c>
      <x:c r="D6" s="9" t="str">
        <x:f>IF(B6=C6,"PASS","CHECK")</x:f>
        <x:v>PASS</x:v>
      </x:c>
      <x:c r="E6" s="9" t="str">
        <x:v>Existing formal lineage unchanged.</x:v>
      </x:c>
    </x:row>
    <x:row r="7">
      <x:c r="A7" s="9" t="str">
        <x:v>2022 event-location rows</x:v>
      </x:c>
      <x:c r="B7" s="9" t="n">
        <x:f>'14_QA_2022_Event_Spatial'!B2</x:f>
        <x:v>41</x:v>
      </x:c>
      <x:c r="C7" s="9" t="n">
        <x:v>41</x:v>
      </x:c>
      <x:c r="D7" s="9" t="str">
        <x:f>IF(B7=C7,"PASS","CHECK")</x:f>
        <x:v>PASS</x:v>
      </x:c>
      <x:c r="E7" s="9" t="str">
        <x:v>All 2022 event rows retained.</x:v>
      </x:c>
    </x:row>
    <x:row r="8">
      <x:c r="A8" s="9" t="str">
        <x:v>2022 episode groups</x:v>
      </x:c>
      <x:c r="B8" s="9" t="n">
        <x:f>'14_QA_2022_Event_Spatial'!B3</x:f>
        <x:v>10</x:v>
      </x:c>
      <x:c r="C8" s="9" t="n">
        <x:v>10</x:v>
      </x:c>
      <x:c r="D8" s="9" t="str">
        <x:f>IF(B8=C8,"PASS","CHECK")</x:f>
        <x:v>PASS</x:v>
      </x:c>
      <x:c r="E8" s="9" t="str">
        <x:v>Matches reconstructed annual episode backbone.</x:v>
      </x:c>
    </x:row>
    <x:row r="9">
      <x:c r="A9" s="9" t="str">
        <x:v>Cumulative event rows through 2022</x:v>
      </x:c>
      <x:c r="B9" s="9" t="n">
        <x:f>'14_QA_2022_Event_Spatial'!B8</x:f>
        <x:v>198</x:v>
      </x:c>
      <x:c r="C9" s="9" t="n">
        <x:v>198</x:v>
      </x:c>
      <x:c r="D9" s="9" t="str">
        <x:f>IF(B9=C9,"PASS","CHECK")</x:f>
        <x:v>PASS</x:v>
      </x:c>
      <x:c r="E9" s="9" t="str">
        <x:v>R014 157 + 2022 41.</x:v>
      </x:c>
    </x:row>
    <x:row r="10">
      <x:c r="A10" s="9" t="str">
        <x:v>Formula errors in 2022 QA</x:v>
      </x:c>
      <x:c r="B10" s="9" t="n">
        <x:v>0</x:v>
      </x:c>
      <x:c r="C10" s="9" t="n">
        <x:v>0</x:v>
      </x:c>
      <x:c r="D10" s="9" t="str">
        <x:f>IF(B10=C10,"PASS","CHECK")</x:f>
        <x:v>PASS</x:v>
      </x:c>
      <x:c r="E10" s="9" t="str">
        <x:v>Checked after workbook build.</x:v>
      </x:c>
    </x:row>
    <x:row r="11">
      <x:c r="A11" s="9" t="str">
        <x:v>2023 records included</x:v>
      </x:c>
      <x:c r="B11" s="9" t="n">
        <x:v>0</x:v>
      </x:c>
      <x:c r="C11" s="9" t="n">
        <x:v>0</x:v>
      </x:c>
      <x:c r="D11" s="9" t="str">
        <x:f>IF(B11=C11,"PASS","CHECK")</x:f>
        <x:v>PASS</x:v>
      </x:c>
      <x:c r="E11" s="9" t="str">
        <x:v>Hard stop after 2022.</x:v>
      </x:c>
    </x:row>
  </x:sheetData>
  <x:pageMargins left="0.7" right="0.7" top="0.75" bottom="0.75" header="0.3" footer="0.3"/>
</x:worksheet>
</file>

<file path=xl/worksheets/sheet18.xml><?xml version="1.0" encoding="utf-8"?>
<x:worksheet xmlns:x="http://schemas.openxmlformats.org/spreadsheetml/2006/main">
  <x:sheetFormatPr defaultRowHeight="15"/>
  <x:cols>
    <x:col min="1" max="1" width="20" hidden="0" customWidth="1"/>
    <x:col min="2" max="2" width="13" hidden="0" customWidth="1"/>
    <x:col min="3" max="3" width="27" hidden="0" customWidth="1"/>
    <x:col min="4" max="4" width="39" hidden="0" customWidth="1"/>
    <x:col min="5" max="5" width="16" hidden="0" customWidth="1"/>
    <x:col min="6" max="6" width="39" hidden="0" customWidth="1"/>
    <x:col min="7" max="7" width="18" hidden="0" customWidth="1"/>
    <x:col min="8" max="8" width="13" hidden="0" customWidth="1"/>
    <x:col min="9" max="9" width="31" hidden="0" customWidth="1"/>
    <x:col min="10" max="10" width="31" hidden="0" customWidth="1"/>
    <x:col min="11" max="11" width="40" hidden="0" customWidth="1"/>
    <x:col min="12" max="12" width="68" hidden="0" customWidth="1"/>
  </x:cols>
  <x:sheetData>
    <x:row r="1">
      <x:c r="A1" s="40" t="str">
        <x:v>Event_ID</x:v>
      </x:c>
      <x:c r="B1" s="40" t="str">
        <x:v>Event_Date</x:v>
      </x:c>
      <x:c r="C1" s="40" t="str">
        <x:v>Dedup_Group_ID</x:v>
      </x:c>
      <x:c r="D1" s="40" t="str">
        <x:v>Source_Location_Label</x:v>
      </x:c>
      <x:c r="E1" s="40" t="str">
        <x:v>Spatial_Object_Key</x:v>
      </x:c>
      <x:c r="F1" s="40" t="str">
        <x:v>Canonical_Spatial_Object</x:v>
      </x:c>
      <x:c r="G1" s="40" t="str">
        <x:v>Event_Type</x:v>
      </x:c>
      <x:c r="H1" s="40" t="str">
        <x:v>Evidence_Tier</x:v>
      </x:c>
      <x:c r="I1" s="40" t="str">
        <x:v>Primary_Source_ID</x:v>
      </x:c>
      <x:c r="J1" s="40" t="str">
        <x:v>Secondary_Source_ID</x:v>
      </x:c>
      <x:c r="K1" s="40" t="str">
        <x:v>Date_Precision</x:v>
      </x:c>
      <x:c r="L1" s="40" t="str">
        <x:v>Notes</x:v>
      </x:c>
    </x:row>
    <x:row r="2">
      <x:c r="A2" s="17" t="str">
        <x:v>EVT-JB-2023-001</x:v>
      </x:c>
      <x:c r="B2" s="17" t="str">
        <x:v>2023-02-14</x:v>
      </x:c>
      <x:c r="C2" s="17" t="str">
        <x:v>DG-JB-20230214</x:v>
      </x:c>
      <x:c r="D2" s="17" t="str">
        <x:v>Larkin Perdana</x:v>
      </x:c>
      <x:c r="E2" s="17" t="str">
        <x:v>S2023-001</x:v>
      </x:c>
      <x:c r="F2" s="17" t="str">
        <x:v>Larkin Perdana</x:v>
      </x:c>
      <x:c r="G2" s="17" t="str">
        <x:v>Flash flood</x:v>
      </x:c>
      <x:c r="H2" s="17" t="str">
        <x:v>B</x:v>
      </x:c>
      <x:c r="I2" s="17" t="str">
        <x:v>SRC_R2023_SINAR_20230214</x:v>
      </x:c>
      <x:c r="J2" s="17" t="str"/>
      <x:c r="K2" s="17" t="str">
        <x:v>Exact day</x:v>
      </x:c>
      <x:c r="L2" s="17" t="str"/>
    </x:row>
    <x:row r="3">
      <x:c r="A3" s="17" t="str">
        <x:v>EVT-JB-2023-002</x:v>
      </x:c>
      <x:c r="B3" s="17" t="str">
        <x:v>2023-02-14</x:v>
      </x:c>
      <x:c r="C3" s="17" t="str">
        <x:v>DG-JB-20230214</x:v>
      </x:c>
      <x:c r="D3" s="17" t="str">
        <x:v>Kampung Aman</x:v>
      </x:c>
      <x:c r="E3" s="17" t="str">
        <x:v>S2023-002</x:v>
      </x:c>
      <x:c r="F3" s="17" t="str">
        <x:v>Kampung Aman</x:v>
      </x:c>
      <x:c r="G3" s="17" t="str">
        <x:v>Flash flood</x:v>
      </x:c>
      <x:c r="H3" s="17" t="str">
        <x:v>B</x:v>
      </x:c>
      <x:c r="I3" s="17" t="str">
        <x:v>SRC_R2023_SINAR_20230214</x:v>
      </x:c>
      <x:c r="J3" s="17" t="str"/>
      <x:c r="K3" s="17" t="str">
        <x:v>Exact day</x:v>
      </x:c>
      <x:c r="L3" s="17" t="str"/>
    </x:row>
    <x:row r="4">
      <x:c r="A4" s="17" t="str">
        <x:v>EVT-JB-2023-003</x:v>
      </x:c>
      <x:c r="B4" s="17" t="str">
        <x:v>2023-02-14</x:v>
      </x:c>
      <x:c r="C4" s="17" t="str">
        <x:v>DG-JB-20230214</x:v>
      </x:c>
      <x:c r="D4" s="17" t="str">
        <x:v>Taman Sri Bahagia</x:v>
      </x:c>
      <x:c r="E4" s="17" t="str">
        <x:v>S2023-003</x:v>
      </x:c>
      <x:c r="F4" s="17" t="str">
        <x:v>Taman Sri Bahagia</x:v>
      </x:c>
      <x:c r="G4" s="17" t="str">
        <x:v>Flash flood</x:v>
      </x:c>
      <x:c r="H4" s="17" t="str">
        <x:v>B</x:v>
      </x:c>
      <x:c r="I4" s="17" t="str">
        <x:v>SRC_R2023_SINAR_20230214</x:v>
      </x:c>
      <x:c r="J4" s="17" t="str"/>
      <x:c r="K4" s="17" t="str">
        <x:v>Exact day</x:v>
      </x:c>
      <x:c r="L4" s="17" t="str"/>
    </x:row>
    <x:row r="5">
      <x:c r="A5" s="17" t="str">
        <x:v>EVT-JB-2023-004</x:v>
      </x:c>
      <x:c r="B5" s="17" t="str">
        <x:v>2023-02-14</x:v>
      </x:c>
      <x:c r="C5" s="17" t="str">
        <x:v>DG-JB-20230214</x:v>
      </x:c>
      <x:c r="D5" s="17" t="str">
        <x:v>Kampung Dato Hajah Hasnah Majidee</x:v>
      </x:c>
      <x:c r="E5" s="17" t="str">
        <x:v>S2023-004</x:v>
      </x:c>
      <x:c r="F5" s="17" t="str">
        <x:v>Kampung Dato Hajah Hasnah Majidee</x:v>
      </x:c>
      <x:c r="G5" s="17" t="str">
        <x:v>Flash flood</x:v>
      </x:c>
      <x:c r="H5" s="17" t="str">
        <x:v>B</x:v>
      </x:c>
      <x:c r="I5" s="17" t="str">
        <x:v>SRC_R2023_SINAR_20230214</x:v>
      </x:c>
      <x:c r="J5" s="17" t="str"/>
      <x:c r="K5" s="17" t="str">
        <x:v>Exact day</x:v>
      </x:c>
      <x:c r="L5" s="17" t="str"/>
    </x:row>
    <x:row r="6">
      <x:c r="A6" s="17" t="str">
        <x:v>EVT-JB-2023-005</x:v>
      </x:c>
      <x:c r="B6" s="17" t="str">
        <x:v>2023-02-14</x:v>
      </x:c>
      <x:c r="C6" s="17" t="str">
        <x:v>DG-JB-20230214</x:v>
      </x:c>
      <x:c r="D6" s="17" t="str">
        <x:v>Kampung Kurnia, Larkin</x:v>
      </x:c>
      <x:c r="E6" s="17" t="str">
        <x:v>S2023-005</x:v>
      </x:c>
      <x:c r="F6" s="17" t="str">
        <x:v>Kampung Kurnia, Larkin</x:v>
      </x:c>
      <x:c r="G6" s="17" t="str">
        <x:v>Flash flood</x:v>
      </x:c>
      <x:c r="H6" s="17" t="str">
        <x:v>B</x:v>
      </x:c>
      <x:c r="I6" s="17" t="str">
        <x:v>SRC_R2023_SINAR_20230214</x:v>
      </x:c>
      <x:c r="J6" s="17" t="str"/>
      <x:c r="K6" s="17" t="str">
        <x:v>Exact day</x:v>
      </x:c>
      <x:c r="L6" s="17" t="str"/>
    </x:row>
    <x:row r="7">
      <x:c r="A7" s="17" t="str">
        <x:v>EVT-JB-2023-006</x:v>
      </x:c>
      <x:c r="B7" s="17" t="str">
        <x:v>2023-03-01</x:v>
      </x:c>
      <x:c r="C7" s="17" t="str">
        <x:v>DG-JB-20230228-20230301</x:v>
      </x:c>
      <x:c r="D7" s="17" t="str">
        <x:v>Kampung Cahaya Baru Masai</x:v>
      </x:c>
      <x:c r="E7" s="17" t="str">
        <x:v>S2023-006</x:v>
      </x:c>
      <x:c r="F7" s="17" t="str">
        <x:v>Kampung Cahaya Baru, Masai</x:v>
      </x:c>
      <x:c r="G7" s="17" t="str">
        <x:v>Monsoon/flood</x:v>
      </x:c>
      <x:c r="H7" s="17" t="str">
        <x:v>A/B</x:v>
      </x:c>
      <x:c r="I7" s="17" t="str">
        <x:v>SRC_R2023_KOSMO_20230301</x:v>
      </x:c>
      <x:c r="J7" s="17" t="str">
        <x:v>SRC_R2023_MDJ_20230301</x:v>
      </x:c>
      <x:c r="K7" s="17" t="str">
        <x:v>Episode spans 2023-02-28 to 2023-03-01; anchored to 1 Mar status report</x:v>
      </x:c>
      <x:c r="L7" s="17" t="str">
        <x:v>Short label 'Kangkar' is not automatically merged to Kangkar Tebrau.</x:v>
      </x:c>
    </x:row>
    <x:row r="8">
      <x:c r="A8" s="17" t="str">
        <x:v>EVT-JB-2023-007</x:v>
      </x:c>
      <x:c r="B8" s="17" t="str">
        <x:v>2023-03-01</x:v>
      </x:c>
      <x:c r="C8" s="17" t="str">
        <x:v>DG-JB-20230228-20230301</x:v>
      </x:c>
      <x:c r="D8" s="17" t="str">
        <x:v>Kampung Pasir Tebrau</x:v>
      </x:c>
      <x:c r="E8" s="17" t="str">
        <x:v>S2023-007</x:v>
      </x:c>
      <x:c r="F8" s="17" t="str">
        <x:v>Kampung Pasir Tebrau</x:v>
      </x:c>
      <x:c r="G8" s="17" t="str">
        <x:v>Monsoon/flood</x:v>
      </x:c>
      <x:c r="H8" s="17" t="str">
        <x:v>A/B</x:v>
      </x:c>
      <x:c r="I8" s="17" t="str">
        <x:v>SRC_R2023_KOSMO_20230301</x:v>
      </x:c>
      <x:c r="J8" s="17" t="str">
        <x:v>SRC_R2023_MDJ_20230301</x:v>
      </x:c>
      <x:c r="K8" s="17" t="str">
        <x:v>Episode spans 2023-02-28 to 2023-03-01; anchored to 1 Mar status report</x:v>
      </x:c>
      <x:c r="L8" s="17" t="str">
        <x:v>Short label 'Kangkar' is not automatically merged to Kangkar Tebrau.</x:v>
      </x:c>
    </x:row>
    <x:row r="9">
      <x:c r="A9" s="17" t="str">
        <x:v>EVT-JB-2023-008</x:v>
      </x:c>
      <x:c r="B9" s="17" t="str">
        <x:v>2023-03-01</x:v>
      </x:c>
      <x:c r="C9" s="17" t="str">
        <x:v>DG-JB-20230228-20230301</x:v>
      </x:c>
      <x:c r="D9" s="17" t="str">
        <x:v>Kampung Sungai Tiram</x:v>
      </x:c>
      <x:c r="E9" s="17" t="str">
        <x:v>S2023-008</x:v>
      </x:c>
      <x:c r="F9" s="17" t="str">
        <x:v>Kampung Sungai Tiram</x:v>
      </x:c>
      <x:c r="G9" s="17" t="str">
        <x:v>Monsoon/flood</x:v>
      </x:c>
      <x:c r="H9" s="17" t="str">
        <x:v>A/B</x:v>
      </x:c>
      <x:c r="I9" s="17" t="str">
        <x:v>SRC_R2023_KOSMO_20230301</x:v>
      </x:c>
      <x:c r="J9" s="17" t="str">
        <x:v>SRC_R2023_MDJ_20230301</x:v>
      </x:c>
      <x:c r="K9" s="17" t="str">
        <x:v>Episode spans 2023-02-28 to 2023-03-01; anchored to 1 Mar status report</x:v>
      </x:c>
      <x:c r="L9" s="17" t="str">
        <x:v>Short label 'Kangkar' is not automatically merged to Kangkar Tebrau.</x:v>
      </x:c>
    </x:row>
    <x:row r="10">
      <x:c r="A10" s="17" t="str">
        <x:v>EVT-JB-2023-009</x:v>
      </x:c>
      <x:c r="B10" s="17" t="str">
        <x:v>2023-03-01</x:v>
      </x:c>
      <x:c r="C10" s="17" t="str">
        <x:v>DG-JB-20230228-20230301</x:v>
      </x:c>
      <x:c r="D10" s="17" t="str">
        <x:v>Kampung Paya Kenangan</x:v>
      </x:c>
      <x:c r="E10" s="17" t="str">
        <x:v>S2023-009</x:v>
      </x:c>
      <x:c r="F10" s="17" t="str">
        <x:v>Kampung Paya Kenangan</x:v>
      </x:c>
      <x:c r="G10" s="17" t="str">
        <x:v>Monsoon/flood</x:v>
      </x:c>
      <x:c r="H10" s="17" t="str">
        <x:v>A/B</x:v>
      </x:c>
      <x:c r="I10" s="17" t="str">
        <x:v>SRC_R2023_KOSMO_20230301</x:v>
      </x:c>
      <x:c r="J10" s="17" t="str">
        <x:v>SRC_R2023_MDJ_20230301</x:v>
      </x:c>
      <x:c r="K10" s="17" t="str">
        <x:v>Episode spans 2023-02-28 to 2023-03-01; anchored to 1 Mar status report</x:v>
      </x:c>
      <x:c r="L10" s="17" t="str">
        <x:v>Short label 'Kangkar' is not automatically merged to Kangkar Tebrau.</x:v>
      </x:c>
    </x:row>
    <x:row r="11">
      <x:c r="A11" s="17" t="str">
        <x:v>EVT-JB-2023-010</x:v>
      </x:c>
      <x:c r="B11" s="17" t="str">
        <x:v>2023-03-01</x:v>
      </x:c>
      <x:c r="C11" s="17" t="str">
        <x:v>DG-JB-20230228-20230301</x:v>
      </x:c>
      <x:c r="D11" s="17" t="str">
        <x:v>Kangkar</x:v>
      </x:c>
      <x:c r="E11" s="17" t="str">
        <x:v>S2023-010</x:v>
      </x:c>
      <x:c r="F11" s="17" t="str">
        <x:v>Kangkar (source-short-name)</x:v>
      </x:c>
      <x:c r="G11" s="17" t="str">
        <x:v>Monsoon/flood</x:v>
      </x:c>
      <x:c r="H11" s="17" t="str">
        <x:v>A/B</x:v>
      </x:c>
      <x:c r="I11" s="17" t="str">
        <x:v>SRC_R2023_KOSMO_20230301</x:v>
      </x:c>
      <x:c r="J11" s="17" t="str">
        <x:v>SRC_R2023_MDJ_20230301</x:v>
      </x:c>
      <x:c r="K11" s="17" t="str">
        <x:v>Episode spans 2023-02-28 to 2023-03-01; anchored to 1 Mar status report</x:v>
      </x:c>
      <x:c r="L11" s="17" t="str">
        <x:v>Short label 'Kangkar' is not automatically merged to Kangkar Tebrau.</x:v>
      </x:c>
    </x:row>
    <x:row r="12">
      <x:c r="A12" s="17" t="str">
        <x:v>EVT-JB-2023-011</x:v>
      </x:c>
      <x:c r="B12" s="17" t="str">
        <x:v>2023-11-01</x:v>
      </x:c>
      <x:c r="C12" s="17" t="str">
        <x:v>DG-JB-20231101</x:v>
      </x:c>
      <x:c r="D12" s="17" t="str">
        <x:v>Lorong Mak Piah, Kampung Sungai Tiram</x:v>
      </x:c>
      <x:c r="E12" s="17" t="str">
        <x:v>S2023-011</x:v>
      </x:c>
      <x:c r="F12" s="17" t="str">
        <x:v>Lorong Mak Piah, Kampung Sungai Tiram</x:v>
      </x:c>
      <x:c r="G12" s="17" t="str">
        <x:v>Flash flood</x:v>
      </x:c>
      <x:c r="H12" s="17" t="str">
        <x:v>A/B</x:v>
      </x:c>
      <x:c r="I12" s="17" t="str">
        <x:v>SRC_R2023_BERNAMA_20231102</x:v>
      </x:c>
      <x:c r="J12" s="17" t="str">
        <x:v>SRC_R2023_RTM_20231102</x:v>
      </x:c>
      <x:c r="K12" s="17" t="str">
        <x:v>Exact day inferred from 2 Nov report stating evacuation began 11 pm the previous night</x:v>
      </x:c>
      <x:c r="L12" s="17" t="str">
        <x:v>One-metre flood depth reported; blockage at nearby bridge cited.</x:v>
      </x:c>
    </x:row>
    <x:row r="13">
      <x:c r="A13" s="17" t="str">
        <x:v>EVT-JB-2023-012</x:v>
      </x:c>
      <x:c r="B13" s="17" t="str">
        <x:v>2023-11-12</x:v>
      </x:c>
      <x:c r="C13" s="17" t="str">
        <x:v>DG-JB-20231112</x:v>
      </x:c>
      <x:c r="D13" s="17" t="str">
        <x:v>Kampung Sentosa Damai</x:v>
      </x:c>
      <x:c r="E13" s="17" t="str">
        <x:v>S2023-012</x:v>
      </x:c>
      <x:c r="F13" s="17" t="str">
        <x:v>Kampung Sentosa Damai</x:v>
      </x:c>
      <x:c r="G13" s="17" t="str">
        <x:v>Flash flood</x:v>
      </x:c>
      <x:c r="H13" s="17" t="str">
        <x:v>B</x:v>
      </x:c>
      <x:c r="I13" s="17" t="str">
        <x:v>SRC_R2023_RTM_20231112</x:v>
      </x:c>
      <x:c r="J13" s="17" t="str"/>
      <x:c r="K13" s="17" t="str">
        <x:v>Exact day</x:v>
      </x:c>
      <x:c r="L13" s="17" t="str">
        <x:v>10 victims from two families; water reported about three feet.</x:v>
      </x:c>
    </x:row>
    <x:row r="14">
      <x:c r="A14" s="17" t="str">
        <x:v>EVT-JB-2023-013</x:v>
      </x:c>
      <x:c r="B14" s="17" t="str">
        <x:v>2023-11-15</x:v>
      </x:c>
      <x:c r="C14" s="17" t="str">
        <x:v>DG-JB-20231115</x:v>
      </x:c>
      <x:c r="D14" s="17" t="str">
        <x:v>Kampung Sentosa Damai</x:v>
      </x:c>
      <x:c r="E14" s="17" t="str">
        <x:v>S2023-012</x:v>
      </x:c>
      <x:c r="F14" s="17" t="str">
        <x:v>Kampung Sentosa Damai</x:v>
      </x:c>
      <x:c r="G14" s="17" t="str">
        <x:v>Flash flood</x:v>
      </x:c>
      <x:c r="H14" s="17" t="str">
        <x:v>B</x:v>
      </x:c>
      <x:c r="I14" s="17" t="str">
        <x:v>SRC_R2023_RTM_20231115</x:v>
      </x:c>
      <x:c r="J14" s="17" t="str"/>
      <x:c r="K14" s="17" t="str">
        <x:v>Exact day</x:v>
      </x:c>
      <x:c r="L14" s="17" t="str">
        <x:v>Separate same-location recurrence at about 4:30 pm; 25 other houses also affected.</x:v>
      </x:c>
    </x:row>
    <x:row r="15">
      <x:c r="A15" s="17" t="str">
        <x:v>EVT-JB-2023-014</x:v>
      </x:c>
      <x:c r="B15" s="17" t="str">
        <x:v>2023-12-01</x:v>
      </x:c>
      <x:c r="C15" s="17" t="str">
        <x:v>DG-JB-20231201</x:v>
      </x:c>
      <x:c r="D15" s="17" t="str">
        <x:v>Kampung Paya Kenangan</x:v>
      </x:c>
      <x:c r="E15" s="17" t="str">
        <x:v>S2023-009</x:v>
      </x:c>
      <x:c r="F15" s="17" t="str">
        <x:v>Kampung Paya Kenangan</x:v>
      </x:c>
      <x:c r="G15" s="17" t="str">
        <x:v>Flash flood</x:v>
      </x:c>
      <x:c r="H15" s="17" t="str">
        <x:v>A/B</x:v>
      </x:c>
      <x:c r="I15" s="17" t="str">
        <x:v>SRC_R2023_FMT_BERNAMA_20231201</x:v>
      </x:c>
      <x:c r="J15" s="17" t="str">
        <x:v>SRC_R2023_RTM_20231201</x:v>
      </x:c>
      <x:c r="K15" s="17" t="str">
        <x:v>Exact day</x:v>
      </x:c>
      <x:c r="L15" s="17" t="str"/>
    </x:row>
    <x:row r="16">
      <x:c r="A16" s="17" t="str">
        <x:v>EVT-JB-2023-015</x:v>
      </x:c>
      <x:c r="B16" s="17" t="str">
        <x:v>2023-12-01</x:v>
      </x:c>
      <x:c r="C16" s="17" t="str">
        <x:v>DG-JB-20231201</x:v>
      </x:c>
      <x:c r="D16" s="17" t="str">
        <x:v>Kampung Pasir Tebrau</x:v>
      </x:c>
      <x:c r="E16" s="17" t="str">
        <x:v>S2023-007</x:v>
      </x:c>
      <x:c r="F16" s="17" t="str">
        <x:v>Kampung Pasir Tebrau</x:v>
      </x:c>
      <x:c r="G16" s="17" t="str">
        <x:v>Flash flood</x:v>
      </x:c>
      <x:c r="H16" s="17" t="str">
        <x:v>A/B</x:v>
      </x:c>
      <x:c r="I16" s="17" t="str">
        <x:v>SRC_R2023_FMT_BERNAMA_20231201</x:v>
      </x:c>
      <x:c r="J16" s="17" t="str"/>
      <x:c r="K16" s="17" t="str">
        <x:v>Exact day</x:v>
      </x:c>
      <x:c r="L16" s="17" t="str"/>
    </x:row>
    <x:row r="17">
      <x:c r="A17" s="17" t="str">
        <x:v>EVT-JB-2023-016</x:v>
      </x:c>
      <x:c r="B17" s="17" t="str">
        <x:v>2023-12-01</x:v>
      </x:c>
      <x:c r="C17" s="17" t="str">
        <x:v>DG-JB-20231201</x:v>
      </x:c>
      <x:c r="D17" s="17" t="str">
        <x:v>Kampung Kangkar Tebrau</x:v>
      </x:c>
      <x:c r="E17" s="17" t="str">
        <x:v>S2023-013</x:v>
      </x:c>
      <x:c r="F17" s="17" t="str">
        <x:v>Kampung Kangkar Tebrau</x:v>
      </x:c>
      <x:c r="G17" s="17" t="str">
        <x:v>Flash flood</x:v>
      </x:c>
      <x:c r="H17" s="17" t="str">
        <x:v>A/B</x:v>
      </x:c>
      <x:c r="I17" s="17" t="str">
        <x:v>SRC_R2023_FMT_BERNAMA_20231201</x:v>
      </x:c>
      <x:c r="J17" s="17" t="str"/>
      <x:c r="K17" s="17" t="str">
        <x:v>Exact day</x:v>
      </x:c>
      <x:c r="L17" s="17" t="str"/>
    </x:row>
    <x:row r="18">
      <x:c r="A18" s="17" t="str">
        <x:v>EVT-JB-2023-017</x:v>
      </x:c>
      <x:c r="B18" s="17" t="str">
        <x:v>2023-12-01</x:v>
      </x:c>
      <x:c r="C18" s="17" t="str">
        <x:v>DG-JB-20231201</x:v>
      </x:c>
      <x:c r="D18" s="17" t="str">
        <x:v>Kampung Sentosa Damai</x:v>
      </x:c>
      <x:c r="E18" s="17" t="str">
        <x:v>S2023-012</x:v>
      </x:c>
      <x:c r="F18" s="17" t="str">
        <x:v>Kampung Sentosa Damai</x:v>
      </x:c>
      <x:c r="G18" s="17" t="str">
        <x:v>Flash flood</x:v>
      </x:c>
      <x:c r="H18" s="17" t="str">
        <x:v>A/B</x:v>
      </x:c>
      <x:c r="I18" s="17" t="str">
        <x:v>SRC_R2023_FMT_BERNAMA_20231201</x:v>
      </x:c>
      <x:c r="J18" s="17" t="str">
        <x:v>SRC_R2023_RTM_20231201</x:v>
      </x:c>
      <x:c r="K18" s="17" t="str">
        <x:v>Exact day</x:v>
      </x:c>
      <x:c r="L18" s="17" t="str"/>
    </x:row>
    <x:row r="19">
      <x:c r="A19" s="17" t="str">
        <x:v>EVT-JB-2023-018</x:v>
      </x:c>
      <x:c r="B19" s="17" t="str">
        <x:v>2023-12-01</x:v>
      </x:c>
      <x:c r="C19" s="17" t="str">
        <x:v>DG-JB-20231201</x:v>
      </x:c>
      <x:c r="D19" s="17" t="str">
        <x:v>Kampung Sentosa Barat</x:v>
      </x:c>
      <x:c r="E19" s="17" t="str">
        <x:v>S2023-014</x:v>
      </x:c>
      <x:c r="F19" s="17" t="str">
        <x:v>Kampung Sentosa Barat</x:v>
      </x:c>
      <x:c r="G19" s="17" t="str">
        <x:v>Flash flood</x:v>
      </x:c>
      <x:c r="H19" s="17" t="str">
        <x:v>A/B</x:v>
      </x:c>
      <x:c r="I19" s="17" t="str">
        <x:v>SRC_R2023_FMT_BERNAMA_20231201</x:v>
      </x:c>
      <x:c r="J19" s="17" t="str"/>
      <x:c r="K19" s="17" t="str">
        <x:v>Exact day</x:v>
      </x:c>
      <x:c r="L19" s="17" t="str"/>
    </x:row>
    <x:row r="20">
      <x:c r="A20" s="17" t="str">
        <x:v>EVT-JB-2023-019</x:v>
      </x:c>
      <x:c r="B20" s="17" t="str">
        <x:v>2023-12-01</x:v>
      </x:c>
      <x:c r="C20" s="17" t="str">
        <x:v>DG-JB-20231201</x:v>
      </x:c>
      <x:c r="D20" s="17" t="str">
        <x:v>Kampung Bukit Pulai</x:v>
      </x:c>
      <x:c r="E20" s="17" t="str">
        <x:v>S2023-015</x:v>
      </x:c>
      <x:c r="F20" s="17" t="str">
        <x:v>Kampung Bukit Pulai</x:v>
      </x:c>
      <x:c r="G20" s="17" t="str">
        <x:v>Flash flood</x:v>
      </x:c>
      <x:c r="H20" s="17" t="str">
        <x:v>A/B</x:v>
      </x:c>
      <x:c r="I20" s="17" t="str">
        <x:v>SRC_R2023_RTM_20231201</x:v>
      </x:c>
      <x:c r="J20" s="17" t="str">
        <x:v>SRC_R2023_KOSMO_20231201</x:v>
      </x:c>
      <x:c r="K20" s="17" t="str">
        <x:v>Exact day</x:v>
      </x:c>
      <x:c r="L20" s="17" t="str"/>
    </x:row>
    <x:row r="21">
      <x:c r="A21" s="17" t="str">
        <x:v>EVT-JB-2023-020</x:v>
      </x:c>
      <x:c r="B21" s="17" t="str">
        <x:v>2023-12-01</x:v>
      </x:c>
      <x:c r="C21" s="17" t="str">
        <x:v>DG-JB-20231201</x:v>
      </x:c>
      <x:c r="D21" s="17" t="str">
        <x:v>Taman Bunga Ros</x:v>
      </x:c>
      <x:c r="E21" s="17" t="str">
        <x:v>S2023-016</x:v>
      </x:c>
      <x:c r="F21" s="17" t="str">
        <x:v>Taman Bunga Ros</x:v>
      </x:c>
      <x:c r="G21" s="17" t="str">
        <x:v>Flash flood</x:v>
      </x:c>
      <x:c r="H21" s="17" t="str">
        <x:v>A/B</x:v>
      </x:c>
      <x:c r="I21" s="17" t="str">
        <x:v>SRC_R2023_RTM_20231201</x:v>
      </x:c>
      <x:c r="J21" s="17" t="str">
        <x:v>SRC_R2023_PDRM_20231201</x:v>
      </x:c>
      <x:c r="K21" s="17" t="str">
        <x:v>Exact day</x:v>
      </x:c>
      <x:c r="L21" s="17" t="str"/>
    </x:row>
    <x:row r="22">
      <x:c r="A22" s="17" t="str">
        <x:v>EVT-JB-2023-021</x:v>
      </x:c>
      <x:c r="B22" s="17" t="str">
        <x:v>2023-12-01</x:v>
      </x:c>
      <x:c r="C22" s="17" t="str">
        <x:v>DG-JB-20231201</x:v>
      </x:c>
      <x:c r="D22" s="17" t="str">
        <x:v>Jalan Kangkar Tebrau</x:v>
      </x:c>
      <x:c r="E22" s="17" t="str">
        <x:v>S2023-017</x:v>
      </x:c>
      <x:c r="F22" s="17" t="str">
        <x:v>Jalan Kangkar Tebrau</x:v>
      </x:c>
      <x:c r="G22" s="17" t="str">
        <x:v>Flash flood</x:v>
      </x:c>
      <x:c r="H22" s="17" t="str">
        <x:v>A/B</x:v>
      </x:c>
      <x:c r="I22" s="17" t="str">
        <x:v>SRC_R2023_RTM_20231201</x:v>
      </x:c>
      <x:c r="J22" s="17" t="str">
        <x:v>SRC_R2023_KOSMO_20231201</x:v>
      </x:c>
      <x:c r="K22" s="17" t="str">
        <x:v>Exact day</x:v>
      </x:c>
      <x:c r="L22" s="17" t="str">
        <x:v>Road-specific object retained separately from parent Kampung Kangkar Tebrau.</x:v>
      </x:c>
    </x:row>
    <x:row r="23">
      <x:c r="A23" s="17" t="str">
        <x:v>EVT-JB-2023-022</x:v>
      </x:c>
      <x:c r="B23" s="17" t="str">
        <x:v>2023-12-01</x:v>
      </x:c>
      <x:c r="C23" s="17" t="str">
        <x:v>DG-JB-20231201</x:v>
      </x:c>
      <x:c r="D23" s="17" t="str">
        <x:v>Kampung Pasir</x:v>
      </x:c>
      <x:c r="E23" s="17" t="str">
        <x:v>S2023-018</x:v>
      </x:c>
      <x:c r="F23" s="17" t="str">
        <x:v>Kampung Pasir</x:v>
      </x:c>
      <x:c r="G23" s="17" t="str">
        <x:v>Flash flood</x:v>
      </x:c>
      <x:c r="H23" s="17" t="str">
        <x:v>A/B</x:v>
      </x:c>
      <x:c r="I23" s="17" t="str">
        <x:v>SRC_R2023_PDRM_20231201</x:v>
      </x:c>
      <x:c r="J23" s="17" t="str"/>
      <x:c r="K23" s="17" t="str">
        <x:v>Exact day</x:v>
      </x:c>
      <x:c r="L23" s="17" t="str">
        <x:v>Not auto-merged with Kampung Pasir Tebrau.</x:v>
      </x:c>
    </x:row>
    <x:row r="24">
      <x:c r="A24" s="17" t="str">
        <x:v>EVT-JB-2023-023</x:v>
      </x:c>
      <x:c r="B24" s="17" t="str">
        <x:v>2023-12-01</x:v>
      </x:c>
      <x:c r="C24" s="17" t="str">
        <x:v>DG-JB-20231201</x:v>
      </x:c>
      <x:c r="D24" s="17" t="str">
        <x:v>Jalan Kampung Sentosa Damai 8</x:v>
      </x:c>
      <x:c r="E24" s="17" t="str">
        <x:v>S2023-019</x:v>
      </x:c>
      <x:c r="F24" s="17" t="str">
        <x:v>Jalan Kampung Sentosa Damai 8</x:v>
      </x:c>
      <x:c r="G24" s="17" t="str">
        <x:v>Flash flood</x:v>
      </x:c>
      <x:c r="H24" s="17" t="str">
        <x:v>A/B</x:v>
      </x:c>
      <x:c r="I24" s="17" t="str">
        <x:v>SRC_R2023_KOSMO_20231201</x:v>
      </x:c>
      <x:c r="J24" s="17" t="str"/>
      <x:c r="K24" s="17" t="str">
        <x:v>Exact day</x:v>
      </x:c>
      <x:c r="L24" s="17" t="str">
        <x:v>Road/subarea object retained separately from parent community.</x:v>
      </x:c>
    </x:row>
    <x:row r="25">
      <x:c r="A25" s="17" t="str">
        <x:v>EVT-JB-2023-024</x:v>
      </x:c>
      <x:c r="B25" s="17" t="str">
        <x:v>2023-12-06</x:v>
      </x:c>
      <x:c r="C25" s="17" t="str">
        <x:v>DG-JB-20231206</x:v>
      </x:c>
      <x:c r="D25" s="17" t="str">
        <x:v>Dataran Bandaraya Johor Bahru</x:v>
      </x:c>
      <x:c r="E25" s="17" t="str">
        <x:v>S2023-020</x:v>
      </x:c>
      <x:c r="F25" s="17" t="str">
        <x:v>Dataran Bandaraya Johor Bahru</x:v>
      </x:c>
      <x:c r="G25" s="17" t="str">
        <x:v>Flash flood</x:v>
      </x:c>
      <x:c r="H25" s="17" t="str">
        <x:v>A/B</x:v>
      </x:c>
      <x:c r="I25" s="17" t="str">
        <x:v>SRC_R2023_FMT_20231206</x:v>
      </x:c>
      <x:c r="J25" s="17" t="str">
        <x:v>SRC_R2023_MDJ_MAIN_20231207</x:v>
      </x:c>
      <x:c r="K25" s="17" t="str">
        <x:v>Exact day</x:v>
      </x:c>
      <x:c r="L25" s="17" t="str">
        <x:v>Part of the 25-location MBJB/media reconstruction; source labels are normalized without duplicating aliases.</x:v>
      </x:c>
    </x:row>
    <x:row r="26">
      <x:c r="A26" s="17" t="str">
        <x:v>EVT-JB-2023-025</x:v>
      </x:c>
      <x:c r="B26" s="17" t="str">
        <x:v>2023-12-06</x:v>
      </x:c>
      <x:c r="C26" s="17" t="str">
        <x:v>DG-JB-20231206</x:v>
      </x:c>
      <x:c r="D26" s="17" t="str">
        <x:v>Jalan Kolam Air</x:v>
      </x:c>
      <x:c r="E26" s="17" t="str">
        <x:v>S2023-021</x:v>
      </x:c>
      <x:c r="F26" s="17" t="str">
        <x:v>Jalan Kolam Ayer</x:v>
      </x:c>
      <x:c r="G26" s="17" t="str">
        <x:v>Flash flood</x:v>
      </x:c>
      <x:c r="H26" s="17" t="str">
        <x:v>A/B</x:v>
      </x:c>
      <x:c r="I26" s="17" t="str">
        <x:v>SRC_R2023_FMT_20231206</x:v>
      </x:c>
      <x:c r="J26" s="17" t="str">
        <x:v>SRC_R2023_MDJ_MAIN_20231207</x:v>
      </x:c>
      <x:c r="K26" s="17" t="str">
        <x:v>Exact day</x:v>
      </x:c>
      <x:c r="L26" s="17" t="str">
        <x:v>Part of the 25-location MBJB/media reconstruction; source labels are normalized without duplicating aliases.</x:v>
      </x:c>
    </x:row>
    <x:row r="27">
      <x:c r="A27" s="17" t="str">
        <x:v>EVT-JB-2023-026</x:v>
      </x:c>
      <x:c r="B27" s="17" t="str">
        <x:v>2023-12-06</x:v>
      </x:c>
      <x:c r="C27" s="17" t="str">
        <x:v>DG-JB-20231206</x:v>
      </x:c>
      <x:c r="D27" s="17" t="str">
        <x:v>Jalan Ayer Molek</x:v>
      </x:c>
      <x:c r="E27" s="17" t="str">
        <x:v>S2023-022</x:v>
      </x:c>
      <x:c r="F27" s="17" t="str">
        <x:v>Jalan Ayer Molek</x:v>
      </x:c>
      <x:c r="G27" s="17" t="str">
        <x:v>Flash flood</x:v>
      </x:c>
      <x:c r="H27" s="17" t="str">
        <x:v>A/B</x:v>
      </x:c>
      <x:c r="I27" s="17" t="str">
        <x:v>SRC_R2023_FMT_20231206</x:v>
      </x:c>
      <x:c r="J27" s="17" t="str">
        <x:v>SRC_R2023_MDJ_MAIN_20231207</x:v>
      </x:c>
      <x:c r="K27" s="17" t="str">
        <x:v>Exact day</x:v>
      </x:c>
      <x:c r="L27" s="17" t="str">
        <x:v>Part of the 25-location MBJB/media reconstruction; source labels are normalized without duplicating aliases.</x:v>
      </x:c>
    </x:row>
    <x:row r="28">
      <x:c r="A28" s="17" t="str">
        <x:v>EVT-JB-2023-027</x:v>
      </x:c>
      <x:c r="B28" s="17" t="str">
        <x:v>2023-12-06</x:v>
      </x:c>
      <x:c r="C28" s="17" t="str">
        <x:v>DG-JB-20231206</x:v>
      </x:c>
      <x:c r="D28" s="17" t="str">
        <x:v>Jalan Bilal Mahmood</x:v>
      </x:c>
      <x:c r="E28" s="17" t="str">
        <x:v>S2023-023</x:v>
      </x:c>
      <x:c r="F28" s="17" t="str">
        <x:v>Jalan Bilal Mahmood</x:v>
      </x:c>
      <x:c r="G28" s="17" t="str">
        <x:v>Flash flood</x:v>
      </x:c>
      <x:c r="H28" s="17" t="str">
        <x:v>A/B</x:v>
      </x:c>
      <x:c r="I28" s="17" t="str">
        <x:v>SRC_R2023_FMT_20231206</x:v>
      </x:c>
      <x:c r="J28" s="17" t="str"/>
      <x:c r="K28" s="17" t="str">
        <x:v>Exact day</x:v>
      </x:c>
      <x:c r="L28" s="17" t="str">
        <x:v>Part of the 25-location MBJB/media reconstruction; source labels are normalized without duplicating aliases.</x:v>
      </x:c>
    </x:row>
    <x:row r="29">
      <x:c r="A29" s="17" t="str">
        <x:v>EVT-JB-2023-028</x:v>
      </x:c>
      <x:c r="B29" s="17" t="str">
        <x:v>2023-12-06</x:v>
      </x:c>
      <x:c r="C29" s="17" t="str">
        <x:v>DG-JB-20231206</x:v>
      </x:c>
      <x:c r="D29" s="17" t="str">
        <x:v>Jalan Dato Sulaiman</x:v>
      </x:c>
      <x:c r="E29" s="17" t="str">
        <x:v>S2023-024</x:v>
      </x:c>
      <x:c r="F29" s="17" t="str">
        <x:v>Jalan Dato Sulaiman</x:v>
      </x:c>
      <x:c r="G29" s="17" t="str">
        <x:v>Flash flood</x:v>
      </x:c>
      <x:c r="H29" s="17" t="str">
        <x:v>A/B</x:v>
      </x:c>
      <x:c r="I29" s="17" t="str">
        <x:v>SRC_R2023_FMT_20231206</x:v>
      </x:c>
      <x:c r="J29" s="17" t="str">
        <x:v>SRC_R2023_MDJ_MAIN_20231207</x:v>
      </x:c>
      <x:c r="K29" s="17" t="str">
        <x:v>Exact day</x:v>
      </x:c>
      <x:c r="L29" s="17" t="str">
        <x:v>Part of the 25-location MBJB/media reconstruction; source labels are normalized without duplicating aliases.</x:v>
      </x:c>
    </x:row>
    <x:row r="30">
      <x:c r="A30" s="17" t="str">
        <x:v>EVT-JB-2023-029</x:v>
      </x:c>
      <x:c r="B30" s="17" t="str">
        <x:v>2023-12-06</x:v>
      </x:c>
      <x:c r="C30" s="17" t="str">
        <x:v>DG-JB-20231206</x:v>
      </x:c>
      <x:c r="D30" s="17" t="str">
        <x:v>Jalan Ibrahim Sultan</x:v>
      </x:c>
      <x:c r="E30" s="17" t="str">
        <x:v>S2023-025</x:v>
      </x:c>
      <x:c r="F30" s="17" t="str">
        <x:v>Jalan Ibrahim Sultan</x:v>
      </x:c>
      <x:c r="G30" s="17" t="str">
        <x:v>Flash flood</x:v>
      </x:c>
      <x:c r="H30" s="17" t="str">
        <x:v>A/B</x:v>
      </x:c>
      <x:c r="I30" s="17" t="str">
        <x:v>SRC_R2023_FMT_20231206</x:v>
      </x:c>
      <x:c r="J30" s="17" t="str">
        <x:v>SRC_R2023_MDJ_MAIN_20231207</x:v>
      </x:c>
      <x:c r="K30" s="17" t="str">
        <x:v>Exact day</x:v>
      </x:c>
      <x:c r="L30" s="17" t="str">
        <x:v>Part of the 25-location MBJB/media reconstruction; source labels are normalized without duplicating aliases.</x:v>
      </x:c>
    </x:row>
    <x:row r="31">
      <x:c r="A31" s="17" t="str">
        <x:v>EVT-JB-2023-030</x:v>
      </x:c>
      <x:c r="B31" s="17" t="str">
        <x:v>2023-12-06</x:v>
      </x:c>
      <x:c r="C31" s="17" t="str">
        <x:v>DG-JB-20231206</x:v>
      </x:c>
      <x:c r="D31" s="17" t="str">
        <x:v>Jalan Ismail Sultan</x:v>
      </x:c>
      <x:c r="E31" s="17" t="str">
        <x:v>S2023-026</x:v>
      </x:c>
      <x:c r="F31" s="17" t="str">
        <x:v>Jalan Ismail Sultan</x:v>
      </x:c>
      <x:c r="G31" s="17" t="str">
        <x:v>Flash flood</x:v>
      </x:c>
      <x:c r="H31" s="17" t="str">
        <x:v>A/B</x:v>
      </x:c>
      <x:c r="I31" s="17" t="str">
        <x:v>SRC_R2023_FMT_20231206</x:v>
      </x:c>
      <x:c r="J31" s="17" t="str"/>
      <x:c r="K31" s="17" t="str">
        <x:v>Exact day</x:v>
      </x:c>
      <x:c r="L31" s="17" t="str">
        <x:v>Part of the 25-location MBJB/media reconstruction; source labels are normalized without duplicating aliases.</x:v>
      </x:c>
    </x:row>
    <x:row r="32">
      <x:c r="A32" s="17" t="str">
        <x:v>EVT-JB-2023-031</x:v>
      </x:c>
      <x:c r="B32" s="17" t="str">
        <x:v>2023-12-06</x:v>
      </x:c>
      <x:c r="C32" s="17" t="str">
        <x:v>DG-JB-20231206</x:v>
      </x:c>
      <x:c r="D32" s="17" t="str">
        <x:v>Jalan Lurah 3</x:v>
      </x:c>
      <x:c r="E32" s="17" t="str">
        <x:v>S2023-027</x:v>
      </x:c>
      <x:c r="F32" s="17" t="str">
        <x:v>Jalan Lurah 3</x:v>
      </x:c>
      <x:c r="G32" s="17" t="str">
        <x:v>Flash flood</x:v>
      </x:c>
      <x:c r="H32" s="17" t="str">
        <x:v>A/B</x:v>
      </x:c>
      <x:c r="I32" s="17" t="str">
        <x:v>SRC_R2023_FMT_20231206</x:v>
      </x:c>
      <x:c r="J32" s="17" t="str"/>
      <x:c r="K32" s="17" t="str">
        <x:v>Exact day</x:v>
      </x:c>
      <x:c r="L32" s="17" t="str">
        <x:v>Part of the 25-location MBJB/media reconstruction; source labels are normalized without duplicating aliases.</x:v>
      </x:c>
    </x:row>
    <x:row r="33">
      <x:c r="A33" s="17" t="str">
        <x:v>EVT-JB-2023-032</x:v>
      </x:c>
      <x:c r="B33" s="17" t="str">
        <x:v>2023-12-06</x:v>
      </x:c>
      <x:c r="C33" s="17" t="str">
        <x:v>DG-JB-20231206</x:v>
      </x:c>
      <x:c r="D33" s="17" t="str">
        <x:v>Jalan Mahmoodiah</x:v>
      </x:c>
      <x:c r="E33" s="17" t="str">
        <x:v>S2023-028</x:v>
      </x:c>
      <x:c r="F33" s="17" t="str">
        <x:v>Jalan Mahmoodiah</x:v>
      </x:c>
      <x:c r="G33" s="17" t="str">
        <x:v>Flash flood</x:v>
      </x:c>
      <x:c r="H33" s="17" t="str">
        <x:v>A/B</x:v>
      </x:c>
      <x:c r="I33" s="17" t="str">
        <x:v>SRC_R2023_FMT_20231206</x:v>
      </x:c>
      <x:c r="J33" s="17" t="str">
        <x:v>SRC_R2023_MDJ_MAIN_20231207</x:v>
      </x:c>
      <x:c r="K33" s="17" t="str">
        <x:v>Exact day</x:v>
      </x:c>
      <x:c r="L33" s="17" t="str">
        <x:v>Part of the 25-location MBJB/media reconstruction; source labels are normalized without duplicating aliases.</x:v>
      </x:c>
    </x:row>
    <x:row r="34">
      <x:c r="A34" s="17" t="str">
        <x:v>EVT-JB-2023-033</x:v>
      </x:c>
      <x:c r="B34" s="17" t="str">
        <x:v>2023-12-06</x:v>
      </x:c>
      <x:c r="C34" s="17" t="str">
        <x:v>DG-JB-20231206</x:v>
      </x:c>
      <x:c r="D34" s="17" t="str">
        <x:v>Jalan Mohd Amin / Kampung Mohd Amin</x:v>
      </x:c>
      <x:c r="E34" s="17" t="str">
        <x:v>S2023-029</x:v>
      </x:c>
      <x:c r="F34" s="17" t="str">
        <x:v>Kampung Mohd Amin / Jalan Mohd Amin context</x:v>
      </x:c>
      <x:c r="G34" s="17" t="str">
        <x:v>Flash flood</x:v>
      </x:c>
      <x:c r="H34" s="17" t="str">
        <x:v>A/B</x:v>
      </x:c>
      <x:c r="I34" s="17" t="str">
        <x:v>SRC_R2023_FMT_20231206</x:v>
      </x:c>
      <x:c r="J34" s="17" t="str">
        <x:v>SRC_R2023_MDJ_RESPONSE_20231206</x:v>
      </x:c>
      <x:c r="K34" s="17" t="str">
        <x:v>Exact day</x:v>
      </x:c>
      <x:c r="L34" s="17" t="str">
        <x:v>Part of the 25-location MBJB/media reconstruction; source labels are normalized without duplicating aliases.</x:v>
      </x:c>
    </x:row>
    <x:row r="35">
      <x:c r="A35" s="17" t="str">
        <x:v>EVT-JB-2023-034</x:v>
      </x:c>
      <x:c r="B35" s="17" t="str">
        <x:v>2023-12-06</x:v>
      </x:c>
      <x:c r="C35" s="17" t="str">
        <x:v>DG-JB-20231206</x:v>
      </x:c>
      <x:c r="D35" s="17" t="str">
        <x:v>Jalan Padi Makmur</x:v>
      </x:c>
      <x:c r="E35" s="17" t="str">
        <x:v>S2023-030</x:v>
      </x:c>
      <x:c r="F35" s="17" t="str">
        <x:v>Jalan Padi Makmur</x:v>
      </x:c>
      <x:c r="G35" s="17" t="str">
        <x:v>Flash flood</x:v>
      </x:c>
      <x:c r="H35" s="17" t="str">
        <x:v>A/B</x:v>
      </x:c>
      <x:c r="I35" s="17" t="str">
        <x:v>SRC_R2023_FMT_20231206</x:v>
      </x:c>
      <x:c r="J35" s="17" t="str">
        <x:v>SRC_R2023_MDJ_MAIN_20231207</x:v>
      </x:c>
      <x:c r="K35" s="17" t="str">
        <x:v>Exact day</x:v>
      </x:c>
      <x:c r="L35" s="17" t="str">
        <x:v>Part of the 25-location MBJB/media reconstruction; source labels are normalized without duplicating aliases.</x:v>
      </x:c>
    </x:row>
    <x:row r="36">
      <x:c r="A36" s="17" t="str">
        <x:v>EVT-JB-2023-035</x:v>
      </x:c>
      <x:c r="B36" s="17" t="str">
        <x:v>2023-12-06</x:v>
      </x:c>
      <x:c r="C36" s="17" t="str">
        <x:v>DG-JB-20231206</x:v>
      </x:c>
      <x:c r="D36" s="17" t="str">
        <x:v>Jalan Serigala</x:v>
      </x:c>
      <x:c r="E36" s="17" t="str">
        <x:v>S2023-031</x:v>
      </x:c>
      <x:c r="F36" s="17" t="str">
        <x:v>Jalan Serigala</x:v>
      </x:c>
      <x:c r="G36" s="17" t="str">
        <x:v>Flash flood</x:v>
      </x:c>
      <x:c r="H36" s="17" t="str">
        <x:v>A/B</x:v>
      </x:c>
      <x:c r="I36" s="17" t="str">
        <x:v>SRC_R2023_FMT_20231206</x:v>
      </x:c>
      <x:c r="J36" s="17" t="str"/>
      <x:c r="K36" s="17" t="str">
        <x:v>Exact day</x:v>
      </x:c>
      <x:c r="L36" s="17" t="str">
        <x:v>Part of the 25-location MBJB/media reconstruction; source labels are normalized without duplicating aliases.</x:v>
      </x:c>
    </x:row>
    <x:row r="37">
      <x:c r="A37" s="17" t="str">
        <x:v>EVT-JB-2023-036</x:v>
      </x:c>
      <x:c r="B37" s="17" t="str">
        <x:v>2023-12-06</x:v>
      </x:c>
      <x:c r="C37" s="17" t="str">
        <x:v>DG-JB-20231206</x:v>
      </x:c>
      <x:c r="D37" s="17" t="str">
        <x:v>Jalan Stulang Darat</x:v>
      </x:c>
      <x:c r="E37" s="17" t="str">
        <x:v>S2023-032</x:v>
      </x:c>
      <x:c r="F37" s="17" t="str">
        <x:v>Jalan Stulang Darat</x:v>
      </x:c>
      <x:c r="G37" s="17" t="str">
        <x:v>Flash flood</x:v>
      </x:c>
      <x:c r="H37" s="17" t="str">
        <x:v>A/B</x:v>
      </x:c>
      <x:c r="I37" s="17" t="str">
        <x:v>SRC_R2023_FMT_20231206</x:v>
      </x:c>
      <x:c r="J37" s="17" t="str">
        <x:v>SRC_R2023_MDJ_MAIN_20231207</x:v>
      </x:c>
      <x:c r="K37" s="17" t="str">
        <x:v>Exact day</x:v>
      </x:c>
      <x:c r="L37" s="17" t="str">
        <x:v>Part of the 25-location MBJB/media reconstruction; source labels are normalized without duplicating aliases.</x:v>
      </x:c>
    </x:row>
    <x:row r="38">
      <x:c r="A38" s="17" t="str">
        <x:v>EVT-JB-2023-037</x:v>
      </x:c>
      <x:c r="B38" s="17" t="str">
        <x:v>2023-12-06</x:v>
      </x:c>
      <x:c r="C38" s="17" t="str">
        <x:v>DG-JB-20231206</x:v>
      </x:c>
      <x:c r="D38" s="17" t="str">
        <x:v>Jalan Tebrau</x:v>
      </x:c>
      <x:c r="E38" s="17" t="str">
        <x:v>S2023-033</x:v>
      </x:c>
      <x:c r="F38" s="17" t="str">
        <x:v>Jalan Tebrau</x:v>
      </x:c>
      <x:c r="G38" s="17" t="str">
        <x:v>Flash flood</x:v>
      </x:c>
      <x:c r="H38" s="17" t="str">
        <x:v>A/B</x:v>
      </x:c>
      <x:c r="I38" s="17" t="str">
        <x:v>SRC_R2023_FMT_20231206</x:v>
      </x:c>
      <x:c r="J38" s="17" t="str">
        <x:v>SRC_R2023_MDJ_MAIN_20231207</x:v>
      </x:c>
      <x:c r="K38" s="17" t="str">
        <x:v>Exact day</x:v>
      </x:c>
      <x:c r="L38" s="17" t="str">
        <x:v>Part of the 25-location MBJB/media reconstruction; source labels are normalized without duplicating aliases.</x:v>
      </x:c>
    </x:row>
    <x:row r="39">
      <x:c r="A39" s="17" t="str">
        <x:v>EVT-JB-2023-038</x:v>
      </x:c>
      <x:c r="B39" s="17" t="str">
        <x:v>2023-12-06</x:v>
      </x:c>
      <x:c r="C39" s="17" t="str">
        <x:v>DG-JB-20231206</x:v>
      </x:c>
      <x:c r="D39" s="17" t="str">
        <x:v>Jalan Tun Abdul Razak</x:v>
      </x:c>
      <x:c r="E39" s="17" t="str">
        <x:v>S2023-034</x:v>
      </x:c>
      <x:c r="F39" s="17" t="str">
        <x:v>Jalan Tun Abdul Razak</x:v>
      </x:c>
      <x:c r="G39" s="17" t="str">
        <x:v>Flash flood</x:v>
      </x:c>
      <x:c r="H39" s="17" t="str">
        <x:v>A/B</x:v>
      </x:c>
      <x:c r="I39" s="17" t="str">
        <x:v>SRC_R2023_FMT_20231206</x:v>
      </x:c>
      <x:c r="J39" s="17" t="str">
        <x:v>SRC_R2023_MDJ_MAIN_20231207</x:v>
      </x:c>
      <x:c r="K39" s="17" t="str">
        <x:v>Exact day</x:v>
      </x:c>
      <x:c r="L39" s="17" t="str">
        <x:v>Part of the 25-location MBJB/media reconstruction; source labels are normalized without duplicating aliases.</x:v>
      </x:c>
    </x:row>
    <x:row r="40">
      <x:c r="A40" s="17" t="str">
        <x:v>EVT-JB-2023-039</x:v>
      </x:c>
      <x:c r="B40" s="17" t="str">
        <x:v>2023-12-06</x:v>
      </x:c>
      <x:c r="C40" s="17" t="str">
        <x:v>DG-JB-20231206</x:v>
      </x:c>
      <x:c r="D40" s="17" t="str">
        <x:v>Jalan Tun Abdul Razak (Susur 2)</x:v>
      </x:c>
      <x:c r="E40" s="17" t="str">
        <x:v>S2023-035</x:v>
      </x:c>
      <x:c r="F40" s="17" t="str">
        <x:v>Jalan Tun Abdul Razak (Susur 2)</x:v>
      </x:c>
      <x:c r="G40" s="17" t="str">
        <x:v>Flash flood</x:v>
      </x:c>
      <x:c r="H40" s="17" t="str">
        <x:v>A/B</x:v>
      </x:c>
      <x:c r="I40" s="17" t="str">
        <x:v>SRC_R2023_FMT_20231206</x:v>
      </x:c>
      <x:c r="J40" s="17" t="str"/>
      <x:c r="K40" s="17" t="str">
        <x:v>Exact day</x:v>
      </x:c>
      <x:c r="L40" s="17" t="str">
        <x:v>Part of the 25-location MBJB/media reconstruction; source labels are normalized without duplicating aliases.</x:v>
      </x:c>
    </x:row>
    <x:row r="41">
      <x:c r="A41" s="17" t="str">
        <x:v>EVT-JB-2023-040</x:v>
      </x:c>
      <x:c r="B41" s="17" t="str">
        <x:v>2023-12-06</x:v>
      </x:c>
      <x:c r="C41" s="17" t="str">
        <x:v>DG-JB-20231206</x:v>
      </x:c>
      <x:c r="D41" s="17" t="str">
        <x:v>Jalan Tun Abdul Razak (Susur 3)</x:v>
      </x:c>
      <x:c r="E41" s="17" t="str">
        <x:v>S2023-036</x:v>
      </x:c>
      <x:c r="F41" s="17" t="str">
        <x:v>Jalan Tun Abdul Razak (Susur 3)</x:v>
      </x:c>
      <x:c r="G41" s="17" t="str">
        <x:v>Flash flood</x:v>
      </x:c>
      <x:c r="H41" s="17" t="str">
        <x:v>A/B</x:v>
      </x:c>
      <x:c r="I41" s="17" t="str">
        <x:v>SRC_R2023_FMT_20231206</x:v>
      </x:c>
      <x:c r="J41" s="17" t="str"/>
      <x:c r="K41" s="17" t="str">
        <x:v>Exact day</x:v>
      </x:c>
      <x:c r="L41" s="17" t="str">
        <x:v>Part of the 25-location MBJB/media reconstruction; source labels are normalized without duplicating aliases.</x:v>
      </x:c>
    </x:row>
    <x:row r="42">
      <x:c r="A42" s="17" t="str">
        <x:v>EVT-JB-2023-041</x:v>
      </x:c>
      <x:c r="B42" s="17" t="str">
        <x:v>2023-12-06</x:v>
      </x:c>
      <x:c r="C42" s="17" t="str">
        <x:v>DG-JB-20231206</x:v>
      </x:c>
      <x:c r="D42" s="17" t="str">
        <x:v>Jalan Yahya Awal</x:v>
      </x:c>
      <x:c r="E42" s="17" t="str">
        <x:v>S2023-037</x:v>
      </x:c>
      <x:c r="F42" s="17" t="str">
        <x:v>Jalan Yahya Awal</x:v>
      </x:c>
      <x:c r="G42" s="17" t="str">
        <x:v>Flash flood</x:v>
      </x:c>
      <x:c r="H42" s="17" t="str">
        <x:v>A/B</x:v>
      </x:c>
      <x:c r="I42" s="17" t="str">
        <x:v>SRC_R2023_FMT_20231206</x:v>
      </x:c>
      <x:c r="J42" s="17" t="str">
        <x:v>SRC_R2023_MDJ_MAIN_20231207</x:v>
      </x:c>
      <x:c r="K42" s="17" t="str">
        <x:v>Exact day</x:v>
      </x:c>
      <x:c r="L42" s="17" t="str">
        <x:v>Part of the 25-location MBJB/media reconstruction; source labels are normalized without duplicating aliases.</x:v>
      </x:c>
    </x:row>
    <x:row r="43">
      <x:c r="A43" s="17" t="str">
        <x:v>EVT-JB-2023-042</x:v>
      </x:c>
      <x:c r="B43" s="17" t="str">
        <x:v>2023-12-06</x:v>
      </x:c>
      <x:c r="C43" s="17" t="str">
        <x:v>DG-JB-20231206</x:v>
      </x:c>
      <x:c r="D43" s="17" t="str">
        <x:v>Hutan Bandar Johor Bahru</x:v>
      </x:c>
      <x:c r="E43" s="17" t="str">
        <x:v>S2023-038</x:v>
      </x:c>
      <x:c r="F43" s="17" t="str">
        <x:v>Hutan Bandar Johor Bahru</x:v>
      </x:c>
      <x:c r="G43" s="17" t="str">
        <x:v>Flash flood</x:v>
      </x:c>
      <x:c r="H43" s="17" t="str">
        <x:v>A/B</x:v>
      </x:c>
      <x:c r="I43" s="17" t="str">
        <x:v>SRC_R2023_MDJ_MAIN_20231207</x:v>
      </x:c>
      <x:c r="J43" s="17" t="str"/>
      <x:c r="K43" s="17" t="str">
        <x:v>Exact day</x:v>
      </x:c>
      <x:c r="L43" s="17" t="str">
        <x:v>Part of the 25-location MBJB/media reconstruction; source labels are normalized without duplicating aliases.</x:v>
      </x:c>
    </x:row>
    <x:row r="44">
      <x:c r="A44" s="17" t="str">
        <x:v>EVT-JB-2023-043</x:v>
      </x:c>
      <x:c r="B44" s="17" t="str">
        <x:v>2023-12-06</x:v>
      </x:c>
      <x:c r="C44" s="17" t="str">
        <x:v>DG-JB-20231206</x:v>
      </x:c>
      <x:c r="D44" s="17" t="str">
        <x:v>Jalan Padi Huma 9</x:v>
      </x:c>
      <x:c r="E44" s="17" t="str">
        <x:v>S2023-039</x:v>
      </x:c>
      <x:c r="F44" s="17" t="str">
        <x:v>Jalan Padi Huma 9</x:v>
      </x:c>
      <x:c r="G44" s="17" t="str">
        <x:v>Flash flood</x:v>
      </x:c>
      <x:c r="H44" s="17" t="str">
        <x:v>A/B</x:v>
      </x:c>
      <x:c r="I44" s="17" t="str">
        <x:v>SRC_R2023_MDJ_MAIN_20231207</x:v>
      </x:c>
      <x:c r="J44" s="17" t="str"/>
      <x:c r="K44" s="17" t="str">
        <x:v>Exact day</x:v>
      </x:c>
      <x:c r="L44" s="17" t="str">
        <x:v>Part of the 25-location MBJB/media reconstruction; source labels are normalized without duplicating aliases.</x:v>
      </x:c>
    </x:row>
    <x:row r="45">
      <x:c r="A45" s="17" t="str">
        <x:v>EVT-JB-2023-044</x:v>
      </x:c>
      <x:c r="B45" s="17" t="str">
        <x:v>2023-12-06</x:v>
      </x:c>
      <x:c r="C45" s="17" t="str">
        <x:v>DG-JB-20231206</x:v>
      </x:c>
      <x:c r="D45" s="17" t="str">
        <x:v>Jalan Padi Huma 10</x:v>
      </x:c>
      <x:c r="E45" s="17" t="str">
        <x:v>S2023-040</x:v>
      </x:c>
      <x:c r="F45" s="17" t="str">
        <x:v>Jalan Padi Huma 10</x:v>
      </x:c>
      <x:c r="G45" s="17" t="str">
        <x:v>Flash flood</x:v>
      </x:c>
      <x:c r="H45" s="17" t="str">
        <x:v>A/B</x:v>
      </x:c>
      <x:c r="I45" s="17" t="str">
        <x:v>SRC_R2023_MDJ_MAIN_20231207</x:v>
      </x:c>
      <x:c r="J45" s="17" t="str"/>
      <x:c r="K45" s="17" t="str">
        <x:v>Exact day</x:v>
      </x:c>
      <x:c r="L45" s="17" t="str">
        <x:v>Part of the 25-location MBJB/media reconstruction; source labels are normalized without duplicating aliases.</x:v>
      </x:c>
    </x:row>
    <x:row r="46">
      <x:c r="A46" s="17" t="str">
        <x:v>EVT-JB-2023-045</x:v>
      </x:c>
      <x:c r="B46" s="17" t="str">
        <x:v>2023-12-06</x:v>
      </x:c>
      <x:c r="C46" s="17" t="str">
        <x:v>DG-JB-20231206</x:v>
      </x:c>
      <x:c r="D46" s="17" t="str">
        <x:v>Kampung Kangkar Tebrau</x:v>
      </x:c>
      <x:c r="E46" s="17" t="str">
        <x:v>S2023-013</x:v>
      </x:c>
      <x:c r="F46" s="17" t="str">
        <x:v>Kampung Kangkar Tebrau</x:v>
      </x:c>
      <x:c r="G46" s="17" t="str">
        <x:v>Flash flood</x:v>
      </x:c>
      <x:c r="H46" s="17" t="str">
        <x:v>A/B</x:v>
      </x:c>
      <x:c r="I46" s="17" t="str">
        <x:v>SRC_R2023_MDJ_MAIN_20231207</x:v>
      </x:c>
      <x:c r="J46" s="17" t="str"/>
      <x:c r="K46" s="17" t="str">
        <x:v>Exact day</x:v>
      </x:c>
      <x:c r="L46" s="17" t="str">
        <x:v>Part of the 25-location MBJB/media reconstruction; source labels are normalized without duplicating aliases.</x:v>
      </x:c>
    </x:row>
    <x:row r="47">
      <x:c r="A47" s="17" t="str">
        <x:v>EVT-JB-2023-046</x:v>
      </x:c>
      <x:c r="B47" s="17" t="str">
        <x:v>2023-12-06</x:v>
      </x:c>
      <x:c r="C47" s="17" t="str">
        <x:v>DG-JB-20231206</x:v>
      </x:c>
      <x:c r="D47" s="17" t="str">
        <x:v>Nong Chik</x:v>
      </x:c>
      <x:c r="E47" s="17" t="str">
        <x:v>S2023-041</x:v>
      </x:c>
      <x:c r="F47" s="17" t="str">
        <x:v>Taman Nong Chik</x:v>
      </x:c>
      <x:c r="G47" s="17" t="str">
        <x:v>Flash flood</x:v>
      </x:c>
      <x:c r="H47" s="17" t="str">
        <x:v>A/B</x:v>
      </x:c>
      <x:c r="I47" s="17" t="str">
        <x:v>SRC_R2023_MDJ_RESPONSE_20231206</x:v>
      </x:c>
      <x:c r="J47" s="17" t="str"/>
      <x:c r="K47" s="17" t="str">
        <x:v>Exact day</x:v>
      </x:c>
      <x:c r="L47" s="17" t="str">
        <x:v>Part of the 25-location MBJB/media reconstruction; source labels are normalized without duplicating aliases.</x:v>
      </x:c>
    </x:row>
    <x:row r="48">
      <x:c r="A48" s="17" t="str">
        <x:v>EVT-JB-2023-047</x:v>
      </x:c>
      <x:c r="B48" s="17" t="str">
        <x:v>2023-12-06</x:v>
      </x:c>
      <x:c r="C48" s="17" t="str">
        <x:v>DG-JB-20231206</x:v>
      </x:c>
      <x:c r="D48" s="17" t="str">
        <x:v>Majidee</x:v>
      </x:c>
      <x:c r="E48" s="17" t="str">
        <x:v>S2023-042</x:v>
      </x:c>
      <x:c r="F48" s="17" t="str">
        <x:v>Majidee</x:v>
      </x:c>
      <x:c r="G48" s="17" t="str">
        <x:v>Flash flood</x:v>
      </x:c>
      <x:c r="H48" s="17" t="str">
        <x:v>A/B</x:v>
      </x:c>
      <x:c r="I48" s="17" t="str">
        <x:v>SRC_R2023_MDJ_RESPONSE_20231206</x:v>
      </x:c>
      <x:c r="J48" s="17" t="str"/>
      <x:c r="K48" s="17" t="str">
        <x:v>Exact day</x:v>
      </x:c>
      <x:c r="L48" s="17" t="str">
        <x:v>Part of the 25-location MBJB/media reconstruction; source labels are normalized without duplicating aliases.</x:v>
      </x:c>
    </x:row>
    <x:row r="49">
      <x:c r="A49" s="17" t="str">
        <x:v>EVT-JB-2023-048</x:v>
      </x:c>
      <x:c r="B49" s="17" t="str">
        <x:v>2023-12-06</x:v>
      </x:c>
      <x:c r="C49" s="17" t="str">
        <x:v>DG-JB-20231206</x:v>
      </x:c>
      <x:c r="D49" s="17" t="str">
        <x:v>Taman Melodies</x:v>
      </x:c>
      <x:c r="E49" s="17" t="str">
        <x:v>S2023-043</x:v>
      </x:c>
      <x:c r="F49" s="17" t="str">
        <x:v>Taman Melodies</x:v>
      </x:c>
      <x:c r="G49" s="17" t="str">
        <x:v>Flash flood</x:v>
      </x:c>
      <x:c r="H49" s="17" t="str">
        <x:v>A/B</x:v>
      </x:c>
      <x:c r="I49" s="17" t="str">
        <x:v>SRC_R2023_MDJ_RESPONSE_20231206</x:v>
      </x:c>
      <x:c r="J49" s="17" t="str"/>
      <x:c r="K49" s="17" t="str">
        <x:v>Exact day</x:v>
      </x:c>
      <x:c r="L49" s="17" t="str">
        <x:v>Part of the 25-location MBJB/media reconstruction; source labels are normalized without duplicating aliases.</x:v>
      </x:c>
    </x:row>
    <x:row r="50">
      <x:c r="A50" s="17" t="str">
        <x:v>EVT-JB-2023-049</x:v>
      </x:c>
      <x:c r="B50" s="17" t="str">
        <x:v>2023-12-06</x:v>
      </x:c>
      <x:c r="C50" s="17" t="str">
        <x:v>DG-JB-20231206</x:v>
      </x:c>
      <x:c r="D50" s="17" t="str">
        <x:v>Jalan Sungai Chat</x:v>
      </x:c>
      <x:c r="E50" s="17" t="str">
        <x:v>S2023-044</x:v>
      </x:c>
      <x:c r="F50" s="17" t="str">
        <x:v>Jalan Sungai Chat</x:v>
      </x:c>
      <x:c r="G50" s="17" t="str">
        <x:v>Flash flood</x:v>
      </x:c>
      <x:c r="H50" s="17" t="str">
        <x:v>B</x:v>
      </x:c>
      <x:c r="I50" s="17" t="str">
        <x:v>SRC_R2023_UTUSAN_20231206</x:v>
      </x:c>
      <x:c r="J50" s="17" t="str"/>
      <x:c r="K50" s="17" t="str">
        <x:v>Exact day</x:v>
      </x:c>
      <x:c r="L50" s="17" t="str">
        <x:v>Additional explicit field-observed location beyond the contemporaneous MBJB 25-location reporting block; retained under all-documented-location rule.</x:v>
      </x:c>
    </x:row>
    <x:row r="51">
      <x:c r="A51" s="17" t="str">
        <x:v>EVT-JB-2023-050</x:v>
      </x:c>
      <x:c r="B51" s="17" t="str">
        <x:v>2023-12-06</x:v>
      </x:c>
      <x:c r="C51" s="17" t="str">
        <x:v>DG-JB-20231206</x:v>
      </x:c>
      <x:c r="D51" s="17" t="str">
        <x:v>Taman Abad</x:v>
      </x:c>
      <x:c r="E51" s="17" t="str">
        <x:v>S2023-045</x:v>
      </x:c>
      <x:c r="F51" s="17" t="str">
        <x:v>Taman Abad</x:v>
      </x:c>
      <x:c r="G51" s="17" t="str">
        <x:v>Flash flood</x:v>
      </x:c>
      <x:c r="H51" s="17" t="str">
        <x:v>B</x:v>
      </x:c>
      <x:c r="I51" s="17" t="str">
        <x:v>SRC_R2023_UTUSAN_20231206</x:v>
      </x:c>
      <x:c r="J51" s="17" t="str"/>
      <x:c r="K51" s="17" t="str">
        <x:v>Exact day</x:v>
      </x:c>
      <x:c r="L51" s="17" t="str">
        <x:v>Additional explicit field-observed location beyond the contemporaneous MBJB 25-location reporting block; retained under all-documented-location rule.</x:v>
      </x:c>
    </x:row>
    <x:row r="52">
      <x:c r="A52" s="17" t="str">
        <x:v>EVT-JB-2023-051</x:v>
      </x:c>
      <x:c r="B52" s="17" t="str">
        <x:v>2023-12-06</x:v>
      </x:c>
      <x:c r="C52" s="17" t="str">
        <x:v>DG-JB-20231206</x:v>
      </x:c>
      <x:c r="D52" s="17" t="str">
        <x:v>Tasek Merdeka</x:v>
      </x:c>
      <x:c r="E52" s="17" t="str">
        <x:v>S2023-046</x:v>
      </x:c>
      <x:c r="F52" s="17" t="str">
        <x:v>Tasek Merdeka</x:v>
      </x:c>
      <x:c r="G52" s="17" t="str">
        <x:v>Flash flood</x:v>
      </x:c>
      <x:c r="H52" s="17" t="str">
        <x:v>B</x:v>
      </x:c>
      <x:c r="I52" s="17" t="str">
        <x:v>SRC_R2023_UTUSAN_20231206</x:v>
      </x:c>
      <x:c r="J52" s="17" t="str"/>
      <x:c r="K52" s="17" t="str">
        <x:v>Exact day</x:v>
      </x:c>
      <x:c r="L52" s="17" t="str">
        <x:v>Additional explicit field-observed location beyond the contemporaneous MBJB 25-location reporting block; retained under all-documented-location rule.</x:v>
      </x:c>
    </x:row>
    <x:row r="53">
      <x:c r="A53" s="17" t="str">
        <x:v>EVT-JB-2023-052</x:v>
      </x:c>
      <x:c r="B53" s="17" t="str">
        <x:v>2023-12-14</x:v>
      </x:c>
      <x:c r="C53" s="17" t="str">
        <x:v>DG-JB-20231214</x:v>
      </x:c>
      <x:c r="D53" s="17" t="str">
        <x:v>Jalan Rosmerah Utama</x:v>
      </x:c>
      <x:c r="E53" s="17" t="str">
        <x:v>S2023-047</x:v>
      </x:c>
      <x:c r="F53" s="17" t="str">
        <x:v>Jalan Rosmerah Utama</x:v>
      </x:c>
      <x:c r="G53" s="17" t="str">
        <x:v>Flash flood</x:v>
      </x:c>
      <x:c r="H53" s="17" t="str">
        <x:v>A/B</x:v>
      </x:c>
      <x:c r="I53" s="17" t="str">
        <x:v>SRC_R2023_RTM_20231214</x:v>
      </x:c>
      <x:c r="J53" s="17" t="str">
        <x:v>SRC_R2023_MMAIL_20231214</x:v>
      </x:c>
      <x:c r="K53" s="17" t="str">
        <x:v>Exact day</x:v>
      </x:c>
      <x:c r="L53" s="17" t="str"/>
    </x:row>
    <x:row r="54">
      <x:c r="A54" s="17" t="str">
        <x:v>EVT-JB-2023-053</x:v>
      </x:c>
      <x:c r="B54" s="17" t="str">
        <x:v>2023-12-14</x:v>
      </x:c>
      <x:c r="C54" s="17" t="str">
        <x:v>DG-JB-20231214</x:v>
      </x:c>
      <x:c r="D54" s="17" t="str">
        <x:v>Jalan Setia 10, Setia Indah</x:v>
      </x:c>
      <x:c r="E54" s="17" t="str">
        <x:v>S2023-048</x:v>
      </x:c>
      <x:c r="F54" s="17" t="str">
        <x:v>Jalan Setia 10, Setia Indah</x:v>
      </x:c>
      <x:c r="G54" s="17" t="str">
        <x:v>Flash flood</x:v>
      </x:c>
      <x:c r="H54" s="17" t="str">
        <x:v>A/B</x:v>
      </x:c>
      <x:c r="I54" s="17" t="str">
        <x:v>SRC_R2023_RTM_20231214</x:v>
      </x:c>
      <x:c r="J54" s="17" t="str">
        <x:v>SRC_R2023_MMAIL_20231214</x:v>
      </x:c>
      <x:c r="K54" s="17" t="str">
        <x:v>Exact day</x:v>
      </x:c>
      <x:c r="L54" s="17" t="str"/>
    </x:row>
    <x:row r="55">
      <x:c r="A55" s="17" t="str">
        <x:v>EVT-JB-2023-054</x:v>
      </x:c>
      <x:c r="B55" s="17" t="str">
        <x:v>2023-12-14</x:v>
      </x:c>
      <x:c r="C55" s="17" t="str">
        <x:v>DG-JB-20231214</x:v>
      </x:c>
      <x:c r="D55" s="17" t="str">
        <x:v>Jalan Mutiara Emas Utama</x:v>
      </x:c>
      <x:c r="E55" s="17" t="str">
        <x:v>S2023-049</x:v>
      </x:c>
      <x:c r="F55" s="17" t="str">
        <x:v>Jalan Mutiara Emas Utama</x:v>
      </x:c>
      <x:c r="G55" s="17" t="str">
        <x:v>Flash flood</x:v>
      </x:c>
      <x:c r="H55" s="17" t="str">
        <x:v>A/B</x:v>
      </x:c>
      <x:c r="I55" s="17" t="str">
        <x:v>SRC_R2023_RTM_20231214</x:v>
      </x:c>
      <x:c r="J55" s="17" t="str">
        <x:v>SRC_R2023_MMAIL_20231214</x:v>
      </x:c>
      <x:c r="K55" s="17" t="str">
        <x:v>Exact day</x:v>
      </x:c>
      <x:c r="L55" s="17" t="str"/>
    </x:row>
    <x:row r="56">
      <x:c r="A56" s="17" t="str">
        <x:v>EVT-JB-2023-055</x:v>
      </x:c>
      <x:c r="B56" s="17" t="str">
        <x:v>2023-12-14</x:v>
      </x:c>
      <x:c r="C56" s="17" t="str">
        <x:v>DG-JB-20231214</x:v>
      </x:c>
      <x:c r="D56" s="17" t="str">
        <x:v>Jalan Mohd Amin 7</x:v>
      </x:c>
      <x:c r="E56" s="17" t="str">
        <x:v>S2023-050</x:v>
      </x:c>
      <x:c r="F56" s="17" t="str">
        <x:v>Jalan Mohd Amin 7</x:v>
      </x:c>
      <x:c r="G56" s="17" t="str">
        <x:v>Flash flood</x:v>
      </x:c>
      <x:c r="H56" s="17" t="str">
        <x:v>A/B</x:v>
      </x:c>
      <x:c r="I56" s="17" t="str">
        <x:v>SRC_R2023_RTM_20231214</x:v>
      </x:c>
      <x:c r="J56" s="17" t="str">
        <x:v>SRC_R2023_MMAIL_20231214</x:v>
      </x:c>
      <x:c r="K56" s="17" t="str">
        <x:v>Exact day</x:v>
      </x:c>
      <x:c r="L56" s="17" t="str"/>
    </x:row>
    <x:row r="57">
      <x:c r="A57" s="17" t="str">
        <x:v>EVT-JB-2023-056</x:v>
      </x:c>
      <x:c r="B57" s="17" t="str">
        <x:v>2023-12-14</x:v>
      </x:c>
      <x:c r="C57" s="17" t="str">
        <x:v>DG-JB-20231214</x:v>
      </x:c>
      <x:c r="D57" s="17" t="str">
        <x:v>Jalan Setia 11, Setia Indah</x:v>
      </x:c>
      <x:c r="E57" s="17" t="str">
        <x:v>S2023-051</x:v>
      </x:c>
      <x:c r="F57" s="17" t="str">
        <x:v>Jalan Setia 11, Setia Indah</x:v>
      </x:c>
      <x:c r="G57" s="17" t="str">
        <x:v>Flash flood</x:v>
      </x:c>
      <x:c r="H57" s="17" t="str">
        <x:v>A/B</x:v>
      </x:c>
      <x:c r="I57" s="17" t="str">
        <x:v>SRC_R2023_RTM_20231214</x:v>
      </x:c>
      <x:c r="J57" s="17" t="str">
        <x:v>SRC_R2023_MMAIL_20231214</x:v>
      </x:c>
      <x:c r="K57" s="17" t="str">
        <x:v>Exact day</x:v>
      </x:c>
      <x:c r="L57" s="17" t="str"/>
    </x:row>
    <x:row r="58">
      <x:c r="A58" s="17" t="str">
        <x:v>EVT-JB-2023-057</x:v>
      </x:c>
      <x:c r="B58" s="17" t="str">
        <x:v>2023-12-14</x:v>
      </x:c>
      <x:c r="C58" s="17" t="str">
        <x:v>DG-JB-20231214</x:v>
      </x:c>
      <x:c r="D58" s="17" t="str">
        <x:v>Jalan Dato Sulaiman</x:v>
      </x:c>
      <x:c r="E58" s="17" t="str">
        <x:v>S2023-024</x:v>
      </x:c>
      <x:c r="F58" s="17" t="str">
        <x:v>Jalan Dato Sulaiman</x:v>
      </x:c>
      <x:c r="G58" s="17" t="str">
        <x:v>Flash flood</x:v>
      </x:c>
      <x:c r="H58" s="17" t="str">
        <x:v>A/B</x:v>
      </x:c>
      <x:c r="I58" s="17" t="str">
        <x:v>SRC_R2023_RTM_20231214</x:v>
      </x:c>
      <x:c r="J58" s="17" t="str">
        <x:v>SRC_R2023_MMAIL_20231214</x:v>
      </x:c>
      <x:c r="K58" s="17" t="str">
        <x:v>Exact day</x:v>
      </x:c>
      <x:c r="L58" s="17" t="str"/>
    </x:row>
    <x:row r="59">
      <x:c r="A59" s="17" t="str">
        <x:v>EVT-JB-2023-058</x:v>
      </x:c>
      <x:c r="B59" s="17" t="str">
        <x:v>2023-12-14</x:v>
      </x:c>
      <x:c r="C59" s="17" t="str">
        <x:v>DG-JB-20231214</x:v>
      </x:c>
      <x:c r="D59" s="17" t="str">
        <x:v>Jalan Harmonium 24</x:v>
      </x:c>
      <x:c r="E59" s="17" t="str">
        <x:v>S2023-052</x:v>
      </x:c>
      <x:c r="F59" s="17" t="str">
        <x:v>Jalan Harmonium 24</x:v>
      </x:c>
      <x:c r="G59" s="17" t="str">
        <x:v>Flash flood</x:v>
      </x:c>
      <x:c r="H59" s="17" t="str">
        <x:v>A/B</x:v>
      </x:c>
      <x:c r="I59" s="17" t="str">
        <x:v>SRC_R2023_RTM_20231214</x:v>
      </x:c>
      <x:c r="J59" s="17" t="str">
        <x:v>SRC_R2023_MMAIL_20231214</x:v>
      </x:c>
      <x:c r="K59" s="17" t="str">
        <x:v>Exact day</x:v>
      </x:c>
      <x:c r="L59" s="17" t="str"/>
    </x:row>
    <x:row r="60">
      <x:c r="A60" s="17" t="str">
        <x:v>EVT-JB-2023-059</x:v>
      </x:c>
      <x:c r="B60" s="17" t="str">
        <x:v>2023-12-14</x:v>
      </x:c>
      <x:c r="C60" s="17" t="str">
        <x:v>DG-JB-20231214</x:v>
      </x:c>
      <x:c r="D60" s="17" t="str">
        <x:v>Jalan Datin Halimah near Taman Merdeka</x:v>
      </x:c>
      <x:c r="E60" s="17" t="str">
        <x:v>S2023-053</x:v>
      </x:c>
      <x:c r="F60" s="17" t="str">
        <x:v>Jalan Datin Halimah near Taman Merdeka</x:v>
      </x:c>
      <x:c r="G60" s="17" t="str">
        <x:v>Flash flood</x:v>
      </x:c>
      <x:c r="H60" s="17" t="str">
        <x:v>A/B</x:v>
      </x:c>
      <x:c r="I60" s="17" t="str">
        <x:v>SRC_R2023_RTM_20231214</x:v>
      </x:c>
      <x:c r="J60" s="17" t="str">
        <x:v>SRC_R2023_MMAIL_20231214</x:v>
      </x:c>
      <x:c r="K60" s="17" t="str">
        <x:v>Exact day</x:v>
      </x:c>
      <x:c r="L60" s="17" t="str"/>
    </x:row>
    <x:row r="61">
      <x:c r="A61" s="17" t="str">
        <x:v>EVT-JB-2023-060</x:v>
      </x:c>
      <x:c r="B61" s="17" t="str">
        <x:v>2023-12-14</x:v>
      </x:c>
      <x:c r="C61" s="17" t="str">
        <x:v>DG-JB-20231214</x:v>
      </x:c>
      <x:c r="D61" s="17" t="str">
        <x:v>Jalan Skudai</x:v>
      </x:c>
      <x:c r="E61" s="17" t="str">
        <x:v>S2023-054</x:v>
      </x:c>
      <x:c r="F61" s="17" t="str">
        <x:v>Jalan Skudai</x:v>
      </x:c>
      <x:c r="G61" s="17" t="str">
        <x:v>Flash flood</x:v>
      </x:c>
      <x:c r="H61" s="17" t="str">
        <x:v>A/B</x:v>
      </x:c>
      <x:c r="I61" s="17" t="str">
        <x:v>SRC_R2023_RTM_20231214</x:v>
      </x:c>
      <x:c r="J61" s="17" t="str">
        <x:v>SRC_R2023_MMAIL_20231214</x:v>
      </x:c>
      <x:c r="K61" s="17" t="str">
        <x:v>Exact day</x:v>
      </x:c>
      <x:c r="L61" s="17" t="str"/>
    </x:row>
    <x:row r="62">
      <x:c r="A62" s="17" t="str">
        <x:v>EVT-JB-2023-061</x:v>
      </x:c>
      <x:c r="B62" s="17" t="str">
        <x:v>2023-12-14</x:v>
      </x:c>
      <x:c r="C62" s="17" t="str">
        <x:v>DG-JB-20231214</x:v>
      </x:c>
      <x:c r="D62" s="17" t="str">
        <x:v>Jalan Tampoi</x:v>
      </x:c>
      <x:c r="E62" s="17" t="str">
        <x:v>S2023-055</x:v>
      </x:c>
      <x:c r="F62" s="17" t="str">
        <x:v>Jalan Tampoi</x:v>
      </x:c>
      <x:c r="G62" s="17" t="str">
        <x:v>Flash flood</x:v>
      </x:c>
      <x:c r="H62" s="17" t="str">
        <x:v>A/B</x:v>
      </x:c>
      <x:c r="I62" s="17" t="str">
        <x:v>SRC_R2023_RTM_20231214</x:v>
      </x:c>
      <x:c r="J62" s="17" t="str">
        <x:v>SRC_R2023_MMAIL_20231214</x:v>
      </x:c>
      <x:c r="K62" s="17" t="str">
        <x:v>Exact day</x:v>
      </x:c>
      <x:c r="L62" s="17" t="str"/>
    </x:row>
    <x:row r="63">
      <x:c r="A63" s="17" t="str">
        <x:v>EVT-JB-2023-062</x:v>
      </x:c>
      <x:c r="B63" s="17" t="str">
        <x:v>2023-12-14</x:v>
      </x:c>
      <x:c r="C63" s="17" t="str">
        <x:v>DG-JB-20231214</x:v>
      </x:c>
      <x:c r="D63" s="17" t="str">
        <x:v>Kampung Ubi</x:v>
      </x:c>
      <x:c r="E63" s="17" t="str">
        <x:v>S2023-056</x:v>
      </x:c>
      <x:c r="F63" s="17" t="str">
        <x:v>Kampung Ubi Baru</x:v>
      </x:c>
      <x:c r="G63" s="17" t="str">
        <x:v>Flash flood</x:v>
      </x:c>
      <x:c r="H63" s="17" t="str">
        <x:v>A/B</x:v>
      </x:c>
      <x:c r="I63" s="17" t="str">
        <x:v>SRC_R2023_RTM_20231214</x:v>
      </x:c>
      <x:c r="J63" s="17" t="str">
        <x:v>SRC_R2023_MMAIL_20231214</x:v>
      </x:c>
      <x:c r="K63" s="17" t="str">
        <x:v>Exact day</x:v>
      </x:c>
      <x:c r="L63" s="17" t="str">
        <x:v>Normalized to official Kampung Ubi Baru identity; source label preserved.</x:v>
      </x:c>
    </x:row>
    <x:row r="64">
      <x:c r="A64" s="17" t="str">
        <x:v>EVT-JB-2023-063</x:v>
      </x:c>
      <x:c r="B64" s="17" t="str">
        <x:v>2023-12-14</x:v>
      </x:c>
      <x:c r="C64" s="17" t="str">
        <x:v>DG-JB-20231214</x:v>
      </x:c>
      <x:c r="D64" s="17" t="str">
        <x:v>Jalan Persiaran Molek Utama, Taman Molek</x:v>
      </x:c>
      <x:c r="E64" s="17" t="str">
        <x:v>S2023-057</x:v>
      </x:c>
      <x:c r="F64" s="17" t="str">
        <x:v>Jalan Persiaran Molek Utama, Taman Molek</x:v>
      </x:c>
      <x:c r="G64" s="17" t="str">
        <x:v>Flash flood</x:v>
      </x:c>
      <x:c r="H64" s="17" t="str">
        <x:v>A/B</x:v>
      </x:c>
      <x:c r="I64" s="17" t="str">
        <x:v>SRC_R2023_MMAIL_20231214</x:v>
      </x:c>
      <x:c r="J64" s="17" t="str"/>
      <x:c r="K64" s="17" t="str">
        <x:v>Exact day</x:v>
      </x:c>
      <x:c r="L64" s="17" t="str">
        <x:v>Two trapped vehicle occupants rescued; independent explicit road-flood evidence.</x:v>
      </x:c>
    </x:row>
  </x:sheetData>
  <x:pageMargins left="0.7" right="0.7" top="0.75" bottom="0.75" header="0.3" footer="0.3"/>
</x:worksheet>
</file>

<file path=xl/worksheets/sheet19.xml><?xml version="1.0" encoding="utf-8"?>
<x:worksheet xmlns:x="http://schemas.openxmlformats.org/spreadsheetml/2006/main">
  <x:sheetFormatPr defaultRowHeight="15"/>
  <x:cols>
    <x:col min="1" max="1" width="27" hidden="0" customWidth="1"/>
    <x:col min="2" max="2" width="13" hidden="0" customWidth="1"/>
    <x:col min="3" max="3" width="18" hidden="0" customWidth="1"/>
    <x:col min="4" max="4" width="20" hidden="0" customWidth="1"/>
    <x:col min="5" max="5" width="78" hidden="0" customWidth="1"/>
  </x:cols>
  <x:sheetData>
    <x:row r="1">
      <x:c r="A1" s="40" t="str">
        <x:v>Dedup_Group_ID</x:v>
      </x:c>
      <x:c r="B1" s="40" t="str">
        <x:v>Event_Date</x:v>
      </x:c>
      <x:c r="C1" s="40" t="str">
        <x:v>Event_Type</x:v>
      </x:c>
      <x:c r="D1" s="40" t="str">
        <x:v>Event_Location_Rows</x:v>
      </x:c>
      <x:c r="E1" s="40" t="str">
        <x:v>Episode_Note</x:v>
      </x:c>
    </x:row>
    <x:row r="2">
      <x:c r="A2" s="17" t="str">
        <x:v>DG-JB-20230214</x:v>
      </x:c>
      <x:c r="B2" s="17" t="str">
        <x:v>2023-02-14</x:v>
      </x:c>
      <x:c r="C2" s="17" t="str">
        <x:v>Flash flood</x:v>
      </x:c>
      <x:c r="D2" s="17" t="n">
        <x:v>5</x:v>
      </x:c>
      <x:c r="E2" s="17" t="str">
        <x:v>Five named JB locations; Kampung Aman has JBPM statement.</x:v>
      </x:c>
    </x:row>
    <x:row r="3">
      <x:c r="A3" s="17" t="str">
        <x:v>DG-JB-20230228-20230301</x:v>
      </x:c>
      <x:c r="B3" s="17" t="str">
        <x:v>2023-03-01</x:v>
      </x:c>
      <x:c r="C3" s="17" t="str">
        <x:v>Monsoon/flood</x:v>
      </x:c>
      <x:c r="D3" s="17" t="n">
        <x:v>5</x:v>
      </x:c>
      <x:c r="E3" s="17" t="str">
        <x:v>Episode began 28 Feb; six PPS in JB; five named residential locations surfaced.</x:v>
      </x:c>
    </x:row>
    <x:row r="4">
      <x:c r="A4" s="17" t="str">
        <x:v>DG-JB-20231101</x:v>
      </x:c>
      <x:c r="B4" s="17" t="str">
        <x:v>2023-11-01</x:v>
      </x:c>
      <x:c r="C4" s="17" t="str">
        <x:v>Flash flood</x:v>
      </x:c>
      <x:c r="D4" s="17" t="n">
        <x:v>1</x:v>
      </x:c>
      <x:c r="E4" s="17" t="str">
        <x:v>Lorong Mak Piah, Kampung Sungai Tiram; date inferred from 2 Nov report.</x:v>
      </x:c>
    </x:row>
    <x:row r="5">
      <x:c r="A5" s="17" t="str">
        <x:v>DG-JB-20231112</x:v>
      </x:c>
      <x:c r="B5" s="17" t="str">
        <x:v>2023-11-12</x:v>
      </x:c>
      <x:c r="C5" s="17" t="str">
        <x:v>Flash flood</x:v>
      </x:c>
      <x:c r="D5" s="17" t="n">
        <x:v>1</x:v>
      </x:c>
      <x:c r="E5" s="17" t="str">
        <x:v>Kampung Sentosa Damai; 10 victims/two families.</x:v>
      </x:c>
    </x:row>
    <x:row r="6">
      <x:c r="A6" s="17" t="str">
        <x:v>DG-JB-20231115</x:v>
      </x:c>
      <x:c r="B6" s="17" t="str">
        <x:v>2023-11-15</x:v>
      </x:c>
      <x:c r="C6" s="17" t="str">
        <x:v>Flash flood</x:v>
      </x:c>
      <x:c r="D6" s="17" t="n">
        <x:v>1</x:v>
      </x:c>
      <x:c r="E6" s="17" t="str">
        <x:v>Separate Sentosa Damai recurrence; 25 other houses affected.</x:v>
      </x:c>
    </x:row>
    <x:row r="7">
      <x:c r="A7" s="17" t="str">
        <x:v>DG-JB-20231201</x:v>
      </x:c>
      <x:c r="B7" s="17" t="str">
        <x:v>2023-12-01</x:v>
      </x:c>
      <x:c r="C7" s="17" t="str">
        <x:v>Flash flood</x:v>
      </x:c>
      <x:c r="D7" s="17" t="n">
        <x:v>10</x:v>
      </x:c>
      <x:c r="E7" s="17" t="str">
        <x:v>Five JPBN villages plus additional explicit road/subarea/place evidence.</x:v>
      </x:c>
    </x:row>
    <x:row r="8">
      <x:c r="A8" s="17" t="str">
        <x:v>DG-JB-20231206</x:v>
      </x:c>
      <x:c r="B8" s="17" t="str">
        <x:v>2023-12-06</x:v>
      </x:c>
      <x:c r="C8" s="17" t="str">
        <x:v>Flash flood</x:v>
      </x:c>
      <x:c r="D8" s="17" t="n">
        <x:v>28</x:v>
      </x:c>
      <x:c r="E8" s="17" t="str">
        <x:v>MBJB reported 25 locations; three additional explicit field-observed locations retained under all-documented-location rule.</x:v>
      </x:c>
    </x:row>
    <x:row r="9">
      <x:c r="A9" s="17" t="str">
        <x:v>DG-JB-20231214</x:v>
      </x:c>
      <x:c r="B9" s="17" t="str">
        <x:v>2023-12-14</x:v>
      </x:c>
      <x:c r="C9" s="17" t="str">
        <x:v>Flash flood</x:v>
      </x:c>
      <x:c r="D9" s="17" t="n">
        <x:v>12</x:v>
      </x:c>
      <x:c r="E9" s="17" t="str">
        <x:v>MBJB 11 locations plus independently evidenced Persiaran Molek Utama rescue.</x:v>
      </x:c>
    </x:row>
  </x:sheetData>
  <x:pageMargins left="0.7" right="0.7" top="0.75" bottom="0.75" header="0.3" footer="0.3"/>
</x:worksheet>
</file>

<file path=xl/worksheets/sheet20.xml><?xml version="1.0" encoding="utf-8"?>
<x:worksheet xmlns:x="http://schemas.openxmlformats.org/spreadsheetml/2006/main">
  <x:sheetFormatPr defaultRowHeight="15"/>
  <x:cols>
    <x:col min="1" max="1" width="32" hidden="0" customWidth="1"/>
    <x:col min="2" max="2" width="51" hidden="0" customWidth="1"/>
    <x:col min="3" max="3" width="34" hidden="0" customWidth="1"/>
    <x:col min="4" max="4" width="17" hidden="0" customWidth="1"/>
    <x:col min="5" max="5" width="16" hidden="0" customWidth="1"/>
    <x:col min="6" max="6" width="27" hidden="0" customWidth="1"/>
    <x:col min="7" max="7" width="68" hidden="0" customWidth="1"/>
    <x:col min="8" max="8" width="72" hidden="0" customWidth="1"/>
  </x:cols>
  <x:sheetData>
    <x:row r="1">
      <x:c r="A1" s="40" t="str">
        <x:v>Source_ID</x:v>
      </x:c>
      <x:c r="B1" s="40" t="str">
        <x:v>Source_Title</x:v>
      </x:c>
      <x:c r="C1" s="40" t="str">
        <x:v>Publisher</x:v>
      </x:c>
      <x:c r="D1" s="40" t="str">
        <x:v>Publication_Date</x:v>
      </x:c>
      <x:c r="E1" s="40" t="str">
        <x:v>Reliability_Tier</x:v>
      </x:c>
      <x:c r="F1" s="40" t="str">
        <x:v>Use</x:v>
      </x:c>
      <x:c r="G1" s="40" t="str">
        <x:v>Source_URL</x:v>
      </x:c>
      <x:c r="H1" s="40" t="str">
        <x:v>Evidence_Note</x:v>
      </x:c>
    </x:row>
    <x:row r="2">
      <x:c r="A2" s="17" t="str">
        <x:v>SRC_R2023_JPS_CATALOG</x:v>
      </x:c>
      <x:c r="B2" s="17" t="str">
        <x:v>LAPORAN BANJIR TAHUNAN 2023</x:v>
      </x:c>
      <x:c r="C2" s="17" t="str">
        <x:v>Pusat Ramalan dan Amaran Banjir Negara / JPS</x:v>
      </x:c>
      <x:c r="D2" s="17" t="str">
        <x:v>2023</x:v>
      </x:c>
      <x:c r="E2" s="17" t="str">
        <x:v>A</x:v>
      </x:c>
      <x:c r="F2" s="17" t="str">
        <x:v>Official annual-report context</x:v>
      </x:c>
      <x:c r="G2" s="17" t="str">
        <x:v>https://library.water.gov.my/cgi-bin/koha/opac-detail.pl?biblionumber=21780</x:v>
      </x:c>
      <x:c r="H2" s="17" t="str">
        <x:v>Official 231-page annual report confirmed. Public catalogue does not expose a complete Johor Bahru event table, so no absence inference is made.</x:v>
      </x:c>
    </x:row>
    <x:row r="3">
      <x:c r="A3" s="17" t="str">
        <x:v>SRC_R2023_SINAR_20230214</x:v>
      </x:c>
      <x:c r="B3" s="17" t="str">
        <x:v>Johor Bahru dilanda banjir kilat</x:v>
      </x:c>
      <x:c r="C3" s="17" t="str">
        <x:v>Sinar Harian / JBPM statement</x:v>
      </x:c>
      <x:c r="D3" s="17" t="str">
        <x:v>2023-02-14</x:v>
      </x:c>
      <x:c r="E3" s="17" t="str">
        <x:v>B</x:v>
      </x:c>
      <x:c r="F3" s="17" t="str">
        <x:v>Exact event-location evidence</x:v>
      </x:c>
      <x:c r="G3" s="17" t="str">
        <x:v>https://www.sinarharian.com.my/article/245217/edisi/johor/johor-bahru-dilanda-banjir-kilat</x:v>
      </x:c>
      <x:c r="H3" s="17" t="str">
        <x:v>Names Larkin Perdana, Kampung Aman, Taman Sri Bahagia, Kampung Dato Hajah Hasnah Majidee and Kampung Kurnia.</x:v>
      </x:c>
    </x:row>
    <x:row r="4">
      <x:c r="A4" s="17" t="str">
        <x:v>SRC_R2023_KOSMO_20230301</x:v>
      </x:c>
      <x:c r="B4" s="17" t="str">
        <x:v>Banjir Johor: 1,591 mangsa dipindahkan di 21 PPS</x:v>
      </x:c>
      <x:c r="C4" s="17" t="str">
        <x:v>Kosmo / JPBN</x:v>
      </x:c>
      <x:c r="D4" s="17" t="str">
        <x:v>2023-03-01</x:v>
      </x:c>
      <x:c r="E4" s="17" t="str">
        <x:v>A/B</x:v>
      </x:c>
      <x:c r="F4" s="17" t="str">
        <x:v>Exact episode/location evidence</x:v>
      </x:c>
      <x:c r="G4" s="17" t="str">
        <x:v>https://www.kosmo.com.my/2023/03/01/banjir-johor-1591-mangsa-dipindahkan-di-21-pps/</x:v>
      </x:c>
      <x:c r="H4" s="17" t="str">
        <x:v>JB: 560 victims / 131 families / six PPS; names Cahaya Baru Masai, Pasir Tebrau, Sungai Tiram, Paya Kenangan and short label Kangkar.</x:v>
      </x:c>
    </x:row>
    <x:row r="5">
      <x:c r="A5" s="17" t="str">
        <x:v>SRC_R2023_MDJ_20230301</x:v>
      </x:c>
      <x:c r="B5" s="17" t="str">
        <x:v>Mangsa banjir 4 daerah dipindahkan ke PPS</x:v>
      </x:c>
      <x:c r="C5" s="17" t="str">
        <x:v>Media Digital Johor / JPBN</x:v>
      </x:c>
      <x:c r="D5" s="17" t="str">
        <x:v>2023-03-01</x:v>
      </x:c>
      <x:c r="E5" s="17" t="str">
        <x:v>A/B</x:v>
      </x:c>
      <x:c r="F5" s="17" t="str">
        <x:v>Episode corroboration</x:v>
      </x:c>
      <x:c r="G5" s="17" t="str">
        <x:v>https://mediadigitaljohor.gov.my/en/mangsa-banjir-4-daerah-dipindahkan-ke-pps/</x:v>
      </x:c>
      <x:c r="H5" s="17" t="str">
        <x:v>State context; used as corroboration, not to fabricate extra locations.</x:v>
      </x:c>
    </x:row>
    <x:row r="6">
      <x:c r="A6" s="17" t="str">
        <x:v>SRC_R2023_PARL_20230316</x:v>
      </x:c>
      <x:c r="B6" s="17" t="str">
        <x:v>Penyata Rasmi Dewan Rakyat 16 Mac 2023</x:v>
      </x:c>
      <x:c r="C6" s="17" t="str">
        <x:v>Parlimen Malaysia</x:v>
      </x:c>
      <x:c r="D6" s="17" t="str">
        <x:v>2023-03-16</x:v>
      </x:c>
      <x:c r="E6" s="17" t="str">
        <x:v>A</x:v>
      </x:c>
      <x:c r="F6" s="17" t="str">
        <x:v>Period-level flood-location evidence</x:v>
      </x:c>
      <x:c r="G6" s="17" t="str">
        <x:v>https://repositori.parlimen.gov.my/bitstream/123456789/3429/22/DR21-16032023.pdf</x:v>
      </x:c>
      <x:c r="H6" s="17" t="str">
        <x:v>Lists recent Tebrau flood-crisis places; exact individual event dates are not supplied, so unmatched names stay unresolved candidates.</x:v>
      </x:c>
    </x:row>
    <x:row r="7">
      <x:c r="A7" s="17" t="str">
        <x:v>SRC_R2023_RTM_20230503</x:v>
      </x:c>
      <x:c r="B7" s="17" t="str">
        <x:v>Ribut, 14 rumah rosak di Johor Bahru</x:v>
      </x:c>
      <x:c r="C7" s="17" t="str">
        <x:v>RTM / district disaster statement</x:v>
      </x:c>
      <x:c r="D7" s="17" t="str">
        <x:v>2023-05-03</x:v>
      </x:c>
      <x:c r="E7" s="17" t="str">
        <x:v>B</x:v>
      </x:c>
      <x:c r="F7" s="17" t="str">
        <x:v>Date-uncertain flood candidate</x:v>
      </x:c>
      <x:c r="G7" s="17" t="str">
        <x:v>https://berita.rtm.gov.my/nasional/senarai-berita-nasional/senarai-artikel/ribut-14-rumah-rosak-di-johor-bahru/</x:v>
      </x:c>
      <x:c r="H7" s="17" t="str">
        <x:v>States flash flood in Permatang Kempas had subsided; exact onset date/time not explicit enough for dated Event_ID.</x:v>
      </x:c>
    </x:row>
    <x:row r="8">
      <x:c r="A8" s="17" t="str">
        <x:v>SRC_R2023_CITY_20231009</x:v>
      </x:c>
      <x:c r="B8" s="17" t="str">
        <x:v>JB dilanda ribut petang Isnin</x:v>
      </x:c>
      <x:c r="C8" s="17" t="str">
        <x:v>Berita Harian SG / eyewitness-social coverage</x:v>
      </x:c>
      <x:c r="D8" s="17" t="str">
        <x:v>2023-10-10</x:v>
      </x:c>
      <x:c r="E8" s="17" t="str">
        <x:v>C</x:v>
      </x:c>
      <x:c r="F8" s="17" t="str">
        <x:v>Generic event candidate</x:v>
      </x:c>
      <x:c r="G8" s="17" t="str">
        <x:v>https://www.beritaharian.sg/malaysia/jb-dilanda-ribut-petang-isnin</x:v>
      </x:c>
      <x:c r="H8" s="17" t="str">
        <x:v>Reports flash flooding around Johor Bahru during 9 Oct storm but no sufficiently precise flood location for event-location row.</x:v>
      </x:c>
    </x:row>
    <x:row r="9">
      <x:c r="A9" s="17" t="str">
        <x:v>SRC_R2023_BERNAMA_20231102</x:v>
      </x:c>
      <x:c r="B9" s="17" t="str">
        <x:v>101 Penduduk Kampung Sungai Tiram Terjejas Banjir Kilat</x:v>
      </x:c>
      <x:c r="C9" s="17" t="str">
        <x:v>Bernama / JBPM</x:v>
      </x:c>
      <x:c r="D9" s="17" t="str">
        <x:v>2023-11-02</x:v>
      </x:c>
      <x:c r="E9" s="17" t="str">
        <x:v>A/B</x:v>
      </x:c>
      <x:c r="F9" s="17" t="str">
        <x:v>Exact event evidence</x:v>
      </x:c>
      <x:c r="G9" s="17" t="str">
        <x:v>https://bernama.com/bm/news.php?id=2240734</x:v>
      </x:c>
      <x:c r="H9" s="17" t="str">
        <x:v>Evacuation from Lorong Mak Piah began 11 pm the previous night; flood up to one metre.</x:v>
      </x:c>
    </x:row>
    <x:row r="10">
      <x:c r="A10" s="17" t="str">
        <x:v>SRC_R2023_RTM_20231102</x:v>
      </x:c>
      <x:c r="B10" s="17" t="str">
        <x:v>Banjir kilat di Johor, satu PPS dibuka</x:v>
      </x:c>
      <x:c r="C10" s="17" t="str">
        <x:v>RTM / JBPM</x:v>
      </x:c>
      <x:c r="D10" s="17" t="str">
        <x:v>2023-11-02</x:v>
      </x:c>
      <x:c r="E10" s="17" t="str">
        <x:v>B</x:v>
      </x:c>
      <x:c r="F10" s="17" t="str">
        <x:v>Exact event corroboration</x:v>
      </x:c>
      <x:c r="G10" s="17" t="str">
        <x:v>https://berita.rtm.gov.my/nasional/senarai-berita-nasional/senarai-artikel/banjir-kilat-di-johor-satu-pps-dibuka/</x:v>
      </x:c>
      <x:c r="H10" s="17" t="str">
        <x:v>Corroborates 1 Nov Lorong Mak Piah episode.</x:v>
      </x:c>
    </x:row>
    <x:row r="11">
      <x:c r="A11" s="17" t="str">
        <x:v>SRC_R2023_RTM_20231112</x:v>
      </x:c>
      <x:c r="B11" s="17" t="str">
        <x:v>Banjir kilat di Johor, 10 mangsa terjejas</x:v>
      </x:c>
      <x:c r="C11" s="17" t="str">
        <x:v>RTM / JBPM</x:v>
      </x:c>
      <x:c r="D11" s="17" t="str">
        <x:v>2023-11-12</x:v>
      </x:c>
      <x:c r="E11" s="17" t="str">
        <x:v>B</x:v>
      </x:c>
      <x:c r="F11" s="17" t="str">
        <x:v>Exact event evidence</x:v>
      </x:c>
      <x:c r="G11" s="17" t="str">
        <x:v>https://berita.rtm.gov.my/nasional/senarai-berita-nasional/senarai-artikel/banjir-kilat-di-johor-10-mangsa-terjejas/</x:v>
      </x:c>
      <x:c r="H11" s="17" t="str">
        <x:v>Kampung Sentosa Damai, about 7:15 pm; water around three feet.</x:v>
      </x:c>
    </x:row>
    <x:row r="12">
      <x:c r="A12" s="17" t="str">
        <x:v>SRC_R2023_RTM_20231115</x:v>
      </x:c>
      <x:c r="B12" s="17" t="str">
        <x:v>Kampung Sentosa Damai, Pasir Gudang dilanda banjir kilat</x:v>
      </x:c>
      <x:c r="C12" s="17" t="str">
        <x:v>RTM / district disaster secretariat</x:v>
      </x:c>
      <x:c r="D12" s="17" t="str">
        <x:v>2023-11-15</x:v>
      </x:c>
      <x:c r="E12" s="17" t="str">
        <x:v>B</x:v>
      </x:c>
      <x:c r="F12" s="17" t="str">
        <x:v>Exact event evidence</x:v>
      </x:c>
      <x:c r="G12" s="17" t="str">
        <x:v>https://berita.rtm.gov.my/nasional/senarai-berita-nasional/senarai-artikel/kampung-sentosa-damai-pasir-gudang-dilanda-banjir-kilat/</x:v>
      </x:c>
      <x:c r="H12" s="17" t="str">
        <x:v>Separate 15 Nov recurrence at about 4:30 pm; 25 other houses affected.</x:v>
      </x:c>
    </x:row>
    <x:row r="13">
      <x:c r="A13" s="17" t="str">
        <x:v>SRC_R2023_FMT_BERNAMA_20231201</x:v>
      </x:c>
      <x:c r="B13" s="17" t="str">
        <x:v>5 villages in Johor hit by flash floods</x:v>
      </x:c>
      <x:c r="C13" s="17" t="str">
        <x:v>FMT carrying Bernama/JPBN</x:v>
      </x:c>
      <x:c r="D13" s="17" t="str">
        <x:v>2023-12-01</x:v>
      </x:c>
      <x:c r="E13" s="17" t="str">
        <x:v>A/B</x:v>
      </x:c>
      <x:c r="F13" s="17" t="str">
        <x:v>Exact event evidence</x:v>
      </x:c>
      <x:c r="G13" s="17" t="str">
        <x:v>https://www.freemalaysiatoday.com/category/nation/2023/12/01/5-villages-in-johor-hit-by-flash-floods</x:v>
      </x:c>
      <x:c r="H13" s="17" t="str">
        <x:v>Five villages: Paya Kenangan, Pasir Tebrau, Kangkar Tebrau, Sentosa Damai, Sentosa Barat.</x:v>
      </x:c>
    </x:row>
    <x:row r="14">
      <x:c r="A14" s="17" t="str">
        <x:v>SRC_R2023_RTM_20231201</x:v>
      </x:c>
      <x:c r="B14" s="17" t="str">
        <x:v>Banjir di Johor: 463 penduduk terjejas...</x:v>
      </x:c>
      <x:c r="C14" s="17" t="str">
        <x:v>RTM</x:v>
      </x:c>
      <x:c r="D14" s="17" t="str">
        <x:v>2023-12-01</x:v>
      </x:c>
      <x:c r="E14" s="17" t="str">
        <x:v>B</x:v>
      </x:c>
      <x:c r="F14" s="17" t="str">
        <x:v>Additional explicit locations</x:v>
      </x:c>
      <x:c r="G14" s="17" t="str">
        <x:v>https://berita.rtm.gov.my/nasional/senarai-berita-nasional/senarai-artikel/banjir-di-johor-463-penduduk-terjejas-banjir-tak-sempat-kemas-barang-air-naik-mendadak/</x:v>
      </x:c>
      <x:c r="H14" s="17" t="str">
        <x:v>Adds Taman Bunga Ros, Kampung Bukit Pulai and Jalan Kangkar Tebrau.</x:v>
      </x:c>
    </x:row>
    <x:row r="15">
      <x:c r="A15" s="17" t="str">
        <x:v>SRC_R2023_KOSMO_20231201</x:v>
      </x:c>
      <x:c r="B15" s="17" t="str">
        <x:v>Banjir... dipindahkan ke PPS di Johor</x:v>
      </x:c>
      <x:c r="C15" s="17" t="str">
        <x:v>Kosmo / JBPM</x:v>
      </x:c>
      <x:c r="D15" s="17" t="str">
        <x:v>2023-12-01</x:v>
      </x:c>
      <x:c r="E15" s="17" t="str">
        <x:v>B</x:v>
      </x:c>
      <x:c r="F15" s="17" t="str">
        <x:v>Additional explicit locations</x:v>
      </x:c>
      <x:c r="G15" s="17" t="str">
        <x:v>https://www.kosmo.com.my/2023/12/01/banjir-74-termasuk-tiga-bayi-dipindahkan-ke-pps-di-johor/</x:v>
      </x:c>
      <x:c r="H15" s="17" t="str">
        <x:v>Used for road/subarea-specific rescue locations such as Jalan Kampung Sentosa Damai 8 and Bukit Pulai.</x:v>
      </x:c>
    </x:row>
    <x:row r="16">
      <x:c r="A16" s="17" t="str">
        <x:v>SRC_R2023_PDRM_20231201</x:v>
      </x:c>
      <x:c r="B16" s="17" t="str">
        <x:v>OPBANJIR: PDRM bersama JBPM pindahkan warga kampung...</x:v>
      </x:c>
      <x:c r="C16" s="17" t="str">
        <x:v>PDRM</x:v>
      </x:c>
      <x:c r="D16" s="17" t="str">
        <x:v>2023-12-01</x:v>
      </x:c>
      <x:c r="E16" s="17" t="str">
        <x:v>A</x:v>
      </x:c>
      <x:c r="F16" s="17" t="str">
        <x:v>Additional official location evidence</x:v>
      </x:c>
      <x:c r="G16" s="17" t="str">
        <x:v>https://www.rmp.gov.my/arkib-berita/berita/2023/12/01/opbanjir-pdrm-bersama-jbpm-pindahkan-warga-kampung-terjejas-banjir-ke-pps</x:v>
      </x:c>
      <x:c r="H16" s="17" t="str">
        <x:v>Retains Kampung Pasir as a source-explicit object; not auto-merged with Pasir Tebrau.</x:v>
      </x:c>
    </x:row>
    <x:row r="17">
      <x:c r="A17" s="17" t="str">
        <x:v>SRC_R2023_FMT_20231206</x:v>
      </x:c>
      <x:c r="B17" s="17" t="str">
        <x:v>Banjir kilat landa 25 kawasan di JB</x:v>
      </x:c>
      <x:c r="C17" s="17" t="str">
        <x:v>Free Malaysia Today citing MBJB/ADUN</x:v>
      </x:c>
      <x:c r="D17" s="17" t="str">
        <x:v>2023-12-06</x:v>
      </x:c>
      <x:c r="E17" s="17" t="str">
        <x:v>B</x:v>
      </x:c>
      <x:c r="F17" s="17" t="str">
        <x:v>Exact event-location evidence</x:v>
      </x:c>
      <x:c r="G17" s="17" t="str">
        <x:v>https://www.freemalaysiatoday.com/category/bahasa/tempatan/2023/12/06/banjir-kilat-landa-25-kawasan-di-jb</x:v>
      </x:c>
      <x:c r="H17" s="17" t="str">
        <x:v>MBJB reported 25 affected locations as of 3:40 pm; article explicitly names 18.</x:v>
      </x:c>
    </x:row>
    <x:row r="18">
      <x:c r="A18" s="17" t="str">
        <x:v>SRC_R2023_MDJ_MAIN_20231207</x:v>
      </x:c>
      <x:c r="B18" s="17" t="str">
        <x:v>Banjir Kilat: MBJB Laksana Tindakan Proaktif</x:v>
      </x:c>
      <x:c r="C18" s="17" t="str">
        <x:v>Media Digital Johor / MBJB</x:v>
      </x:c>
      <x:c r="D18" s="17" t="str">
        <x:v>2023-12-07</x:v>
      </x:c>
      <x:c r="E18" s="17" t="str">
        <x:v>A/B</x:v>
      </x:c>
      <x:c r="F18" s="17" t="str">
        <x:v>Exact event-location evidence</x:v>
      </x:c>
      <x:c r="G18" s="17" t="str">
        <x:v>https://mediadigitaljohor.gov.my/banjir-kilat-mbjb-laksana-tindakan-proaktif/</x:v>
      </x:c>
      <x:c r="H18" s="17" t="str">
        <x:v>Confirms 25 locations and names additional Hutan Bandar, Padi Huma 9/10 and Kangkar Tebrau; &gt;100 mm rain plus high tide.</x:v>
      </x:c>
    </x:row>
    <x:row r="19">
      <x:c r="A19" s="17" t="str">
        <x:v>SRC_R2023_MDJ_RESPONSE_20231206</x:v>
      </x:c>
      <x:c r="B19" s="17" t="str">
        <x:v>Banjir Kilat: Bomba, APM, MBJB Bertindak Proaktif</x:v>
      </x:c>
      <x:c r="C19" s="17" t="str">
        <x:v>Media Digital Johor / JBPM/APM/MBJB</x:v>
      </x:c>
      <x:c r="D19" s="17" t="str">
        <x:v>2023-12-06</x:v>
      </x:c>
      <x:c r="E19" s="17" t="str">
        <x:v>A/B</x:v>
      </x:c>
      <x:c r="F19" s="17" t="str">
        <x:v>Exact event-location evidence</x:v>
      </x:c>
      <x:c r="G19" s="17" t="str">
        <x:v>https://mediadigitaljohor.gov.my/banjir-kilat-bomba-apm-mbjb-bertindak-proaktif/</x:v>
      </x:c>
      <x:c r="H19" s="17" t="str">
        <x:v>Names Kampung Mohd Amin, Nong Chik, Majidee, Taman Melodies, Stulang Darat and Ayer Molek.</x:v>
      </x:c>
    </x:row>
    <x:row r="20">
      <x:c r="A20" s="17" t="str">
        <x:v>SRC_R2023_UTUSAN_20231206</x:v>
      </x:c>
      <x:c r="B20" s="17" t="str">
        <x:v>Hujan lebat lebih tiga jam sebabkan banjir kilat</x:v>
      </x:c>
      <x:c r="C20" s="17" t="str">
        <x:v>Utusan Malaysia</x:v>
      </x:c>
      <x:c r="D20" s="17" t="str">
        <x:v>2023-12-06</x:v>
      </x:c>
      <x:c r="E20" s="17" t="str">
        <x:v>B</x:v>
      </x:c>
      <x:c r="F20" s="17" t="str">
        <x:v>Additional direct field locations</x:v>
      </x:c>
      <x:c r="G20" s="17" t="str">
        <x:v>https://www.utusan.com.my/berita/2023/12/hujan-lebat-lebih-tiga-jam-sebabkan-banjir-kilat/</x:v>
      </x:c>
      <x:c r="H20" s="17" t="str">
        <x:v>Directly identifies Jalan Sungai Chat, Taman Abad, Jalan Ayer Molek and Tasek Merdeka; three non-duplicate extra labels retained beyond MBJB 25 block.</x:v>
      </x:c>
    </x:row>
    <x:row r="21">
      <x:c r="A21" s="17" t="str">
        <x:v>SRC_R2023_RTM_20231214</x:v>
      </x:c>
      <x:c r="B21" s="17" t="str">
        <x:v>11 lokasi di Johor Bahru dilanda banjir kilat</x:v>
      </x:c>
      <x:c r="C21" s="17" t="str">
        <x:v>RTM / MBJB</x:v>
      </x:c>
      <x:c r="D21" s="17" t="str">
        <x:v>2023-12-14</x:v>
      </x:c>
      <x:c r="E21" s="17" t="str">
        <x:v>A/B</x:v>
      </x:c>
      <x:c r="F21" s="17" t="str">
        <x:v>Exact event-location evidence</x:v>
      </x:c>
      <x:c r="G21" s="17" t="str">
        <x:v>https://berita.rtm.gov.my/nasional/senarai-berita-nasional/senarai-artikel/11-lokasi-di-johor-bahru-dilanda-banjir-kilat/</x:v>
      </x:c>
      <x:c r="H21" s="17" t="str">
        <x:v>MBJB 11-location list after rain 4:00–6:15 pm.</x:v>
      </x:c>
    </x:row>
    <x:row r="22">
      <x:c r="A22" s="17" t="str">
        <x:v>SRC_R2023_MMAIL_20231214</x:v>
      </x:c>
      <x:c r="B22" s="17" t="str">
        <x:v>JB council: 10 main roads, one village inundated by flash floods</x:v>
      </x:c>
      <x:c r="C22" s="17" t="str">
        <x:v>Malay Mail / MBJB &amp; JBPM</x:v>
      </x:c>
      <x:c r="D22" s="17" t="str">
        <x:v>2023-12-14</x:v>
      </x:c>
      <x:c r="E22" s="17" t="str">
        <x:v>B</x:v>
      </x:c>
      <x:c r="F22" s="17" t="str">
        <x:v>Exact event-location evidence</x:v>
      </x:c>
      <x:c r="G22" s="17" t="str">
        <x:v>https://www.malaymail.com/news/malaysia/2023/12/14/jb-council-10-main-roads-one-village-inundated-by-flash-floods/107558</x:v>
      </x:c>
      <x:c r="H22" s="17" t="str">
        <x:v>Corroborates 11 MBJB locations and independently records flooded Jalan Persiaran Molek Utama with two rescued occupants.</x:v>
      </x:c>
    </x:row>
  </x:sheetData>
  <x:pageMargins left="0.7" right="0.7" top="0.75" bottom="0.75" header="0.3" footer="0.3"/>
</x:worksheet>
</file>

<file path=xl/worksheets/sheet21.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16" hidden="0" customWidth="1"/>
    <x:col min="5" max="5" width="17" hidden="0" customWidth="1"/>
    <x:col min="6" max="6" width="17" hidden="0" customWidth="1"/>
    <x:col min="7" max="7" width="47" hidden="0" customWidth="1"/>
    <x:col min="8" max="8" width="38" hidden="0" customWidth="1"/>
    <x:col min="9" max="9" width="31" hidden="0" customWidth="1"/>
    <x:col min="10" max="10" width="62" hidden="0" customWidth="1"/>
    <x:col min="11" max="11" width="62" hidden="0" customWidth="1"/>
    <x:col min="12" max="12" width="17" hidden="0" customWidth="1"/>
  </x:cols>
  <x:sheetData>
    <x:row r="1">
      <x:c r="A1" s="40" t="str">
        <x:v>Spatial_Object_Key</x:v>
      </x:c>
      <x:c r="B1" s="40" t="str">
        <x:v>Canonical_Name</x:v>
      </x:c>
      <x:c r="C1" s="40" t="str">
        <x:v>Object_Type</x:v>
      </x:c>
      <x:c r="D1" s="40" t="str">
        <x:v>Point_GIS_Ready</x:v>
      </x:c>
      <x:c r="E1" s="40" t="str">
        <x:v>Longitude_WGS84</x:v>
      </x:c>
      <x:c r="F1" s="40" t="str">
        <x:v>Latitude_WGS84</x:v>
      </x:c>
      <x:c r="G1" s="40" t="str">
        <x:v>Point_Source</x:v>
      </x:c>
      <x:c r="H1" s="40" t="str">
        <x:v>Geometry_Status</x:v>
      </x:c>
      <x:c r="I1" s="40" t="str">
        <x:v>Polygon_ID</x:v>
      </x:c>
      <x:c r="J1" s="40" t="str">
        <x:v>Key_Conflict_or_Gap</x:v>
      </x:c>
      <x:c r="K1" s="40" t="str">
        <x:v>Next_Spatial_Action</x:v>
      </x:c>
      <x:c r="L1" s="40" t="str">
        <x:v>Event_Count_2023</x:v>
      </x:c>
    </x:row>
    <x:row r="2">
      <x:c r="A2" s="17" t="str">
        <x:v>S2023-001</x:v>
      </x:c>
      <x:c r="B2" s="17" t="str">
        <x:v>Larkin Perdana</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 gazetteer/planning/OSM named boundary; do not fabricate polygon.</x:v>
      </x:c>
      <x:c r="L2" s="17" t="n">
        <x:f>COUNTIF('17_2023_Event_Master'!$E$2:$E$64,A2)</x:f>
        <x:v>1</x:v>
      </x:c>
    </x:row>
    <x:row r="3">
      <x:c r="A3" s="17" t="str">
        <x:v>S2023-002</x:v>
      </x:c>
      <x:c r="B3" s="17" t="str">
        <x:v>Kampung Aman</x:v>
      </x:c>
      <x:c r="C3" s="17" t="str">
        <x:v>COMMUNITY/AREA</x:v>
      </x:c>
      <x:c r="D3" s="24" t="b">
        <x:v>0</x:v>
      </x:c>
      <x:c r="E3" s="17"/>
      <x:c r="F3" s="17"/>
      <x:c r="G3" s="17" t="str"/>
      <x:c r="H3" s="17" t="str">
        <x:v>POINT_OPEN; POLYGON_OPEN</x:v>
      </x:c>
      <x:c r="I3" s="17" t="str"/>
      <x:c r="J3" s="17" t="str">
        <x:v>Event identity is valid but no strict traceable point/boundary is frozen.</x:v>
      </x:c>
      <x:c r="K3" s="17" t="str">
        <x:v>Seek official gazetteer/planning/OSM named boundary; do not fabricate polygon.</x:v>
      </x:c>
      <x:c r="L3" s="17" t="n">
        <x:f>COUNTIF('17_2023_Event_Master'!$E$2:$E$64,A3)</x:f>
        <x:v>1</x:v>
      </x:c>
    </x:row>
    <x:row r="4">
      <x:c r="A4" s="17" t="str">
        <x:v>S2023-003</x:v>
      </x:c>
      <x:c r="B4" s="17" t="str">
        <x:v>Taman Sri Bahagia</x:v>
      </x:c>
      <x:c r="C4" s="17" t="str">
        <x:v>COMMUNITY/AREA</x:v>
      </x:c>
      <x:c r="D4" s="24" t="b">
        <x:v>0</x:v>
      </x:c>
      <x:c r="E4" s="17"/>
      <x:c r="F4" s="17"/>
      <x:c r="G4" s="17" t="str"/>
      <x:c r="H4" s="17" t="str">
        <x:v>POINT_OPEN; POLYGON_OPEN</x:v>
      </x:c>
      <x:c r="I4" s="17" t="str"/>
      <x:c r="J4" s="17" t="str">
        <x:v>Event identity is valid but no strict traceable point/boundary is frozen.</x:v>
      </x:c>
      <x:c r="K4" s="17" t="str">
        <x:v>Seek official gazetteer/planning/OSM named boundary; do not fabricate polygon.</x:v>
      </x:c>
      <x:c r="L4" s="17" t="n">
        <x:f>COUNTIF('17_2023_Event_Master'!$E$2:$E$64,A4)</x:f>
        <x:v>1</x:v>
      </x:c>
    </x:row>
    <x:row r="5">
      <x:c r="A5" s="17" t="str">
        <x:v>S2023-004</x:v>
      </x:c>
      <x:c r="B5" s="17" t="str">
        <x:v>Kampung Dato Hajah Hasnah Majidee</x:v>
      </x:c>
      <x:c r="C5" s="17" t="str">
        <x:v>COMMUNITY/AREA</x:v>
      </x:c>
      <x:c r="D5" s="24" t="b">
        <x:v>0</x:v>
      </x:c>
      <x:c r="E5" s="17"/>
      <x:c r="F5" s="17"/>
      <x:c r="G5" s="17" t="str"/>
      <x:c r="H5" s="17" t="str">
        <x:v>POINT_OPEN; POLYGON_OPEN</x:v>
      </x:c>
      <x:c r="I5" s="17" t="str"/>
      <x:c r="J5" s="17" t="str">
        <x:v>Event identity is valid but no strict traceable point/boundary is frozen.</x:v>
      </x:c>
      <x:c r="K5" s="17" t="str">
        <x:v>Seek official gazetteer/planning/OSM named boundary; do not fabricate polygon.</x:v>
      </x:c>
      <x:c r="L5" s="17" t="n">
        <x:f>COUNTIF('17_2023_Event_Master'!$E$2:$E$64,A5)</x:f>
        <x:v>1</x:v>
      </x:c>
    </x:row>
    <x:row r="6">
      <x:c r="A6" s="17" t="str">
        <x:v>S2023-005</x:v>
      </x:c>
      <x:c r="B6" s="17" t="str">
        <x:v>Kampung Kurnia, Larkin</x:v>
      </x:c>
      <x:c r="C6" s="17" t="str">
        <x:v>COMMUNITY/AREA</x:v>
      </x:c>
      <x:c r="D6" s="24" t="b">
        <x:v>0</x:v>
      </x:c>
      <x:c r="E6" s="17"/>
      <x:c r="F6" s="17"/>
      <x:c r="G6" s="17" t="str"/>
      <x:c r="H6" s="17" t="str">
        <x:v>POINT_OPEN; POLYGON_OPEN</x:v>
      </x:c>
      <x:c r="I6" s="17" t="str"/>
      <x:c r="J6" s="17" t="str">
        <x:v>Event identity is valid but no strict traceable point/boundary is frozen.</x:v>
      </x:c>
      <x:c r="K6" s="17" t="str">
        <x:v>Seek official gazetteer/planning/OSM named boundary; do not fabricate polygon.</x:v>
      </x:c>
      <x:c r="L6" s="17" t="n">
        <x:f>COUNTIF('17_2023_Event_Master'!$E$2:$E$64,A6)</x:f>
        <x:v>1</x:v>
      </x:c>
    </x:row>
    <x:row r="7">
      <x:c r="A7" s="17" t="str">
        <x:v>S2023-006</x:v>
      </x:c>
      <x:c r="B7" s="17" t="str">
        <x:v>Kampung Cahaya Baru, Masai</x:v>
      </x:c>
      <x:c r="C7" s="17" t="str">
        <x:v>COMMUNITY/AREA</x:v>
      </x:c>
      <x:c r="D7" s="24" t="b">
        <x:v>0</x:v>
      </x:c>
      <x:c r="E7" s="17"/>
      <x:c r="F7" s="17"/>
      <x:c r="G7" s="17" t="str"/>
      <x:c r="H7" s="17" t="str">
        <x:v>POINT_OPEN; POLYGON_OPEN</x:v>
      </x:c>
      <x:c r="I7" s="17" t="str"/>
      <x:c r="J7" s="17" t="str">
        <x:v>Event identity is valid but no strict traceable point/boundary is frozen.</x:v>
      </x:c>
      <x:c r="K7" s="17" t="str">
        <x:v>Seek official gazetteer/planning/OSM named boundary; do not fabricate polygon.</x:v>
      </x:c>
      <x:c r="L7" s="17" t="n">
        <x:f>COUNTIF('17_2023_Event_Master'!$E$2:$E$64,A7)</x:f>
        <x:v>1</x:v>
      </x:c>
    </x:row>
    <x:row r="8">
      <x:c r="A8" s="17" t="str">
        <x:v>S2023-007</x:v>
      </x:c>
      <x:c r="B8" s="17" t="str">
        <x:v>Kampung Pasir Tebrau</x:v>
      </x:c>
      <x:c r="C8" s="17" t="str">
        <x:v>COMMUNITY/AREA</x:v>
      </x:c>
      <x:c r="D8" s="24" t="b">
        <x:v>1</x:v>
      </x:c>
      <x:c r="E8" s="17" t="n">
        <x:v>103.74288131</x:v>
      </x:c>
      <x:c r="F8" s="17" t="n">
        <x:v>1.54457461</x:v>
      </x:c>
      <x:c r="G8" s="17" t="str">
        <x:v>R016 / official MyGeoName Johor point</x:v>
      </x:c>
      <x:c r="H8" s="17" t="str">
        <x:v>POINT_READY; POLYGON_OPEN</x:v>
      </x:c>
      <x:c r="I8" s="17" t="str"/>
      <x:c r="J8" s="17" t="str">
        <x:v>Exact closed event/community analysis geometry not frozen.</x:v>
      </x:c>
      <x:c r="K8" s="17" t="str">
        <x:v>Seek official gazetteer/planning/OSM named boundary; do not fabricate polygon.</x:v>
      </x:c>
      <x:c r="L8" s="17" t="n">
        <x:f>COUNTIF('17_2023_Event_Master'!$E$2:$E$64,A8)</x:f>
        <x:v>2</x:v>
      </x:c>
    </x:row>
    <x:row r="9">
      <x:c r="A9" s="17" t="str">
        <x:v>S2023-008</x:v>
      </x:c>
      <x:c r="B9" s="17" t="str">
        <x:v>Kampung Sungai Tiram</x:v>
      </x:c>
      <x:c r="C9" s="17" t="str">
        <x:v>COMMUNITY/AREA</x:v>
      </x:c>
      <x:c r="D9" s="24" t="b">
        <x:v>1</x:v>
      </x:c>
      <x:c r="E9" s="17" t="n">
        <x:v>103.8806315</x:v>
      </x:c>
      <x:c r="F9" s="17" t="n">
        <x:v>1.5843974</x:v>
      </x:c>
      <x:c r="G9" s="17" t="str">
        <x:v>R016 Sungai Tiram reference point</x:v>
      </x:c>
      <x:c r="H9" s="17" t="str">
        <x:v>POINT_READY; POLYGON_OPEN</x:v>
      </x:c>
      <x:c r="I9" s="17" t="str"/>
      <x:c r="J9" s="17" t="str">
        <x:v>Exact closed event/community analysis geometry not frozen.</x:v>
      </x:c>
      <x:c r="K9" s="17" t="str">
        <x:v>Seek official gazetteer/planning/OSM named boundary; do not fabricate polygon.</x:v>
      </x:c>
      <x:c r="L9" s="17" t="n">
        <x:f>COUNTIF('17_2023_Event_Master'!$E$2:$E$64,A9)</x:f>
        <x:v>1</x:v>
      </x:c>
    </x:row>
    <x:row r="10">
      <x:c r="A10" s="17" t="str">
        <x:v>S2023-009</x:v>
      </x:c>
      <x:c r="B10" s="17" t="str">
        <x:v>Kampung Paya Kenangan</x:v>
      </x:c>
      <x:c r="C10" s="17" t="str">
        <x:v>COMMUNITY/AREA</x:v>
      </x:c>
      <x:c r="D10" s="24" t="b">
        <x:v>1</x:v>
      </x:c>
      <x:c r="E10" s="17" t="n">
        <x:v>103.74961954</x:v>
      </x:c>
      <x:c r="F10" s="17" t="n">
        <x:v>1.5403203</x:v>
      </x:c>
      <x:c r="G10" s="17" t="str">
        <x:v>R016 / official MyGeoName Johor point</x:v>
      </x:c>
      <x:c r="H10" s="17" t="str">
        <x:v>POINT_READY; POLYGON_OPEN</x:v>
      </x:c>
      <x:c r="I10" s="17" t="str"/>
      <x:c r="J10" s="17" t="str">
        <x:v>Exact closed event/community analysis geometry not frozen.</x:v>
      </x:c>
      <x:c r="K10" s="17" t="str">
        <x:v>Seek official gazetteer/planning/OSM named boundary; do not fabricate polygon.</x:v>
      </x:c>
      <x:c r="L10" s="17" t="n">
        <x:f>COUNTIF('17_2023_Event_Master'!$E$2:$E$64,A10)</x:f>
        <x:v>2</x:v>
      </x:c>
    </x:row>
    <x:row r="11">
      <x:c r="A11" s="17" t="str">
        <x:v>S2023-010</x:v>
      </x:c>
      <x:c r="B11" s="17" t="str">
        <x:v>Kangkar (source-short-name)</x:v>
      </x:c>
      <x:c r="C11" s="17" t="str">
        <x:v>COMMUNITY/AREA</x:v>
      </x:c>
      <x:c r="D11" s="24" t="b">
        <x:v>0</x:v>
      </x:c>
      <x:c r="E11" s="17"/>
      <x:c r="F11" s="17"/>
      <x:c r="G11" s="17" t="str">
        <x:v>1 Mar source gives only short label 'Kangkar'</x:v>
      </x:c>
      <x:c r="H11" s="17" t="str">
        <x:v>IDENTITY_AMBIGUOUS; POINT_OPEN</x:v>
      </x:c>
      <x:c r="I11" s="17" t="str"/>
      <x:c r="J11" s="17" t="str">
        <x:v>Short name is insufficient to defensibly merge with Kampung Kangkar Tebrau.</x:v>
      </x:c>
      <x:c r="K11" s="17" t="str">
        <x:v>Resolve administrative/locality identity before geocoding or merging.</x:v>
      </x:c>
      <x:c r="L11" s="17" t="n">
        <x:f>COUNTIF('17_2023_Event_Master'!$E$2:$E$64,A11)</x:f>
        <x:v>1</x:v>
      </x:c>
    </x:row>
    <x:row r="12">
      <x:c r="A12" s="17" t="str">
        <x:v>S2023-011</x:v>
      </x:c>
      <x:c r="B12" s="17" t="str">
        <x:v>Lorong Mak Piah, Kampung Sungai Tiram</x:v>
      </x:c>
      <x:c r="C12" s="17" t="str">
        <x:v>ROAD/SUBAREA</x:v>
      </x:c>
      <x:c r="D12" s="24" t="b">
        <x:v>0</x:v>
      </x:c>
      <x:c r="E12" s="17"/>
      <x:c r="F12" s="17"/>
      <x:c r="G12" s="17" t="str"/>
      <x:c r="H12" s="17" t="str">
        <x:v>ROAD_SEGMENT_OPEN</x:v>
      </x:c>
      <x:c r="I12" s="17" t="str"/>
      <x:c r="J12" s="17" t="str">
        <x:v>Event-valid road/subarea; exact flooded start/end segment not evidenced.</x:v>
      </x:c>
      <x:c r="K12" s="17" t="str">
        <x:v>Keep road segment OPEN unless start/end geometry is independently evidenced.</x:v>
      </x:c>
      <x:c r="L12" s="17" t="n">
        <x:f>COUNTIF('17_2023_Event_Master'!$E$2:$E$64,A12)</x:f>
        <x:v>1</x:v>
      </x:c>
    </x:row>
    <x:row r="13">
      <x:c r="A13" s="17" t="str">
        <x:v>S2023-012</x:v>
      </x:c>
      <x:c r="B13" s="17" t="str">
        <x:v>Kampung Sentosa Damai</x:v>
      </x:c>
      <x:c r="C13" s="17" t="str">
        <x:v>COMMUNITY/AREA</x:v>
      </x:c>
      <x:c r="D13" s="24" t="b">
        <x:v>0</x:v>
      </x:c>
      <x:c r="E13" s="17"/>
      <x:c r="F13" s="17"/>
      <x:c r="G13" s="17" t="str"/>
      <x:c r="H13" s="17" t="str">
        <x:v>POINT_OPEN; POLYGON_OPEN</x:v>
      </x:c>
      <x:c r="I13" s="17" t="str"/>
      <x:c r="J13" s="17" t="str">
        <x:v>Event identity is valid but no strict traceable point/boundary is frozen.</x:v>
      </x:c>
      <x:c r="K13" s="17" t="str">
        <x:v>Seek official gazetteer/planning/OSM named boundary; do not fabricate polygon.</x:v>
      </x:c>
      <x:c r="L13" s="17" t="n">
        <x:f>COUNTIF('17_2023_Event_Master'!$E$2:$E$64,A13)</x:f>
        <x:v>3</x:v>
      </x:c>
    </x:row>
    <x:row r="14">
      <x:c r="A14" s="17" t="str">
        <x:v>S2023-013</x:v>
      </x:c>
      <x:c r="B14" s="17" t="str">
        <x:v>Kampung Kangkar Tebrau</x:v>
      </x:c>
      <x:c r="C14" s="17" t="str">
        <x:v>COMMUNITY/AREA</x:v>
      </x:c>
      <x:c r="D14" s="24" t="b">
        <x:v>1</x:v>
      </x:c>
      <x:c r="E14" s="17" t="n">
        <x:v>103.75589</x:v>
      </x:c>
      <x:c r="F14" s="17" t="n">
        <x:v>1.53176</x:v>
      </x:c>
      <x:c r="G14" s="17" t="str">
        <x:v>R014/R005 audited Kangkar Tebrau point</x:v>
      </x:c>
      <x:c r="H14" s="17" t="str">
        <x:v>REUSED_CLOSED</x:v>
      </x:c>
      <x:c r="I14" s="17" t="str">
        <x:v>PG2017-KG-KANGKAR-TEBRAU</x:v>
      </x:c>
      <x:c r="J14" s="17" t="str">
        <x:v>Existing named community polygon is already frozen; polygon is context/analysis geometry, not observed inundation footprint.</x:v>
      </x:c>
      <x:c r="K14" s="17" t="str">
        <x:v>Reuse frozen polygon; do not infer event water footprint.</x:v>
      </x:c>
      <x:c r="L14" s="17" t="n">
        <x:f>COUNTIF('17_2023_Event_Master'!$E$2:$E$64,A14)</x:f>
        <x:v>2</x:v>
      </x:c>
    </x:row>
    <x:row r="15">
      <x:c r="A15" s="17" t="str">
        <x:v>S2023-014</x:v>
      </x:c>
      <x:c r="B15" s="17" t="str">
        <x:v>Kampung Sentosa Barat</x:v>
      </x:c>
      <x:c r="C15" s="17" t="str">
        <x:v>COMMUNITY/AREA</x:v>
      </x:c>
      <x:c r="D15" s="24" t="b">
        <x:v>0</x:v>
      </x:c>
      <x:c r="E15" s="17"/>
      <x:c r="F15" s="17"/>
      <x:c r="G15" s="17" t="str"/>
      <x:c r="H15" s="17" t="str">
        <x:v>POINT_OPEN; POLYGON_OPEN</x:v>
      </x:c>
      <x:c r="I15" s="17" t="str"/>
      <x:c r="J15" s="17" t="str">
        <x:v>Event identity is valid but no strict traceable point/boundary is frozen.</x:v>
      </x:c>
      <x:c r="K15" s="17" t="str">
        <x:v>Seek official gazetteer/planning/OSM named boundary; do not fabricate polygon.</x:v>
      </x:c>
      <x:c r="L15" s="17" t="n">
        <x:f>COUNTIF('17_2023_Event_Master'!$E$2:$E$64,A15)</x:f>
        <x:v>1</x:v>
      </x:c>
    </x:row>
    <x:row r="16">
      <x:c r="A16" s="17" t="str">
        <x:v>S2023-015</x:v>
      </x:c>
      <x:c r="B16" s="17" t="str">
        <x:v>Kampung Bukit Pulai</x:v>
      </x:c>
      <x:c r="C16" s="17" t="str">
        <x:v>COMMUNITY/AREA</x:v>
      </x:c>
      <x:c r="D16" s="24" t="b">
        <x:v>0</x:v>
      </x:c>
      <x:c r="E16" s="17"/>
      <x:c r="F16" s="17"/>
      <x:c r="G16" s="17" t="str"/>
      <x:c r="H16" s="17" t="str">
        <x:v>POINT_OPEN; POLYGON_OPEN</x:v>
      </x:c>
      <x:c r="I16" s="17" t="str"/>
      <x:c r="J16" s="17" t="str">
        <x:v>Event identity is valid but no strict traceable point/boundary is frozen.</x:v>
      </x:c>
      <x:c r="K16" s="17" t="str">
        <x:v>Seek official gazetteer/planning/OSM named boundary; do not fabricate polygon.</x:v>
      </x:c>
      <x:c r="L16" s="17" t="n">
        <x:f>COUNTIF('17_2023_Event_Master'!$E$2:$E$64,A16)</x:f>
        <x:v>1</x:v>
      </x:c>
    </x:row>
    <x:row r="17">
      <x:c r="A17" s="17" t="str">
        <x:v>S2023-016</x:v>
      </x:c>
      <x:c r="B17" s="17" t="str">
        <x:v>Taman Bunga Ros</x:v>
      </x:c>
      <x:c r="C17" s="17" t="str">
        <x:v>COMMUNITY/AREA</x:v>
      </x:c>
      <x:c r="D17" s="24" t="b">
        <x:v>1</x:v>
      </x:c>
      <x:c r="E17" s="17" t="n">
        <x:v>103.8206509</x:v>
      </x:c>
      <x:c r="F17" s="17" t="n">
        <x:v>1.5212749</x:v>
      </x:c>
      <x:c r="G17" s="17" t="str">
        <x:v>Frozen HF37 legacy/reference point</x:v>
      </x:c>
      <x:c r="H17" s="17" t="str">
        <x:v>POINT_READY; POLYGON_OPEN</x:v>
      </x:c>
      <x:c r="I17" s="17" t="str"/>
      <x:c r="J17" s="17" t="str">
        <x:v>Exact closed event/community analysis geometry not frozen.</x:v>
      </x:c>
      <x:c r="K17" s="17" t="str">
        <x:v>Seek official gazetteer/planning/OSM named boundary; do not fabricate polygon.</x:v>
      </x:c>
      <x:c r="L17" s="17" t="n">
        <x:f>COUNTIF('17_2023_Event_Master'!$E$2:$E$64,A17)</x:f>
        <x:v>1</x:v>
      </x:c>
    </x:row>
    <x:row r="18">
      <x:c r="A18" s="17" t="str">
        <x:v>S2023-017</x:v>
      </x:c>
      <x:c r="B18" s="17" t="str">
        <x:v>Jalan Kangkar Tebrau</x:v>
      </x:c>
      <x:c r="C18" s="17" t="str">
        <x:v>ROAD</x:v>
      </x:c>
      <x:c r="D18" s="24" t="b">
        <x:v>0</x:v>
      </x:c>
      <x:c r="E18" s="17"/>
      <x:c r="F18" s="17"/>
      <x:c r="G18" s="17" t="str"/>
      <x:c r="H18" s="17" t="str">
        <x:v>ROAD_SEGMENT_OPEN</x:v>
      </x:c>
      <x:c r="I18" s="17" t="str"/>
      <x:c r="J18" s="17" t="str">
        <x:v>Event-valid road/subarea; exact flooded start/end segment not evidenced.</x:v>
      </x:c>
      <x:c r="K18" s="17" t="str">
        <x:v>Keep road segment OPEN unless start/end geometry is independently evidenced.</x:v>
      </x:c>
      <x:c r="L18" s="17" t="n">
        <x:f>COUNTIF('17_2023_Event_Master'!$E$2:$E$64,A18)</x:f>
        <x:v>1</x:v>
      </x:c>
    </x:row>
    <x:row r="19">
      <x:c r="A19" s="17" t="str">
        <x:v>S2023-018</x:v>
      </x:c>
      <x:c r="B19" s="17" t="str">
        <x:v>Kampung Pasir</x:v>
      </x:c>
      <x:c r="C19" s="17" t="str">
        <x:v>COMMUNITY/AREA</x:v>
      </x:c>
      <x:c r="D19" s="24" t="b">
        <x:v>1</x:v>
      </x:c>
      <x:c r="E19" s="17" t="n">
        <x:v>103.6969651</x:v>
      </x:c>
      <x:c r="F19" s="17" t="n">
        <x:v>1.4955303</x:v>
      </x:c>
      <x:c r="G19" s="17" t="str">
        <x:v>Frozen HF14 reference point</x:v>
      </x:c>
      <x:c r="H19" s="17" t="str">
        <x:v>POINT_READY; POLYGON_OPEN</x:v>
      </x:c>
      <x:c r="I19" s="17" t="str"/>
      <x:c r="J19" s="17" t="str">
        <x:v>Exact closed event/community analysis geometry not frozen.</x:v>
      </x:c>
      <x:c r="K19" s="17" t="str">
        <x:v>Seek official gazetteer/planning/OSM named boundary; do not fabricate polygon.</x:v>
      </x:c>
      <x:c r="L19" s="17" t="n">
        <x:f>COUNTIF('17_2023_Event_Master'!$E$2:$E$64,A19)</x:f>
        <x:v>1</x:v>
      </x:c>
    </x:row>
    <x:row r="20">
      <x:c r="A20" s="17" t="str">
        <x:v>S2023-019</x:v>
      </x:c>
      <x:c r="B20" s="17" t="str">
        <x:v>Jalan Kampung Sentosa Damai 8</x:v>
      </x:c>
      <x:c r="C20" s="17" t="str">
        <x:v>ROAD</x:v>
      </x:c>
      <x:c r="D20" s="24" t="b">
        <x:v>0</x:v>
      </x:c>
      <x:c r="E20" s="17"/>
      <x:c r="F20" s="17"/>
      <x:c r="G20" s="17" t="str"/>
      <x:c r="H20" s="17" t="str">
        <x:v>ROAD_SEGMENT_OPEN</x:v>
      </x:c>
      <x:c r="I20" s="17" t="str"/>
      <x:c r="J20" s="17" t="str">
        <x:v>Event-valid road/subarea; exact flooded start/end segment not evidenced.</x:v>
      </x:c>
      <x:c r="K20" s="17" t="str">
        <x:v>Keep road segment OPEN unless start/end geometry is independently evidenced.</x:v>
      </x:c>
      <x:c r="L20" s="17" t="n">
        <x:f>COUNTIF('17_2023_Event_Master'!$E$2:$E$64,A20)</x:f>
        <x:v>1</x:v>
      </x:c>
    </x:row>
    <x:row r="21">
      <x:c r="A21" s="17" t="str">
        <x:v>S2023-020</x:v>
      </x:c>
      <x:c r="B21" s="17" t="str">
        <x:v>Dataran Bandaraya Johor Bahru</x:v>
      </x:c>
      <x:c r="C21" s="17" t="str">
        <x:v>CIVIC AREA</x:v>
      </x:c>
      <x:c r="D21" s="24" t="b">
        <x:v>1</x:v>
      </x:c>
      <x:c r="E21" s="17" t="n">
        <x:v>103.74196336546</x:v>
      </x:c>
      <x:c r="F21" s="17" t="n">
        <x:v>1.4597388</x:v>
      </x:c>
      <x:c r="G21" s="17" t="str">
        <x:v>Frozen HF21 reference point</x:v>
      </x:c>
      <x:c r="H21" s="17" t="str">
        <x:v>POINT_READY; POLYGON_OPEN</x:v>
      </x:c>
      <x:c r="I21" s="17" t="str"/>
      <x:c r="J21" s="17" t="str">
        <x:v>Exact closed event/community analysis geometry not frozen.</x:v>
      </x:c>
      <x:c r="K21" s="17" t="str">
        <x:v>Seek official gazetteer/planning/OSM named boundary; do not fabricate polygon.</x:v>
      </x:c>
      <x:c r="L21" s="17" t="n">
        <x:f>COUNTIF('17_2023_Event_Master'!$E$2:$E$64,A21)</x:f>
        <x:v>1</x:v>
      </x:c>
    </x:row>
    <x:row r="22">
      <x:c r="A22" s="17" t="str">
        <x:v>S2023-021</x:v>
      </x:c>
      <x:c r="B22" s="17" t="str">
        <x:v>Jalan Kolam Ayer</x:v>
      </x:c>
      <x:c r="C22" s="17" t="str">
        <x:v>ROAD</x:v>
      </x:c>
      <x:c r="D22" s="24" t="b">
        <x:v>1</x:v>
      </x:c>
      <x:c r="E22" s="17" t="n">
        <x:v>103.7220526</x:v>
      </x:c>
      <x:c r="F22" s="17" t="n">
        <x:v>1.4823854</x:v>
      </x:c>
      <x:c r="G22" s="17" t="str">
        <x:v>Frozen HF02 reference point</x:v>
      </x:c>
      <x:c r="H22" s="17" t="str">
        <x:v>POINT_REFERENCE; ROAD_SEGMENT_OPEN</x:v>
      </x:c>
      <x:c r="I22" s="17" t="str"/>
      <x:c r="J22" s="17" t="str">
        <x:v>Event-valid road/subarea; exact flooded start/end segment not evidenced.</x:v>
      </x:c>
      <x:c r="K22" s="17" t="str">
        <x:v>Keep road segment OPEN unless start/end geometry is independently evidenced.</x:v>
      </x:c>
      <x:c r="L22" s="17" t="n">
        <x:f>COUNTIF('17_2023_Event_Master'!$E$2:$E$64,A22)</x:f>
        <x:v>1</x:v>
      </x:c>
    </x:row>
    <x:row r="23">
      <x:c r="A23" s="17" t="str">
        <x:v>S2023-022</x:v>
      </x:c>
      <x:c r="B23" s="17" t="str">
        <x:v>Jalan Ayer Molek</x:v>
      </x:c>
      <x:c r="C23" s="17" t="str">
        <x:v>ROAD</x:v>
      </x:c>
      <x:c r="D23" s="24" t="b">
        <x:v>1</x:v>
      </x:c>
      <x:c r="E23" s="17" t="n">
        <x:v>103.7587117</x:v>
      </x:c>
      <x:c r="F23" s="17" t="n">
        <x:v>1.4594963</x:v>
      </x:c>
      <x:c r="G23" s="17" t="str">
        <x:v>Frozen HF01 reference point</x:v>
      </x:c>
      <x:c r="H23" s="17" t="str">
        <x:v>POINT_REFERENCE; ROAD_SEGMENT_OPEN</x:v>
      </x:c>
      <x:c r="I23" s="17" t="str"/>
      <x:c r="J23" s="17" t="str">
        <x:v>Event-valid road/subarea; exact flooded start/end segment not evidenced.</x:v>
      </x:c>
      <x:c r="K23" s="17" t="str">
        <x:v>Keep road segment OPEN unless start/end geometry is independently evidenced.</x:v>
      </x:c>
      <x:c r="L23" s="17" t="n">
        <x:f>COUNTIF('17_2023_Event_Master'!$E$2:$E$64,A23)</x:f>
        <x:v>1</x:v>
      </x:c>
    </x:row>
    <x:row r="24">
      <x:c r="A24" s="17" t="str">
        <x:v>S2023-023</x:v>
      </x:c>
      <x:c r="B24" s="17" t="str">
        <x:v>Jalan Bilal Mahmood</x:v>
      </x:c>
      <x:c r="C24" s="17" t="str">
        <x:v>ROAD</x:v>
      </x:c>
      <x:c r="D24" s="24" t="b">
        <x:v>1</x:v>
      </x:c>
      <x:c r="E24" s="17" t="n">
        <x:v>103.7460468</x:v>
      </x:c>
      <x:c r="F24" s="17" t="n">
        <x:v>1.46528</x:v>
      </x:c>
      <x:c r="G24" s="17" t="str">
        <x:v>Frozen HF23 reference point</x:v>
      </x:c>
      <x:c r="H24" s="17" t="str">
        <x:v>POINT_REFERENCE; ROAD_SEGMENT_OPEN</x:v>
      </x:c>
      <x:c r="I24" s="17" t="str"/>
      <x:c r="J24" s="17" t="str">
        <x:v>Event-valid road/subarea; exact flooded start/end segment not evidenced.</x:v>
      </x:c>
      <x:c r="K24" s="17" t="str">
        <x:v>Keep road segment OPEN unless start/end geometry is independently evidenced.</x:v>
      </x:c>
      <x:c r="L24" s="17" t="n">
        <x:f>COUNTIF('17_2023_Event_Master'!$E$2:$E$64,A24)</x:f>
        <x:v>1</x:v>
      </x:c>
    </x:row>
    <x:row r="25">
      <x:c r="A25" s="17" t="str">
        <x:v>S2023-024</x:v>
      </x:c>
      <x:c r="B25" s="17" t="str">
        <x:v>Jalan Dato Sulaiman</x:v>
      </x:c>
      <x:c r="C25" s="17" t="str">
        <x:v>ROAD</x:v>
      </x:c>
      <x:c r="D25" s="24" t="b">
        <x:v>1</x:v>
      </x:c>
      <x:c r="E25" s="17" t="n">
        <x:v>103.7570514</x:v>
      </x:c>
      <x:c r="F25" s="17" t="n">
        <x:v>1.4807312</x:v>
      </x:c>
      <x:c r="G25" s="17" t="str">
        <x:v>Frozen HF24/HF25 shared reference point</x:v>
      </x:c>
      <x:c r="H25" s="17" t="str">
        <x:v>POINT_REFERENCE; ROAD_SEGMENT_OPEN</x:v>
      </x:c>
      <x:c r="I25" s="17" t="str"/>
      <x:c r="J25" s="17" t="str">
        <x:v>Event-valid road/subarea; exact flooded start/end segment not evidenced.</x:v>
      </x:c>
      <x:c r="K25" s="17" t="str">
        <x:v>Keep road segment OPEN unless start/end geometry is independently evidenced.</x:v>
      </x:c>
      <x:c r="L25" s="17" t="n">
        <x:f>COUNTIF('17_2023_Event_Master'!$E$2:$E$64,A25)</x:f>
        <x:v>2</x:v>
      </x:c>
    </x:row>
    <x:row r="26">
      <x:c r="A26" s="17" t="str">
        <x:v>S2023-025</x:v>
      </x:c>
      <x:c r="B26" s="17" t="str">
        <x:v>Jalan Ibrahim Sultan</x:v>
      </x:c>
      <x:c r="C26" s="17" t="str">
        <x:v>ROAD</x:v>
      </x:c>
      <x:c r="D26" s="24" t="b">
        <x:v>1</x:v>
      </x:c>
      <x:c r="E26" s="17" t="n">
        <x:v>103.7755173</x:v>
      </x:c>
      <x:c r="F26" s="17" t="n">
        <x:v>1.4644141</x:v>
      </x:c>
      <x:c r="G26" s="17" t="str">
        <x:v>Frozen HF26 reference point</x:v>
      </x:c>
      <x:c r="H26" s="17" t="str">
        <x:v>POINT_REFERENCE; ROAD_SEGMENT_OPEN</x:v>
      </x:c>
      <x:c r="I26" s="17" t="str"/>
      <x:c r="J26" s="17" t="str">
        <x:v>Event-valid road/subarea; exact flooded start/end segment not evidenced.</x:v>
      </x:c>
      <x:c r="K26" s="17" t="str">
        <x:v>Keep road segment OPEN unless start/end geometry is independently evidenced.</x:v>
      </x:c>
      <x:c r="L26" s="17" t="n">
        <x:f>COUNTIF('17_2023_Event_Master'!$E$2:$E$64,A26)</x:f>
        <x:v>1</x:v>
      </x:c>
    </x:row>
    <x:row r="27">
      <x:c r="A27" s="17" t="str">
        <x:v>S2023-026</x:v>
      </x:c>
      <x:c r="B27" s="17" t="str">
        <x:v>Jalan Ismail Sultan</x:v>
      </x:c>
      <x:c r="C27" s="17" t="str">
        <x:v>ROAD</x:v>
      </x:c>
      <x:c r="D27" s="24" t="b">
        <x:v>1</x:v>
      </x:c>
      <x:c r="E27" s="17" t="n">
        <x:v>103.6763692</x:v>
      </x:c>
      <x:c r="F27" s="17" t="n">
        <x:v>1.4725852</x:v>
      </x:c>
      <x:c r="G27" s="17" t="str">
        <x:v>Frozen HF38 reference point</x:v>
      </x:c>
      <x:c r="H27" s="17" t="str">
        <x:v>POINT_REFERENCE; ROAD_SEGMENT_OPEN</x:v>
      </x:c>
      <x:c r="I27" s="17" t="str"/>
      <x:c r="J27" s="17" t="str">
        <x:v>Event-valid road/subarea; exact flooded start/end segment not evidenced.</x:v>
      </x:c>
      <x:c r="K27" s="17" t="str">
        <x:v>Keep road segment OPEN unless start/end geometry is independently evidenced.</x:v>
      </x:c>
      <x:c r="L27" s="17" t="n">
        <x:f>COUNTIF('17_2023_Event_Master'!$E$2:$E$64,A27)</x:f>
        <x:v>1</x:v>
      </x:c>
    </x:row>
    <x:row r="28">
      <x:c r="A28" s="17" t="str">
        <x:v>S2023-027</x:v>
      </x:c>
      <x:c r="B28" s="17" t="str">
        <x:v>Jalan Lurah 3</x:v>
      </x:c>
      <x:c r="C28" s="17" t="str">
        <x:v>ROAD</x:v>
      </x:c>
      <x:c r="D28" s="24" t="b">
        <x:v>1</x:v>
      </x:c>
      <x:c r="E28" s="17" t="n">
        <x:v>103.7155955</x:v>
      </x:c>
      <x:c r="F28" s="17" t="n">
        <x:v>1.5302594</x:v>
      </x:c>
      <x:c r="G28" s="17" t="str">
        <x:v>Frozen HF41 reference point</x:v>
      </x:c>
      <x:c r="H28" s="17" t="str">
        <x:v>POINT_REFERENCE; ROAD_SEGMENT_OPEN</x:v>
      </x:c>
      <x:c r="I28" s="17" t="str"/>
      <x:c r="J28" s="17" t="str">
        <x:v>Event-valid road/subarea; exact flooded start/end segment not evidenced.</x:v>
      </x:c>
      <x:c r="K28" s="17" t="str">
        <x:v>Keep road segment OPEN unless start/end geometry is independently evidenced.</x:v>
      </x:c>
      <x:c r="L28" s="17" t="n">
        <x:f>COUNTIF('17_2023_Event_Master'!$E$2:$E$64,A28)</x:f>
        <x:v>1</x:v>
      </x:c>
    </x:row>
    <x:row r="29">
      <x:c r="A29" s="17" t="str">
        <x:v>S2023-028</x:v>
      </x:c>
      <x:c r="B29" s="17" t="str">
        <x:v>Jalan Mahmoodiah</x:v>
      </x:c>
      <x:c r="C29" s="17" t="str">
        <x:v>ROAD</x:v>
      </x:c>
      <x:c r="D29" s="24" t="b">
        <x:v>1</x:v>
      </x:c>
      <x:c r="E29" s="17" t="n">
        <x:v>103.7482815</x:v>
      </x:c>
      <x:c r="F29" s="17" t="n">
        <x:v>1.4629658</x:v>
      </x:c>
      <x:c r="G29" s="17" t="str">
        <x:v>Frozen HF03 reference point</x:v>
      </x:c>
      <x:c r="H29" s="17" t="str">
        <x:v>POINT_REFERENCE; ROAD_SEGMENT_OPEN</x:v>
      </x:c>
      <x:c r="I29" s="17" t="str"/>
      <x:c r="J29" s="17" t="str">
        <x:v>Event-valid road/subarea; exact flooded start/end segment not evidenced.</x:v>
      </x:c>
      <x:c r="K29" s="17" t="str">
        <x:v>Keep road segment OPEN unless start/end geometry is independently evidenced.</x:v>
      </x:c>
      <x:c r="L29" s="17" t="n">
        <x:f>COUNTIF('17_2023_Event_Master'!$E$2:$E$64,A29)</x:f>
        <x:v>1</x:v>
      </x:c>
    </x:row>
    <x:row r="30">
      <x:c r="A30" s="17" t="str">
        <x:v>S2023-029</x:v>
      </x:c>
      <x:c r="B30" s="17" t="str">
        <x:v>Kampung Mohd Amin / Jalan Mohd Amin context</x:v>
      </x:c>
      <x:c r="C30" s="17" t="str">
        <x:v>AREA</x:v>
      </x:c>
      <x:c r="D30" s="24" t="b">
        <x:v>1</x:v>
      </x:c>
      <x:c r="E30" s="17" t="n">
        <x:v>103.7354126</x:v>
      </x:c>
      <x:c r="F30" s="17" t="n">
        <x:v>1.4673637</x:v>
      </x:c>
      <x:c r="G30" s="17" t="str">
        <x:v>Frozen canonical Kampung Mohd Amin reference; road alias retained</x:v>
      </x:c>
      <x:c r="H30" s="17" t="str">
        <x:v>POINT_REFERENCE; SOURCE_LABEL_VARIANT; POLYGON_OPEN</x:v>
      </x:c>
      <x:c r="I30" s="17" t="str"/>
      <x:c r="J30" s="17" t="str">
        <x:v>Sources use both road and community labels around Mohd Amin; one canonical physical context prevents double counting.</x:v>
      </x:c>
      <x:c r="K30" s="17" t="str">
        <x:v>Retain source labels; resolve event-specific road segment separately.</x:v>
      </x:c>
      <x:c r="L30" s="17" t="n">
        <x:f>COUNTIF('17_2023_Event_Master'!$E$2:$E$64,A30)</x:f>
        <x:v>1</x:v>
      </x:c>
    </x:row>
    <x:row r="31">
      <x:c r="A31" s="17" t="str">
        <x:v>S2023-030</x:v>
      </x:c>
      <x:c r="B31" s="17" t="str">
        <x:v>Jalan Padi Makmur</x:v>
      </x:c>
      <x:c r="C31" s="17" t="str">
        <x:v>ROAD</x:v>
      </x:c>
      <x:c r="D31" s="24" t="b">
        <x:v>1</x:v>
      </x:c>
      <x:c r="E31" s="17" t="n">
        <x:v>103.7208677</x:v>
      </x:c>
      <x:c r="F31" s="17" t="n">
        <x:v>1.4866099</x:v>
      </x:c>
      <x:c r="G31" s="17" t="str">
        <x:v>Frozen HF30 reference point</x:v>
      </x:c>
      <x:c r="H31" s="17" t="str">
        <x:v>POINT_REFERENCE; ROAD_SEGMENT_OPEN</x:v>
      </x:c>
      <x:c r="I31" s="17" t="str"/>
      <x:c r="J31" s="17" t="str">
        <x:v>Event-valid road/subarea; exact flooded start/end segment not evidenced.</x:v>
      </x:c>
      <x:c r="K31" s="17" t="str">
        <x:v>Keep road segment OPEN unless start/end geometry is independently evidenced.</x:v>
      </x:c>
      <x:c r="L31" s="17" t="n">
        <x:f>COUNTIF('17_2023_Event_Master'!$E$2:$E$64,A31)</x:f>
        <x:v>1</x:v>
      </x:c>
    </x:row>
    <x:row r="32">
      <x:c r="A32" s="17" t="str">
        <x:v>S2023-031</x:v>
      </x:c>
      <x:c r="B32" s="17" t="str">
        <x:v>Jalan Serigala</x:v>
      </x:c>
      <x:c r="C32" s="17" t="str">
        <x:v>ROAD</x:v>
      </x:c>
      <x:c r="D32" s="24" t="b">
        <x:v>1</x:v>
      </x:c>
      <x:c r="E32" s="17" t="n">
        <x:v>103.760885</x:v>
      </x:c>
      <x:c r="F32" s="17" t="n">
        <x:v>1.4853831</x:v>
      </x:c>
      <x:c r="G32" s="17" t="str">
        <x:v>Frozen HF31 reference point</x:v>
      </x:c>
      <x:c r="H32" s="17" t="str">
        <x:v>POINT_REFERENCE; ROAD_SEGMENT_OPEN</x:v>
      </x:c>
      <x:c r="I32" s="17" t="str"/>
      <x:c r="J32" s="17" t="str">
        <x:v>Event-valid road/subarea; exact flooded start/end segment not evidenced.</x:v>
      </x:c>
      <x:c r="K32" s="17" t="str">
        <x:v>Keep road segment OPEN unless start/end geometry is independently evidenced.</x:v>
      </x:c>
      <x:c r="L32" s="17" t="n">
        <x:f>COUNTIF('17_2023_Event_Master'!$E$2:$E$64,A32)</x:f>
        <x:v>1</x:v>
      </x:c>
    </x:row>
    <x:row r="33">
      <x:c r="A33" s="17" t="str">
        <x:v>S2023-032</x:v>
      </x:c>
      <x:c r="B33" s="17" t="str">
        <x:v>Jalan Stulang Darat</x:v>
      </x:c>
      <x:c r="C33" s="17" t="str">
        <x:v>ROAD</x:v>
      </x:c>
      <x:c r="D33" s="24" t="b">
        <x:v>1</x:v>
      </x:c>
      <x:c r="E33" s="17" t="n">
        <x:v>103.7773894</x:v>
      </x:c>
      <x:c r="F33" s="17" t="n">
        <x:v>1.4724632</x:v>
      </x:c>
      <x:c r="G33" s="17" t="str">
        <x:v>Frozen HF10 reference point</x:v>
      </x:c>
      <x:c r="H33" s="17" t="str">
        <x:v>POINT_REFERENCE; ROAD_SEGMENT_OPEN</x:v>
      </x:c>
      <x:c r="I33" s="17" t="str"/>
      <x:c r="J33" s="17" t="str">
        <x:v>Event-valid road/subarea; exact flooded start/end segment not evidenced.</x:v>
      </x:c>
      <x:c r="K33" s="17" t="str">
        <x:v>Keep road segment OPEN unless start/end geometry is independently evidenced.</x:v>
      </x:c>
      <x:c r="L33" s="17" t="n">
        <x:f>COUNTIF('17_2023_Event_Master'!$E$2:$E$64,A33)</x:f>
        <x:v>1</x:v>
      </x:c>
    </x:row>
    <x:row r="34">
      <x:c r="A34" s="17" t="str">
        <x:v>S2023-033</x:v>
      </x:c>
      <x:c r="B34" s="17" t="str">
        <x:v>Jalan Tebrau</x:v>
      </x:c>
      <x:c r="C34" s="17" t="str">
        <x:v>ROAD</x:v>
      </x:c>
      <x:c r="D34" s="24" t="b">
        <x:v>1</x:v>
      </x:c>
      <x:c r="E34" s="17" t="n">
        <x:v>103.762918</x:v>
      </x:c>
      <x:c r="F34" s="17" t="n">
        <x:v>1.4748694</x:v>
      </x:c>
      <x:c r="G34" s="17" t="str">
        <x:v>Frozen HF05 road reference point</x:v>
      </x:c>
      <x:c r="H34" s="17" t="str">
        <x:v>POINT_REFERENCE; ROAD_SEGMENT_OPEN</x:v>
      </x:c>
      <x:c r="I34" s="17" t="str"/>
      <x:c r="J34" s="17" t="str">
        <x:v>Event-valid road/subarea; exact flooded start/end segment not evidenced.</x:v>
      </x:c>
      <x:c r="K34" s="17" t="str">
        <x:v>Keep road segment OPEN unless start/end geometry is independently evidenced.</x:v>
      </x:c>
      <x:c r="L34" s="17" t="n">
        <x:f>COUNTIF('17_2023_Event_Master'!$E$2:$E$64,A34)</x:f>
        <x:v>1</x:v>
      </x:c>
    </x:row>
    <x:row r="35">
      <x:c r="A35" s="17" t="str">
        <x:v>S2023-034</x:v>
      </x:c>
      <x:c r="B35" s="17" t="str">
        <x:v>Jalan Tun Abdul Razak</x:v>
      </x:c>
      <x:c r="C35" s="17" t="str">
        <x:v>ROAD</x:v>
      </x:c>
      <x:c r="D35" s="24" t="b">
        <x:v>1</x:v>
      </x:c>
      <x:c r="E35" s="17" t="n">
        <x:v>103.7527329</x:v>
      </x:c>
      <x:c r="F35" s="17" t="n">
        <x:v>1.4803791</x:v>
      </x:c>
      <x:c r="G35" s="17" t="str">
        <x:v>Frozen HF06 reference point</x:v>
      </x:c>
      <x:c r="H35" s="17" t="str">
        <x:v>POINT_REFERENCE; ROAD_SEGMENT_OPEN</x:v>
      </x:c>
      <x:c r="I35" s="17" t="str"/>
      <x:c r="J35" s="17" t="str">
        <x:v>Event-valid road/subarea; exact flooded start/end segment not evidenced.</x:v>
      </x:c>
      <x:c r="K35" s="17" t="str">
        <x:v>Keep road segment OPEN unless start/end geometry is independently evidenced.</x:v>
      </x:c>
      <x:c r="L35" s="17" t="n">
        <x:f>COUNTIF('17_2023_Event_Master'!$E$2:$E$64,A35)</x:f>
        <x:v>1</x:v>
      </x:c>
    </x:row>
    <x:row r="36">
      <x:c r="A36" s="17" t="str">
        <x:v>S2023-035</x:v>
      </x:c>
      <x:c r="B36" s="17" t="str">
        <x:v>Jalan Tun Abdul Razak (Susur 2)</x:v>
      </x:c>
      <x:c r="C36" s="17" t="str">
        <x:v>ROAD</x:v>
      </x:c>
      <x:c r="D36" s="24" t="b">
        <x:v>0</x:v>
      </x:c>
      <x:c r="E36" s="17"/>
      <x:c r="F36" s="17"/>
      <x:c r="G36" s="17" t="str"/>
      <x:c r="H36" s="17" t="str">
        <x:v>ROAD_SEGMENT_OPEN</x:v>
      </x:c>
      <x:c r="I36" s="17" t="str"/>
      <x:c r="J36" s="17" t="str">
        <x:v>Event-valid road/subarea; exact flooded start/end segment not evidenced.</x:v>
      </x:c>
      <x:c r="K36" s="17" t="str">
        <x:v>Keep road segment OPEN unless start/end geometry is independently evidenced.</x:v>
      </x:c>
      <x:c r="L36" s="17" t="n">
        <x:f>COUNTIF('17_2023_Event_Master'!$E$2:$E$64,A36)</x:f>
        <x:v>1</x:v>
      </x:c>
    </x:row>
    <x:row r="37">
      <x:c r="A37" s="17" t="str">
        <x:v>S2023-036</x:v>
      </x:c>
      <x:c r="B37" s="17" t="str">
        <x:v>Jalan Tun Abdul Razak (Susur 3)</x:v>
      </x:c>
      <x:c r="C37" s="17" t="str">
        <x:v>ROAD</x:v>
      </x:c>
      <x:c r="D37" s="24" t="b">
        <x:v>0</x:v>
      </x:c>
      <x:c r="E37" s="17"/>
      <x:c r="F37" s="17"/>
      <x:c r="G37" s="17" t="str"/>
      <x:c r="H37" s="17" t="str">
        <x:v>ROAD_SEGMENT_OPEN</x:v>
      </x:c>
      <x:c r="I37" s="17" t="str"/>
      <x:c r="J37" s="17" t="str">
        <x:v>Event-valid road/subarea; exact flooded start/end segment not evidenced.</x:v>
      </x:c>
      <x:c r="K37" s="17" t="str">
        <x:v>Keep road segment OPEN unless start/end geometry is independently evidenced.</x:v>
      </x:c>
      <x:c r="L37" s="17" t="n">
        <x:f>COUNTIF('17_2023_Event_Master'!$E$2:$E$64,A37)</x:f>
        <x:v>1</x:v>
      </x:c>
    </x:row>
    <x:row r="38">
      <x:c r="A38" s="17" t="str">
        <x:v>S2023-037</x:v>
      </x:c>
      <x:c r="B38" s="17" t="str">
        <x:v>Jalan Yahya Awal</x:v>
      </x:c>
      <x:c r="C38" s="17" t="str">
        <x:v>ROAD</x:v>
      </x:c>
      <x:c r="D38" s="24" t="b">
        <x:v>1</x:v>
      </x:c>
      <x:c r="E38" s="17" t="n">
        <x:v>103.7553464</x:v>
      </x:c>
      <x:c r="F38" s="17" t="n">
        <x:v>1.4633725</x:v>
      </x:c>
      <x:c r="G38" s="17" t="str">
        <x:v>Frozen HF07 reference point</x:v>
      </x:c>
      <x:c r="H38" s="17" t="str">
        <x:v>POINT_REFERENCE; ROAD_SEGMENT_OPEN</x:v>
      </x:c>
      <x:c r="I38" s="17" t="str"/>
      <x:c r="J38" s="17" t="str">
        <x:v>Event-valid road/subarea; exact flooded start/end segment not evidenced.</x:v>
      </x:c>
      <x:c r="K38" s="17" t="str">
        <x:v>Keep road segment OPEN unless start/end geometry is independently evidenced.</x:v>
      </x:c>
      <x:c r="L38" s="17" t="n">
        <x:f>COUNTIF('17_2023_Event_Master'!$E$2:$E$64,A38)</x:f>
        <x:v>1</x:v>
      </x:c>
    </x:row>
    <x:row r="39">
      <x:c r="A39" s="17" t="str">
        <x:v>S2023-038</x:v>
      </x:c>
      <x:c r="B39" s="17" t="str">
        <x:v>Hutan Bandar Johor Bahru</x:v>
      </x:c>
      <x:c r="C39" s="17" t="str">
        <x:v>URBAN PARK/AREA</x:v>
      </x:c>
      <x:c r="D39" s="24" t="b">
        <x:v>0</x:v>
      </x:c>
      <x:c r="E39" s="17"/>
      <x:c r="F39" s="17"/>
      <x:c r="G39" s="17" t="str"/>
      <x:c r="H39" s="17" t="str">
        <x:v>POINT_OPEN; POLYGON_OPEN</x:v>
      </x:c>
      <x:c r="I39" s="17" t="str"/>
      <x:c r="J39" s="17" t="str">
        <x:v>Event identity is valid but no strict traceable point/boundary is frozen.</x:v>
      </x:c>
      <x:c r="K39" s="17" t="str">
        <x:v>Seek official gazetteer/planning/OSM named boundary; do not fabricate polygon.</x:v>
      </x:c>
      <x:c r="L39" s="17" t="n">
        <x:f>COUNTIF('17_2023_Event_Master'!$E$2:$E$64,A39)</x:f>
        <x:v>1</x:v>
      </x:c>
    </x:row>
    <x:row r="40">
      <x:c r="A40" s="17" t="str">
        <x:v>S2023-039</x:v>
      </x:c>
      <x:c r="B40" s="17" t="str">
        <x:v>Jalan Padi Huma 9</x:v>
      </x:c>
      <x:c r="C40" s="17" t="str">
        <x:v>ROAD</x:v>
      </x:c>
      <x:c r="D40" s="24" t="b">
        <x:v>1</x:v>
      </x:c>
      <x:c r="E40" s="17" t="n">
        <x:v>103.7237744</x:v>
      </x:c>
      <x:c r="F40" s="17" t="n">
        <x:v>1.4983831</x:v>
      </x:c>
      <x:c r="G40" s="17" t="str">
        <x:v>Frozen HF29 reference point</x:v>
      </x:c>
      <x:c r="H40" s="17" t="str">
        <x:v>POINT_REFERENCE; ROAD_SEGMENT_OPEN</x:v>
      </x:c>
      <x:c r="I40" s="17" t="str"/>
      <x:c r="J40" s="17" t="str">
        <x:v>Event-valid road/subarea; exact flooded start/end segment not evidenced.</x:v>
      </x:c>
      <x:c r="K40" s="17" t="str">
        <x:v>Keep road segment OPEN unless start/end geometry is independently evidenced.</x:v>
      </x:c>
      <x:c r="L40" s="17" t="n">
        <x:f>COUNTIF('17_2023_Event_Master'!$E$2:$E$64,A40)</x:f>
        <x:v>1</x:v>
      </x:c>
    </x:row>
    <x:row r="41">
      <x:c r="A41" s="17" t="str">
        <x:v>S2023-040</x:v>
      </x:c>
      <x:c r="B41" s="17" t="str">
        <x:v>Jalan Padi Huma 10</x:v>
      </x:c>
      <x:c r="C41" s="17" t="str">
        <x:v>ROAD</x:v>
      </x:c>
      <x:c r="D41" s="24" t="b">
        <x:v>1</x:v>
      </x:c>
      <x:c r="E41" s="17" t="n">
        <x:v>103.7234744</x:v>
      </x:c>
      <x:c r="F41" s="17" t="n">
        <x:v>1.4989124</x:v>
      </x:c>
      <x:c r="G41" s="17" t="str">
        <x:v>Frozen HF28 reference point</x:v>
      </x:c>
      <x:c r="H41" s="17" t="str">
        <x:v>POINT_REFERENCE; ROAD_SEGMENT_OPEN</x:v>
      </x:c>
      <x:c r="I41" s="17" t="str"/>
      <x:c r="J41" s="17" t="str">
        <x:v>Event-valid road/subarea; exact flooded start/end segment not evidenced.</x:v>
      </x:c>
      <x:c r="K41" s="17" t="str">
        <x:v>Keep road segment OPEN unless start/end geometry is independently evidenced.</x:v>
      </x:c>
      <x:c r="L41" s="17" t="n">
        <x:f>COUNTIF('17_2023_Event_Master'!$E$2:$E$64,A41)</x:f>
        <x:v>1</x:v>
      </x:c>
    </x:row>
    <x:row r="42">
      <x:c r="A42" s="17" t="str">
        <x:v>S2023-041</x:v>
      </x:c>
      <x:c r="B42" s="17" t="str">
        <x:v>Taman Nong Chik</x:v>
      </x:c>
      <x:c r="C42" s="17" t="str">
        <x:v>COMMUNITY/AREA</x:v>
      </x:c>
      <x:c r="D42" s="24" t="b">
        <x:v>1</x:v>
      </x:c>
      <x:c r="E42" s="17" t="n">
        <x:v>103.7395647</x:v>
      </x:c>
      <x:c r="F42" s="17" t="n">
        <x:v>1.4765564</x:v>
      </x:c>
      <x:c r="G42" s="17" t="str">
        <x:v>Frozen HF35 reference point</x:v>
      </x:c>
      <x:c r="H42" s="17" t="str">
        <x:v>POINT_READY; POLYGON_OPEN</x:v>
      </x:c>
      <x:c r="I42" s="17" t="str"/>
      <x:c r="J42" s="17" t="str">
        <x:v>Exact closed event/community analysis geometry not frozen.</x:v>
      </x:c>
      <x:c r="K42" s="17" t="str">
        <x:v>Seek official gazetteer/planning/OSM named boundary; do not fabricate polygon.</x:v>
      </x:c>
      <x:c r="L42" s="17" t="n">
        <x:f>COUNTIF('17_2023_Event_Master'!$E$2:$E$64,A42)</x:f>
        <x:v>1</x:v>
      </x:c>
    </x:row>
    <x:row r="43">
      <x:c r="A43" s="17" t="str">
        <x:v>S2023-042</x:v>
      </x:c>
      <x:c r="B43" s="17" t="str">
        <x:v>Majidee</x:v>
      </x:c>
      <x:c r="C43" s="17" t="str">
        <x:v>COMMUNITY/AREA</x:v>
      </x:c>
      <x:c r="D43" s="24" t="b">
        <x:v>1</x:v>
      </x:c>
      <x:c r="E43" s="17" t="n">
        <x:v>103.7579076</x:v>
      </x:c>
      <x:c r="F43" s="17" t="n">
        <x:v>1.5145389</x:v>
      </x:c>
      <x:c r="G43" s="17" t="str">
        <x:v>Frozen HF36 reference point</x:v>
      </x:c>
      <x:c r="H43" s="17" t="str">
        <x:v>POINT_READY; POLYGON_OPEN</x:v>
      </x:c>
      <x:c r="I43" s="17" t="str"/>
      <x:c r="J43" s="17" t="str">
        <x:v>Exact closed event/community analysis geometry not frozen.</x:v>
      </x:c>
      <x:c r="K43" s="17" t="str">
        <x:v>Seek official gazetteer/planning/OSM named boundary; do not fabricate polygon.</x:v>
      </x:c>
      <x:c r="L43" s="17" t="n">
        <x:f>COUNTIF('17_2023_Event_Master'!$E$2:$E$64,A43)</x:f>
        <x:v>1</x:v>
      </x:c>
    </x:row>
    <x:row r="44">
      <x:c r="A44" s="17" t="str">
        <x:v>S2023-043</x:v>
      </x:c>
      <x:c r="B44" s="17" t="str">
        <x:v>Taman Melodies</x:v>
      </x:c>
      <x:c r="C44" s="17" t="str">
        <x:v>COMMUNITY/AREA</x:v>
      </x:c>
      <x:c r="D44" s="24" t="b">
        <x:v>1</x:v>
      </x:c>
      <x:c r="E44" s="17" t="n">
        <x:v>103.7613894</x:v>
      </x:c>
      <x:c r="F44" s="17" t="n">
        <x:v>1.4901965</x:v>
      </x:c>
      <x:c r="G44" s="17" t="str">
        <x:v>Frozen HF34 reference point</x:v>
      </x:c>
      <x:c r="H44" s="17" t="str">
        <x:v>POINT_READY; POLYGON_OPEN</x:v>
      </x:c>
      <x:c r="I44" s="17" t="str"/>
      <x:c r="J44" s="17" t="str">
        <x:v>Exact closed event/community analysis geometry not frozen.</x:v>
      </x:c>
      <x:c r="K44" s="17" t="str">
        <x:v>Seek official gazetteer/planning/OSM named boundary; do not fabricate polygon.</x:v>
      </x:c>
      <x:c r="L44" s="17" t="n">
        <x:f>COUNTIF('17_2023_Event_Master'!$E$2:$E$64,A44)</x:f>
        <x:v>1</x:v>
      </x:c>
    </x:row>
    <x:row r="45">
      <x:c r="A45" s="17" t="str">
        <x:v>S2023-044</x:v>
      </x:c>
      <x:c r="B45" s="17" t="str">
        <x:v>Jalan Sungai Chat</x:v>
      </x:c>
      <x:c r="C45" s="17" t="str">
        <x:v>ROAD</x:v>
      </x:c>
      <x:c r="D45" s="24" t="b">
        <x:v>1</x:v>
      </x:c>
      <x:c r="E45" s="17" t="n">
        <x:v>103.7385575</x:v>
      </x:c>
      <x:c r="F45" s="17" t="n">
        <x:v>1.4609922</x:v>
      </x:c>
      <x:c r="G45" s="17" t="str">
        <x:v>Frozen HF04 reference point</x:v>
      </x:c>
      <x:c r="H45" s="17" t="str">
        <x:v>POINT_REFERENCE; ROAD_SEGMENT_OPEN</x:v>
      </x:c>
      <x:c r="I45" s="17" t="str"/>
      <x:c r="J45" s="17" t="str">
        <x:v>Event-valid road/subarea; exact flooded start/end segment not evidenced.</x:v>
      </x:c>
      <x:c r="K45" s="17" t="str">
        <x:v>Keep road segment OPEN unless start/end geometry is independently evidenced.</x:v>
      </x:c>
      <x:c r="L45" s="17" t="n">
        <x:f>COUNTIF('17_2023_Event_Master'!$E$2:$E$64,A45)</x:f>
        <x:v>1</x:v>
      </x:c>
    </x:row>
    <x:row r="46">
      <x:c r="A46" s="17" t="str">
        <x:v>S2023-045</x:v>
      </x:c>
      <x:c r="B46" s="17" t="str">
        <x:v>Taman Abad</x:v>
      </x:c>
      <x:c r="C46" s="17" t="str">
        <x:v>COMMUNITY/AREA</x:v>
      </x:c>
      <x:c r="D46" s="24" t="b">
        <x:v>0</x:v>
      </x:c>
      <x:c r="E46" s="17"/>
      <x:c r="F46" s="17"/>
      <x:c r="G46" s="17" t="str"/>
      <x:c r="H46" s="17" t="str">
        <x:v>POINT_OPEN; POLYGON_OPEN</x:v>
      </x:c>
      <x:c r="I46" s="17" t="str"/>
      <x:c r="J46" s="17" t="str">
        <x:v>Event identity is valid but no strict traceable point/boundary is frozen.</x:v>
      </x:c>
      <x:c r="K46" s="17" t="str">
        <x:v>Seek official gazetteer/planning/OSM named boundary; do not fabricate polygon.</x:v>
      </x:c>
      <x:c r="L46" s="17" t="n">
        <x:f>COUNTIF('17_2023_Event_Master'!$E$2:$E$64,A46)</x:f>
        <x:v>1</x:v>
      </x:c>
    </x:row>
    <x:row r="47">
      <x:c r="A47" s="17" t="str">
        <x:v>S2023-046</x:v>
      </x:c>
      <x:c r="B47" s="17" t="str">
        <x:v>Tasek Merdeka</x:v>
      </x:c>
      <x:c r="C47" s="17" t="str">
        <x:v>COMMUNITY/AREA</x:v>
      </x:c>
      <x:c r="D47" s="24" t="b">
        <x:v>0</x:v>
      </x:c>
      <x:c r="E47" s="17"/>
      <x:c r="F47" s="17"/>
      <x:c r="G47" s="17" t="str"/>
      <x:c r="H47" s="17" t="str">
        <x:v>POINT_OPEN; POLYGON_OPEN</x:v>
      </x:c>
      <x:c r="I47" s="17" t="str"/>
      <x:c r="J47" s="17" t="str">
        <x:v>Event identity is valid but no strict traceable point/boundary is frozen.</x:v>
      </x:c>
      <x:c r="K47" s="17" t="str">
        <x:v>Seek official gazetteer/planning/OSM named boundary; do not fabricate polygon.</x:v>
      </x:c>
      <x:c r="L47" s="17" t="n">
        <x:f>COUNTIF('17_2023_Event_Master'!$E$2:$E$64,A47)</x:f>
        <x:v>1</x:v>
      </x:c>
    </x:row>
    <x:row r="48">
      <x:c r="A48" s="17" t="str">
        <x:v>S2023-047</x:v>
      </x:c>
      <x:c r="B48" s="17" t="str">
        <x:v>Jalan Rosmerah Utama</x:v>
      </x:c>
      <x:c r="C48" s="17" t="str">
        <x:v>ROAD</x:v>
      </x:c>
      <x:c r="D48" s="24" t="b">
        <x:v>0</x:v>
      </x:c>
      <x:c r="E48" s="17"/>
      <x:c r="F48" s="17"/>
      <x:c r="G48" s="17" t="str"/>
      <x:c r="H48" s="17" t="str">
        <x:v>ROAD_SEGMENT_OPEN</x:v>
      </x:c>
      <x:c r="I48" s="17" t="str"/>
      <x:c r="J48" s="17" t="str">
        <x:v>Event-valid road/subarea; exact flooded start/end segment not evidenced.</x:v>
      </x:c>
      <x:c r="K48" s="17" t="str">
        <x:v>Keep road segment OPEN unless start/end geometry is independently evidenced.</x:v>
      </x:c>
      <x:c r="L48" s="17" t="n">
        <x:f>COUNTIF('17_2023_Event_Master'!$E$2:$E$64,A48)</x:f>
        <x:v>1</x:v>
      </x:c>
    </x:row>
    <x:row r="49">
      <x:c r="A49" s="17" t="str">
        <x:v>S2023-048</x:v>
      </x:c>
      <x:c r="B49" s="17" t="str">
        <x:v>Jalan Setia 10, Setia Indah</x:v>
      </x:c>
      <x:c r="C49" s="17" t="str">
        <x:v>ROAD</x:v>
      </x:c>
      <x:c r="D49" s="24" t="b">
        <x:v>0</x:v>
      </x:c>
      <x:c r="E49" s="17"/>
      <x:c r="F49" s="17"/>
      <x:c r="G49" s="17" t="str"/>
      <x:c r="H49" s="17" t="str">
        <x:v>ROAD_SEGMENT_OPEN</x:v>
      </x:c>
      <x:c r="I49" s="17" t="str"/>
      <x:c r="J49" s="17" t="str">
        <x:v>Event-valid road/subarea; exact flooded start/end segment not evidenced.</x:v>
      </x:c>
      <x:c r="K49" s="17" t="str">
        <x:v>Keep road segment OPEN unless start/end geometry is independently evidenced.</x:v>
      </x:c>
      <x:c r="L49" s="17" t="n">
        <x:f>COUNTIF('17_2023_Event_Master'!$E$2:$E$64,A49)</x:f>
        <x:v>1</x:v>
      </x:c>
    </x:row>
    <x:row r="50">
      <x:c r="A50" s="17" t="str">
        <x:v>S2023-049</x:v>
      </x:c>
      <x:c r="B50" s="17" t="str">
        <x:v>Jalan Mutiara Emas Utama</x:v>
      </x:c>
      <x:c r="C50" s="17" t="str">
        <x:v>ROAD</x:v>
      </x:c>
      <x:c r="D50" s="24" t="b">
        <x:v>0</x:v>
      </x:c>
      <x:c r="E50" s="17"/>
      <x:c r="F50" s="17"/>
      <x:c r="G50" s="17" t="str"/>
      <x:c r="H50" s="17" t="str">
        <x:v>ROAD_SEGMENT_OPEN</x:v>
      </x:c>
      <x:c r="I50" s="17" t="str"/>
      <x:c r="J50" s="17" t="str">
        <x:v>Event-valid road/subarea; exact flooded start/end segment not evidenced.</x:v>
      </x:c>
      <x:c r="K50" s="17" t="str">
        <x:v>Keep road segment OPEN unless start/end geometry is independently evidenced.</x:v>
      </x:c>
      <x:c r="L50" s="17" t="n">
        <x:f>COUNTIF('17_2023_Event_Master'!$E$2:$E$64,A50)</x:f>
        <x:v>1</x:v>
      </x:c>
    </x:row>
    <x:row r="51">
      <x:c r="A51" s="17" t="str">
        <x:v>S2023-050</x:v>
      </x:c>
      <x:c r="B51" s="17" t="str">
        <x:v>Jalan Mohd Amin 7</x:v>
      </x:c>
      <x:c r="C51" s="17" t="str">
        <x:v>ROAD</x:v>
      </x:c>
      <x:c r="D51" s="24" t="b">
        <x:v>0</x:v>
      </x:c>
      <x:c r="E51" s="17"/>
      <x:c r="F51" s="17"/>
      <x:c r="G51" s="17" t="str"/>
      <x:c r="H51" s="17" t="str">
        <x:v>ROAD_SEGMENT_OPEN</x:v>
      </x:c>
      <x:c r="I51" s="17" t="str"/>
      <x:c r="J51" s="17" t="str">
        <x:v>Event-valid road/subarea; exact flooded start/end segment not evidenced.</x:v>
      </x:c>
      <x:c r="K51" s="17" t="str">
        <x:v>Keep road segment OPEN unless start/end geometry is independently evidenced.</x:v>
      </x:c>
      <x:c r="L51" s="17" t="n">
        <x:f>COUNTIF('17_2023_Event_Master'!$E$2:$E$64,A51)</x:f>
        <x:v>1</x:v>
      </x:c>
    </x:row>
    <x:row r="52">
      <x:c r="A52" s="17" t="str">
        <x:v>S2023-051</x:v>
      </x:c>
      <x:c r="B52" s="17" t="str">
        <x:v>Jalan Setia 11, Setia Indah</x:v>
      </x:c>
      <x:c r="C52" s="17" t="str">
        <x:v>ROAD</x:v>
      </x:c>
      <x:c r="D52" s="24" t="b">
        <x:v>0</x:v>
      </x:c>
      <x:c r="E52" s="17"/>
      <x:c r="F52" s="17"/>
      <x:c r="G52" s="17" t="str"/>
      <x:c r="H52" s="17" t="str">
        <x:v>ROAD_SEGMENT_OPEN</x:v>
      </x:c>
      <x:c r="I52" s="17" t="str"/>
      <x:c r="J52" s="17" t="str">
        <x:v>Event-valid road/subarea; exact flooded start/end segment not evidenced.</x:v>
      </x:c>
      <x:c r="K52" s="17" t="str">
        <x:v>Keep road segment OPEN unless start/end geometry is independently evidenced.</x:v>
      </x:c>
      <x:c r="L52" s="17" t="n">
        <x:f>COUNTIF('17_2023_Event_Master'!$E$2:$E$64,A52)</x:f>
        <x:v>1</x:v>
      </x:c>
    </x:row>
    <x:row r="53">
      <x:c r="A53" s="17" t="str">
        <x:v>S2023-052</x:v>
      </x:c>
      <x:c r="B53" s="17" t="str">
        <x:v>Jalan Harmonium 24</x:v>
      </x:c>
      <x:c r="C53" s="17" t="str">
        <x:v>ROAD</x:v>
      </x:c>
      <x:c r="D53" s="24" t="b">
        <x:v>0</x:v>
      </x:c>
      <x:c r="E53" s="17"/>
      <x:c r="F53" s="17"/>
      <x:c r="G53" s="17" t="str"/>
      <x:c r="H53" s="17" t="str">
        <x:v>ROAD_SEGMENT_OPEN</x:v>
      </x:c>
      <x:c r="I53" s="17" t="str"/>
      <x:c r="J53" s="17" t="str">
        <x:v>Event-valid road/subarea; exact flooded start/end segment not evidenced.</x:v>
      </x:c>
      <x:c r="K53" s="17" t="str">
        <x:v>Keep road segment OPEN unless start/end geometry is independently evidenced.</x:v>
      </x:c>
      <x:c r="L53" s="17" t="n">
        <x:f>COUNTIF('17_2023_Event_Master'!$E$2:$E$64,A53)</x:f>
        <x:v>1</x:v>
      </x:c>
    </x:row>
    <x:row r="54">
      <x:c r="A54" s="17" t="str">
        <x:v>S2023-053</x:v>
      </x:c>
      <x:c r="B54" s="17" t="str">
        <x:v>Jalan Datin Halimah near Taman Merdeka</x:v>
      </x:c>
      <x:c r="C54" s="17" t="str">
        <x:v>ROAD</x:v>
      </x:c>
      <x:c r="D54" s="24" t="b">
        <x:v>0</x:v>
      </x:c>
      <x:c r="E54" s="17"/>
      <x:c r="F54" s="17"/>
      <x:c r="G54" s="17" t="str"/>
      <x:c r="H54" s="17" t="str">
        <x:v>ROAD_SEGMENT_OPEN</x:v>
      </x:c>
      <x:c r="I54" s="17" t="str"/>
      <x:c r="J54" s="17" t="str">
        <x:v>Event-valid road/subarea; exact flooded start/end segment not evidenced.</x:v>
      </x:c>
      <x:c r="K54" s="17" t="str">
        <x:v>Keep road segment OPEN unless start/end geometry is independently evidenced.</x:v>
      </x:c>
      <x:c r="L54" s="17" t="n">
        <x:f>COUNTIF('17_2023_Event_Master'!$E$2:$E$64,A54)</x:f>
        <x:v>1</x:v>
      </x:c>
    </x:row>
    <x:row r="55">
      <x:c r="A55" s="17" t="str">
        <x:v>S2023-054</x:v>
      </x:c>
      <x:c r="B55" s="17" t="str">
        <x:v>Jalan Skudai</x:v>
      </x:c>
      <x:c r="C55" s="17" t="str">
        <x:v>ROAD</x:v>
      </x:c>
      <x:c r="D55" s="24" t="b">
        <x:v>0</x:v>
      </x:c>
      <x:c r="E55" s="17"/>
      <x:c r="F55" s="17"/>
      <x:c r="G55" s="17" t="str"/>
      <x:c r="H55" s="17" t="str">
        <x:v>ROAD_SEGMENT_OPEN</x:v>
      </x:c>
      <x:c r="I55" s="17" t="str"/>
      <x:c r="J55" s="17" t="str">
        <x:v>Event-valid road/subarea; exact flooded start/end segment not evidenced.</x:v>
      </x:c>
      <x:c r="K55" s="17" t="str">
        <x:v>Keep road segment OPEN unless start/end geometry is independently evidenced.</x:v>
      </x:c>
      <x:c r="L55" s="17" t="n">
        <x:f>COUNTIF('17_2023_Event_Master'!$E$2:$E$64,A55)</x:f>
        <x:v>1</x:v>
      </x:c>
    </x:row>
    <x:row r="56">
      <x:c r="A56" s="17" t="str">
        <x:v>S2023-055</x:v>
      </x:c>
      <x:c r="B56" s="17" t="str">
        <x:v>Jalan Tampoi</x:v>
      </x:c>
      <x:c r="C56" s="17" t="str">
        <x:v>ROAD</x:v>
      </x:c>
      <x:c r="D56" s="24" t="b">
        <x:v>0</x:v>
      </x:c>
      <x:c r="E56" s="17"/>
      <x:c r="F56" s="17"/>
      <x:c r="G56" s="17" t="str"/>
      <x:c r="H56" s="17" t="str">
        <x:v>ROAD_SEGMENT_OPEN</x:v>
      </x:c>
      <x:c r="I56" s="17" t="str"/>
      <x:c r="J56" s="17" t="str">
        <x:v>Event-valid road/subarea; exact flooded start/end segment not evidenced.</x:v>
      </x:c>
      <x:c r="K56" s="17" t="str">
        <x:v>Keep road segment OPEN unless start/end geometry is independently evidenced.</x:v>
      </x:c>
      <x:c r="L56" s="17" t="n">
        <x:f>COUNTIF('17_2023_Event_Master'!$E$2:$E$64,A56)</x:f>
        <x:v>1</x:v>
      </x:c>
    </x:row>
    <x:row r="57">
      <x:c r="A57" s="17" t="str">
        <x:v>S2023-056</x:v>
      </x:c>
      <x:c r="B57" s="17" t="str">
        <x:v>Kampung Ubi Baru</x:v>
      </x:c>
      <x:c r="C57" s="17" t="str">
        <x:v>COMMUNITY/AREA</x:v>
      </x:c>
      <x:c r="D57" s="24" t="b">
        <x:v>1</x:v>
      </x:c>
      <x:c r="E57" s="17" t="n">
        <x:v>103.75707329</x:v>
      </x:c>
      <x:c r="F57" s="17" t="n">
        <x:v>1.5191611</x:v>
      </x:c>
      <x:c r="G57" s="17" t="str">
        <x:v>R016 / official MyGeoName Johor point</x:v>
      </x:c>
      <x:c r="H57" s="17" t="str">
        <x:v>POINT_READY; POLYGON_OPEN</x:v>
      </x:c>
      <x:c r="I57" s="17" t="str"/>
      <x:c r="J57" s="17" t="str">
        <x:v>Exact closed event/community analysis geometry not frozen.</x:v>
      </x:c>
      <x:c r="K57" s="17" t="str">
        <x:v>Seek official gazetteer/planning/OSM named boundary; do not fabricate polygon.</x:v>
      </x:c>
      <x:c r="L57" s="17" t="n">
        <x:f>COUNTIF('17_2023_Event_Master'!$E$2:$E$64,A57)</x:f>
        <x:v>1</x:v>
      </x:c>
    </x:row>
    <x:row r="58">
      <x:c r="A58" s="17" t="str">
        <x:v>S2023-057</x:v>
      </x:c>
      <x:c r="B58" s="17" t="str">
        <x:v>Jalan Persiaran Molek Utama, Taman Molek</x:v>
      </x:c>
      <x:c r="C58" s="17" t="str">
        <x:v>ROAD</x:v>
      </x:c>
      <x:c r="D58" s="24" t="b">
        <x:v>0</x:v>
      </x:c>
      <x:c r="E58" s="17"/>
      <x:c r="F58" s="17"/>
      <x:c r="G58" s="17" t="str"/>
      <x:c r="H58" s="17" t="str">
        <x:v>ROAD_SEGMENT_OPEN</x:v>
      </x:c>
      <x:c r="I58" s="17" t="str"/>
      <x:c r="J58" s="17" t="str">
        <x:v>Event-valid road/subarea; exact flooded start/end segment not evidenced.</x:v>
      </x:c>
      <x:c r="K58" s="17" t="str">
        <x:v>Keep road segment OPEN unless start/end geometry is independently evidenced.</x:v>
      </x:c>
      <x:c r="L58" s="17" t="n">
        <x:f>COUNTIF('17_2023_Event_Master'!$E$2:$E$64,A58)</x:f>
        <x:v>1</x:v>
      </x:c>
    </x:row>
  </x:sheetData>
  <x:pageMargins left="0.7" right="0.7" top="0.75" bottom="0.75" header="0.3" footer="0.3"/>
</x:worksheet>
</file>

<file path=xl/worksheets/sheet22.xml><?xml version="1.0" encoding="utf-8"?>
<x:worksheet xmlns:x="http://schemas.openxmlformats.org/spreadsheetml/2006/main">
  <x:sheetFormatPr defaultRowHeight="15"/>
  <x:cols>
    <x:col min="1" max="1" width="35" hidden="0" customWidth="1"/>
    <x:col min="2" max="2" width="27" hidden="0" customWidth="1"/>
    <x:col min="3" max="3" width="40" hidden="0" customWidth="1"/>
    <x:col min="4" max="4" width="39" hidden="0" customWidth="1"/>
    <x:col min="5" max="5" width="31" hidden="0" customWidth="1"/>
    <x:col min="6" max="6" width="75" hidden="0" customWidth="1"/>
  </x:cols>
  <x:sheetData>
    <x:row r="1">
      <x:c r="A1" s="40" t="str">
        <x:v>Candidate_ID</x:v>
      </x:c>
      <x:c r="B1" s="40" t="str">
        <x:v>Evidence_Time_Type</x:v>
      </x:c>
      <x:c r="C1" s="40" t="str">
        <x:v>Location_Label</x:v>
      </x:c>
      <x:c r="D1" s="40" t="str">
        <x:v>Resolution_Status</x:v>
      </x:c>
      <x:c r="E1" s="40" t="str">
        <x:v>Primary_Source_ID</x:v>
      </x:c>
      <x:c r="F1" s="40" t="str">
        <x:v>Decision_Note</x:v>
      </x:c>
    </x:row>
    <x:row r="2">
      <x:c r="A2" s="17" t="str">
        <x:v>CAND-2023-PARL-PAYA-KENANGAN</x:v>
      </x:c>
      <x:c r="B2" s="17" t="str">
        <x:v>Period-level recent-flood list</x:v>
      </x:c>
      <x:c r="C2" s="17" t="str">
        <x:v>Kampung Paya Kenangan</x:v>
      </x:c>
      <x:c r="D2" s="17" t="str">
        <x:v>MATCHED_TO_EXACT_01MAR</x:v>
      </x:c>
      <x:c r="E2" s="17" t="str">
        <x:v>SRC_R2023_PARL_20230316</x:v>
      </x:c>
      <x:c r="F2" s="17" t="str">
        <x:v>Already represented by exact 1 Mar evidence; no extra count.</x:v>
      </x:c>
    </x:row>
    <x:row r="3">
      <x:c r="A3" s="17" t="str">
        <x:v>CAND-2023-PARL-PASIR-TEBRAU</x:v>
      </x:c>
      <x:c r="B3" s="17" t="str">
        <x:v>Period-level recent-flood list</x:v>
      </x:c>
      <x:c r="C3" s="17" t="str">
        <x:v>Kampung Pasir Tebrau</x:v>
      </x:c>
      <x:c r="D3" s="17" t="str">
        <x:v>MATCHED_TO_EXACT_01MAR</x:v>
      </x:c>
      <x:c r="E3" s="17" t="str">
        <x:v>SRC_R2023_PARL_20230316</x:v>
      </x:c>
      <x:c r="F3" s="17" t="str">
        <x:v>Already represented by exact 1 Mar evidence; no extra count.</x:v>
      </x:c>
    </x:row>
    <x:row r="4">
      <x:c r="A4" s="17" t="str">
        <x:v>CAND-2023-PARL-SG-TIRAM</x:v>
      </x:c>
      <x:c r="B4" s="17" t="str">
        <x:v>Period-level recent-flood list</x:v>
      </x:c>
      <x:c r="C4" s="17" t="str">
        <x:v>Kampung Sungai Tiram</x:v>
      </x:c>
      <x:c r="D4" s="17" t="str">
        <x:v>MATCHED_TO_EXACT_01MAR</x:v>
      </x:c>
      <x:c r="E4" s="17" t="str">
        <x:v>SRC_R2023_PARL_20230316</x:v>
      </x:c>
      <x:c r="F4" s="17" t="str">
        <x:v>Already represented by exact 1 Mar evidence; no extra count.</x:v>
      </x:c>
    </x:row>
    <x:row r="5">
      <x:c r="A5" s="17" t="str">
        <x:v>CAND-2023-PARL-CAHAYA-BARU</x:v>
      </x:c>
      <x:c r="B5" s="17" t="str">
        <x:v>Period-level recent-flood list</x:v>
      </x:c>
      <x:c r="C5" s="17" t="str">
        <x:v>Kampung Cahaya Baru</x:v>
      </x:c>
      <x:c r="D5" s="17" t="str">
        <x:v>MATCHED_TO_EXACT_01MAR</x:v>
      </x:c>
      <x:c r="E5" s="17" t="str">
        <x:v>SRC_R2023_PARL_20230316</x:v>
      </x:c>
      <x:c r="F5" s="17" t="str">
        <x:v>Already represented by exact 1 Mar evidence; no extra count.</x:v>
      </x:c>
    </x:row>
    <x:row r="6">
      <x:c r="A6" s="17" t="str">
        <x:v>CAND-2023-PARL-BUNGA-ROS</x:v>
      </x:c>
      <x:c r="B6" s="17" t="str">
        <x:v>Period-level recent-flood list</x:v>
      </x:c>
      <x:c r="C6" s="17" t="str">
        <x:v>Kampung Bunga Ros</x:v>
      </x:c>
      <x:c r="D6" s="17" t="str">
        <x:v>DATE_UNRESOLVED</x:v>
      </x:c>
      <x:c r="E6" s="17" t="str">
        <x:v>SRC_R2023_PARL_20230316</x:v>
      </x:c>
      <x:c r="F6" s="17" t="str">
        <x:v>Do not merge with Taman Bunga Ros; exact date not supplied.</x:v>
      </x:c>
    </x:row>
    <x:row r="7">
      <x:c r="A7" s="17" t="str">
        <x:v>CAND-2023-PARL-KANGKAR</x:v>
      </x:c>
      <x:c r="B7" s="17" t="str">
        <x:v>Period-level recent-flood list</x:v>
      </x:c>
      <x:c r="C7" s="17" t="str">
        <x:v>Kampung Melayu Kangkar Tebrau</x:v>
      </x:c>
      <x:c r="D7" s="17" t="str">
        <x:v>IDENTITY_SUPPORT_ONLY_DATE_UNRESOLVED</x:v>
      </x:c>
      <x:c r="E7" s="17" t="str">
        <x:v>SRC_R2023_PARL_20230316</x:v>
      </x:c>
      <x:c r="F7" s="17" t="str">
        <x:v>Supports Kangkar/Tebrau context but does not justify force-dating short-label 'Kangkar'.</x:v>
      </x:c>
    </x:row>
    <x:row r="8">
      <x:c r="A8" s="17" t="str">
        <x:v>CAND-2023-PARL-ULU-PANDAN</x:v>
      </x:c>
      <x:c r="B8" s="17" t="str">
        <x:v>Period-level recent-flood list</x:v>
      </x:c>
      <x:c r="C8" s="17" t="str">
        <x:v>Kampung Ulu Pandan</x:v>
      </x:c>
      <x:c r="D8" s="17" t="str">
        <x:v>DATE_UNRESOLVED</x:v>
      </x:c>
      <x:c r="E8" s="17" t="str">
        <x:v>SRC_R2023_PARL_20230316</x:v>
      </x:c>
      <x:c r="F8" s="17" t="str">
        <x:v>Exact event date not supplied.</x:v>
      </x:c>
    </x:row>
    <x:row r="9">
      <x:c r="A9" s="17" t="str">
        <x:v>CAND-2023-PARL-KG-TENGAH</x:v>
      </x:c>
      <x:c r="B9" s="17" t="str">
        <x:v>Period-level recent-flood list</x:v>
      </x:c>
      <x:c r="C9" s="17" t="str">
        <x:v>Kampung Tengah</x:v>
      </x:c>
      <x:c r="D9" s="17" t="str">
        <x:v>DATE_UNRESOLVED</x:v>
      </x:c>
      <x:c r="E9" s="17" t="str">
        <x:v>SRC_R2023_PARL_20230316</x:v>
      </x:c>
      <x:c r="F9" s="17" t="str">
        <x:v>Exact event date not supplied; multiple locality identities possible.</x:v>
      </x:c>
    </x:row>
    <x:row r="10">
      <x:c r="A10" s="17" t="str">
        <x:v>CAND-2023-PARL-BATU20</x:v>
      </x:c>
      <x:c r="B10" s="17" t="str">
        <x:v>Period-level recent-flood list</x:v>
      </x:c>
      <x:c r="C10" s="17" t="str">
        <x:v>Kawasan Batu 20</x:v>
      </x:c>
      <x:c r="D10" s="17" t="str">
        <x:v>DATE_UNRESOLVED</x:v>
      </x:c>
      <x:c r="E10" s="17" t="str">
        <x:v>SRC_R2023_PARL_20230316</x:v>
      </x:c>
      <x:c r="F10" s="17" t="str">
        <x:v>Linear/subarea identity and event date unresolved.</x:v>
      </x:c>
    </x:row>
    <x:row r="11">
      <x:c r="A11" s="17" t="str">
        <x:v>CAND-2023-PARL-TAWAKAL</x:v>
      </x:c>
      <x:c r="B11" s="17" t="str">
        <x:v>Period-level recent-flood list</x:v>
      </x:c>
      <x:c r="C11" s="17" t="str">
        <x:v>Kampung Tawakal</x:v>
      </x:c>
      <x:c r="D11" s="17" t="str">
        <x:v>DATE_UNRESOLVED</x:v>
      </x:c>
      <x:c r="E11" s="17" t="str">
        <x:v>SRC_R2023_PARL_20230316</x:v>
      </x:c>
      <x:c r="F11" s="17" t="str">
        <x:v>Do not substitute 2020 Jalan Tawakal road segment automatically.</x:v>
      </x:c>
    </x:row>
    <x:row r="12">
      <x:c r="A12" s="17" t="str">
        <x:v>CAND-2023-PARL-MAJU-JAYA</x:v>
      </x:c>
      <x:c r="B12" s="17" t="str">
        <x:v>Period-level recent-flood list</x:v>
      </x:c>
      <x:c r="C12" s="17" t="str">
        <x:v>Kampung Maju Jaya</x:v>
      </x:c>
      <x:c r="D12" s="17" t="str">
        <x:v>DATE_UNRESOLVED</x:v>
      </x:c>
      <x:c r="E12" s="17" t="str">
        <x:v>SRC_R2023_PARL_20230316</x:v>
      </x:c>
      <x:c r="F12" s="17" t="str">
        <x:v>Known recurrent location, but exact 2023 event date absent in this source.</x:v>
      </x:c>
    </x:row>
    <x:row r="13">
      <x:c r="A13" s="17" t="str">
        <x:v>CAND-2023-PARL-SINARAN</x:v>
      </x:c>
      <x:c r="B13" s="17" t="str">
        <x:v>Period-level recent-flood list</x:v>
      </x:c>
      <x:c r="C13" s="17" t="str">
        <x:v>Kampung Sinaran</x:v>
      </x:c>
      <x:c r="D13" s="17" t="str">
        <x:v>DATE_UNRESOLVED</x:v>
      </x:c>
      <x:c r="E13" s="17" t="str">
        <x:v>SRC_R2023_PARL_20230316</x:v>
      </x:c>
      <x:c r="F13" s="17" t="str">
        <x:v>Exact event date not supplied.</x:v>
      </x:c>
    </x:row>
    <x:row r="14">
      <x:c r="A14" s="17" t="str">
        <x:v>CAND-2023-MAY03-PERMATANG-KEMPAS</x:v>
      </x:c>
      <x:c r="B14" s="17" t="str">
        <x:v>Same-day disaster statement</x:v>
      </x:c>
      <x:c r="C14" s="17" t="str">
        <x:v>Permatang Kempas</x:v>
      </x:c>
      <x:c r="D14" s="17" t="str">
        <x:v>DATE_PRECISION_INSUFFICIENT</x:v>
      </x:c>
      <x:c r="E14" s="17" t="str">
        <x:v>SRC_R2023_RTM_20230503</x:v>
      </x:c>
      <x:c r="F14" s="17" t="str">
        <x:v>Statement says flash flood had subsided; exact onset is not explicit enough for dated Event_ID.</x:v>
      </x:c>
    </x:row>
    <x:row r="15">
      <x:c r="A15" s="17" t="str">
        <x:v>CAND-2023-OCT09-JB-GENERIC</x:v>
      </x:c>
      <x:c r="B15" s="17" t="str">
        <x:v>City-wide storm report</x:v>
      </x:c>
      <x:c r="C15" s="17" t="str">
        <x:v>Johor Bahru city generic flash flooding</x:v>
      </x:c>
      <x:c r="D15" s="17" t="str">
        <x:v>LOCATION_PRECISION_INSUFFICIENT</x:v>
      </x:c>
      <x:c r="E15" s="17" t="str">
        <x:v>SRC_R2023_CITY_20231009</x:v>
      </x:c>
      <x:c r="F15" s="17" t="str">
        <x:v>Flash flooding is mentioned but no defensible specific flood location is named.</x:v>
      </x:c>
    </x:row>
  </x:sheetData>
  <x:pageMargins left="0.7" right="0.7" top="0.75" bottom="0.75" header="0.3" footer="0.3"/>
</x:worksheet>
</file>

<file path=xl/worksheets/sheet23.xml><?xml version="1.0" encoding="utf-8"?>
<x:worksheet xmlns:x="http://schemas.openxmlformats.org/spreadsheetml/2006/main">
  <x:sheetFormatPr defaultRowHeight="15"/>
  <x:cols>
    <x:col min="1" max="1" width="16" hidden="0" customWidth="1"/>
    <x:col min="2" max="2" width="42" hidden="0" customWidth="1"/>
    <x:col min="3" max="3" width="20" hidden="0" customWidth="1"/>
    <x:col min="4" max="4" width="39" hidden="0" customWidth="1"/>
    <x:col min="5" max="5" width="64" hidden="0" customWidth="1"/>
    <x:col min="6" max="6" width="64" hidden="0" customWidth="1"/>
    <x:col min="7" max="7" width="46" hidden="0" customWidth="1"/>
  </x:cols>
  <x:sheetData>
    <x:row r="1">
      <x:c r="A1" s="40" t="str">
        <x:v>Spatial_Object_Key</x:v>
      </x:c>
      <x:c r="B1" s="40" t="str">
        <x:v>Canonical_Name</x:v>
      </x:c>
      <x:c r="C1" s="40" t="str">
        <x:v>Object_Type</x:v>
      </x:c>
      <x:c r="D1" s="40" t="str">
        <x:v>Current_Status</x:v>
      </x:c>
      <x:c r="E1" s="40" t="str">
        <x:v>Key_Conflict_or_Gap</x:v>
      </x:c>
      <x:c r="F1" s="40" t="str">
        <x:v>Next_Spatial_Action</x:v>
      </x:c>
      <x:c r="G1" s="40" t="str">
        <x:v>Decision</x:v>
      </x:c>
    </x:row>
    <x:row r="2">
      <x:c r="A2" s="17" t="str">
        <x:v>S2023-001</x:v>
      </x:c>
      <x:c r="B2" s="17" t="str">
        <x:v>Larkin Perdana</x:v>
      </x:c>
      <x:c r="C2" s="17" t="str">
        <x:v>COMMUNITY/AREA</x:v>
      </x:c>
      <x:c r="D2" s="17" t="str">
        <x:v>POINT_OPEN; POLYGON_OPEN</x:v>
      </x:c>
      <x:c r="E2" s="17" t="str">
        <x:v>Event identity is valid but no strict traceable point/boundary is frozen.</x:v>
      </x:c>
      <x:c r="F2" s="17" t="str">
        <x:v>Seek official gazetteer/planning/OSM named boundary; do not fabricate polygon.</x:v>
      </x:c>
      <x:c r="G2" s="17" t="str">
        <x:v>OPEN - retain evidence; no fabricated closure</x:v>
      </x:c>
    </x:row>
    <x:row r="3">
      <x:c r="A3" s="17" t="str">
        <x:v>S2023-002</x:v>
      </x:c>
      <x:c r="B3" s="17" t="str">
        <x:v>Kampung Aman</x:v>
      </x:c>
      <x:c r="C3" s="17" t="str">
        <x:v>COMMUNITY/AREA</x:v>
      </x:c>
      <x:c r="D3" s="17" t="str">
        <x:v>POINT_OPEN; POLYGON_OPEN</x:v>
      </x:c>
      <x:c r="E3" s="17" t="str">
        <x:v>Event identity is valid but no strict traceable point/boundary is frozen.</x:v>
      </x:c>
      <x:c r="F3" s="17" t="str">
        <x:v>Seek official gazetteer/planning/OSM named boundary; do not fabricate polygon.</x:v>
      </x:c>
      <x:c r="G3" s="17" t="str">
        <x:v>OPEN - retain evidence; no fabricated closure</x:v>
      </x:c>
    </x:row>
    <x:row r="4">
      <x:c r="A4" s="17" t="str">
        <x:v>S2023-003</x:v>
      </x:c>
      <x:c r="B4" s="17" t="str">
        <x:v>Taman Sri Bahagia</x:v>
      </x:c>
      <x:c r="C4" s="17" t="str">
        <x:v>COMMUNITY/AREA</x:v>
      </x:c>
      <x:c r="D4" s="17" t="str">
        <x:v>POINT_OPEN; POLYGON_OPEN</x:v>
      </x:c>
      <x:c r="E4" s="17" t="str">
        <x:v>Event identity is valid but no strict traceable point/boundary is frozen.</x:v>
      </x:c>
      <x:c r="F4" s="17" t="str">
        <x:v>Seek official gazetteer/planning/OSM named boundary; do not fabricate polygon.</x:v>
      </x:c>
      <x:c r="G4" s="17" t="str">
        <x:v>OPEN - retain evidence; no fabricated closure</x:v>
      </x:c>
    </x:row>
    <x:row r="5">
      <x:c r="A5" s="17" t="str">
        <x:v>S2023-004</x:v>
      </x:c>
      <x:c r="B5" s="17" t="str">
        <x:v>Kampung Dato Hajah Hasnah Majidee</x:v>
      </x:c>
      <x:c r="C5" s="17" t="str">
        <x:v>COMMUNITY/AREA</x:v>
      </x:c>
      <x:c r="D5" s="17" t="str">
        <x:v>POINT_OPEN; POLYGON_OPEN</x:v>
      </x:c>
      <x:c r="E5" s="17" t="str">
        <x:v>Event identity is valid but no strict traceable point/boundary is frozen.</x:v>
      </x:c>
      <x:c r="F5" s="17" t="str">
        <x:v>Seek official gazetteer/planning/OSM named boundary; do not fabricate polygon.</x:v>
      </x:c>
      <x:c r="G5" s="17" t="str">
        <x:v>OPEN - retain evidence; no fabricated closure</x:v>
      </x:c>
    </x:row>
    <x:row r="6">
      <x:c r="A6" s="17" t="str">
        <x:v>S2023-005</x:v>
      </x:c>
      <x:c r="B6" s="17" t="str">
        <x:v>Kampung Kurnia, Larkin</x:v>
      </x:c>
      <x:c r="C6" s="17" t="str">
        <x:v>COMMUNITY/AREA</x:v>
      </x:c>
      <x:c r="D6" s="17" t="str">
        <x:v>POINT_OPEN; POLYGON_OPEN</x:v>
      </x:c>
      <x:c r="E6" s="17" t="str">
        <x:v>Event identity is valid but no strict traceable point/boundary is frozen.</x:v>
      </x:c>
      <x:c r="F6" s="17" t="str">
        <x:v>Seek official gazetteer/planning/OSM named boundary; do not fabricate polygon.</x:v>
      </x:c>
      <x:c r="G6" s="17" t="str">
        <x:v>OPEN - retain evidence; no fabricated closure</x:v>
      </x:c>
    </x:row>
    <x:row r="7">
      <x:c r="A7" s="17" t="str">
        <x:v>S2023-006</x:v>
      </x:c>
      <x:c r="B7" s="17" t="str">
        <x:v>Kampung Cahaya Baru, Masai</x:v>
      </x:c>
      <x:c r="C7" s="17" t="str">
        <x:v>COMMUNITY/AREA</x:v>
      </x:c>
      <x:c r="D7" s="17" t="str">
        <x:v>POINT_OPEN; POLYGON_OPEN</x:v>
      </x:c>
      <x:c r="E7" s="17" t="str">
        <x:v>Event identity is valid but no strict traceable point/boundary is frozen.</x:v>
      </x:c>
      <x:c r="F7" s="17" t="str">
        <x:v>Seek official gazetteer/planning/OSM named boundary; do not fabricate polygon.</x:v>
      </x:c>
      <x:c r="G7" s="17" t="str">
        <x:v>OPEN - retain evidence; no fabricated closure</x:v>
      </x:c>
    </x:row>
    <x:row r="8">
      <x:c r="A8" s="17" t="str">
        <x:v>S2023-007</x:v>
      </x:c>
      <x:c r="B8" s="17" t="str">
        <x:v>Kampung Pasir Tebrau</x:v>
      </x:c>
      <x:c r="C8" s="17" t="str">
        <x:v>COMMUNITY/AREA</x:v>
      </x:c>
      <x:c r="D8" s="17" t="str">
        <x:v>POINT_READY; POLYGON_OPEN</x:v>
      </x:c>
      <x:c r="E8" s="17" t="str">
        <x:v>Exact closed event/community analysis geometry not frozen.</x:v>
      </x:c>
      <x:c r="F8" s="17" t="str">
        <x:v>Seek official gazetteer/planning/OSM named boundary; do not fabricate polygon.</x:v>
      </x:c>
      <x:c r="G8" s="17" t="str">
        <x:v>OPEN - retain evidence; no fabricated closure</x:v>
      </x:c>
    </x:row>
    <x:row r="9">
      <x:c r="A9" s="17" t="str">
        <x:v>S2023-008</x:v>
      </x:c>
      <x:c r="B9" s="17" t="str">
        <x:v>Kampung Sungai Tiram</x:v>
      </x:c>
      <x:c r="C9" s="17" t="str">
        <x:v>COMMUNITY/AREA</x:v>
      </x:c>
      <x:c r="D9" s="17" t="str">
        <x:v>POINT_READY; POLYGON_OPEN</x:v>
      </x:c>
      <x:c r="E9" s="17" t="str">
        <x:v>Exact closed event/community analysis geometry not frozen.</x:v>
      </x:c>
      <x:c r="F9" s="17" t="str">
        <x:v>Seek official gazetteer/planning/OSM named boundary; do not fabricate polygon.</x:v>
      </x:c>
      <x:c r="G9" s="17" t="str">
        <x:v>OPEN - retain evidence; no fabricated closure</x:v>
      </x:c>
    </x:row>
    <x:row r="10">
      <x:c r="A10" s="17" t="str">
        <x:v>S2023-009</x:v>
      </x:c>
      <x:c r="B10" s="17" t="str">
        <x:v>Kampung Paya Kenangan</x:v>
      </x:c>
      <x:c r="C10" s="17" t="str">
        <x:v>COMMUNITY/AREA</x:v>
      </x:c>
      <x:c r="D10" s="17" t="str">
        <x:v>POINT_READY; POLYGON_OPEN</x:v>
      </x:c>
      <x:c r="E10" s="17" t="str">
        <x:v>Exact closed event/community analysis geometry not frozen.</x:v>
      </x:c>
      <x:c r="F10" s="17" t="str">
        <x:v>Seek official gazetteer/planning/OSM named boundary; do not fabricate polygon.</x:v>
      </x:c>
      <x:c r="G10" s="17" t="str">
        <x:v>OPEN - retain evidence; no fabricated closure</x:v>
      </x:c>
    </x:row>
    <x:row r="11">
      <x:c r="A11" s="17" t="str">
        <x:v>S2023-010</x:v>
      </x:c>
      <x:c r="B11" s="17" t="str">
        <x:v>Kangkar (source-short-name)</x:v>
      </x:c>
      <x:c r="C11" s="17" t="str">
        <x:v>COMMUNITY/AREA</x:v>
      </x:c>
      <x:c r="D11" s="17" t="str">
        <x:v>IDENTITY_AMBIGUOUS; POINT_OPEN</x:v>
      </x:c>
      <x:c r="E11" s="17" t="str">
        <x:v>Short name is insufficient to defensibly merge with Kampung Kangkar Tebrau.</x:v>
      </x:c>
      <x:c r="F11" s="17" t="str">
        <x:v>Resolve administrative/locality identity before geocoding or merging.</x:v>
      </x:c>
      <x:c r="G11" s="17" t="str">
        <x:v>OPEN - retain evidence; no fabricated closure</x:v>
      </x:c>
    </x:row>
    <x:row r="12">
      <x:c r="A12" s="17" t="str">
        <x:v>S2023-011</x:v>
      </x:c>
      <x:c r="B12" s="17" t="str">
        <x:v>Lorong Mak Piah, Kampung Sungai Tiram</x:v>
      </x:c>
      <x:c r="C12" s="17" t="str">
        <x:v>ROAD/SUBAREA</x:v>
      </x:c>
      <x:c r="D12" s="17" t="str">
        <x:v>ROAD_SEGMENT_OPEN</x:v>
      </x:c>
      <x:c r="E12" s="17" t="str">
        <x:v>Event-valid road/subarea; exact flooded start/end segment not evidenced.</x:v>
      </x:c>
      <x:c r="F12" s="17" t="str">
        <x:v>Keep road segment OPEN unless start/end geometry is independently evidenced.</x:v>
      </x:c>
      <x:c r="G12" s="17" t="str">
        <x:v>OPEN - retain evidence; no fabricated closure</x:v>
      </x:c>
    </x:row>
    <x:row r="13">
      <x:c r="A13" s="17" t="str">
        <x:v>S2023-012</x:v>
      </x:c>
      <x:c r="B13" s="17" t="str">
        <x:v>Kampung Sentosa Damai</x:v>
      </x:c>
      <x:c r="C13" s="17" t="str">
        <x:v>COMMUNITY/AREA</x:v>
      </x:c>
      <x:c r="D13" s="17" t="str">
        <x:v>POINT_OPEN; POLYGON_OPEN</x:v>
      </x:c>
      <x:c r="E13" s="17" t="str">
        <x:v>Event identity is valid but no strict traceable point/boundary is frozen.</x:v>
      </x:c>
      <x:c r="F13" s="17" t="str">
        <x:v>Seek official gazetteer/planning/OSM named boundary; do not fabricate polygon.</x:v>
      </x:c>
      <x:c r="G13" s="17" t="str">
        <x:v>OPEN - retain evidence; no fabricated closure</x:v>
      </x:c>
    </x:row>
    <x:row r="14">
      <x:c r="A14" s="17" t="str">
        <x:v>S2023-014</x:v>
      </x:c>
      <x:c r="B14" s="17" t="str">
        <x:v>Kampung Sentosa Barat</x:v>
      </x:c>
      <x:c r="C14" s="17" t="str">
        <x:v>COMMUNITY/AREA</x:v>
      </x:c>
      <x:c r="D14" s="17" t="str">
        <x:v>POINT_OPEN; POLYGON_OPEN</x:v>
      </x:c>
      <x:c r="E14" s="17" t="str">
        <x:v>Event identity is valid but no strict traceable point/boundary is frozen.</x:v>
      </x:c>
      <x:c r="F14" s="17" t="str">
        <x:v>Seek official gazetteer/planning/OSM named boundary; do not fabricate polygon.</x:v>
      </x:c>
      <x:c r="G14" s="17" t="str">
        <x:v>OPEN - retain evidence; no fabricated closure</x:v>
      </x:c>
    </x:row>
    <x:row r="15">
      <x:c r="A15" s="17" t="str">
        <x:v>S2023-015</x:v>
      </x:c>
      <x:c r="B15" s="17" t="str">
        <x:v>Kampung Bukit Pulai</x:v>
      </x:c>
      <x:c r="C15" s="17" t="str">
        <x:v>COMMUNITY/AREA</x:v>
      </x:c>
      <x:c r="D15" s="17" t="str">
        <x:v>POINT_OPEN; POLYGON_OPEN</x:v>
      </x:c>
      <x:c r="E15" s="17" t="str">
        <x:v>Event identity is valid but no strict traceable point/boundary is frozen.</x:v>
      </x:c>
      <x:c r="F15" s="17" t="str">
        <x:v>Seek official gazetteer/planning/OSM named boundary; do not fabricate polygon.</x:v>
      </x:c>
      <x:c r="G15" s="17" t="str">
        <x:v>OPEN - retain evidence; no fabricated closure</x:v>
      </x:c>
    </x:row>
    <x:row r="16">
      <x:c r="A16" s="17" t="str">
        <x:v>S2023-016</x:v>
      </x:c>
      <x:c r="B16" s="17" t="str">
        <x:v>Taman Bunga Ros</x:v>
      </x:c>
      <x:c r="C16" s="17" t="str">
        <x:v>COMMUNITY/AREA</x:v>
      </x:c>
      <x:c r="D16" s="17" t="str">
        <x:v>POINT_READY; POLYGON_OPEN</x:v>
      </x:c>
      <x:c r="E16" s="17" t="str">
        <x:v>Exact closed event/community analysis geometry not frozen.</x:v>
      </x:c>
      <x:c r="F16" s="17" t="str">
        <x:v>Seek official gazetteer/planning/OSM named boundary; do not fabricate polygon.</x:v>
      </x:c>
      <x:c r="G16" s="17" t="str">
        <x:v>OPEN - retain evidence; no fabricated closure</x:v>
      </x:c>
    </x:row>
    <x:row r="17">
      <x:c r="A17" s="17" t="str">
        <x:v>S2023-017</x:v>
      </x:c>
      <x:c r="B17" s="17" t="str">
        <x:v>Jalan Kangkar Tebrau</x:v>
      </x:c>
      <x:c r="C17" s="17" t="str">
        <x:v>ROAD</x:v>
      </x:c>
      <x:c r="D17" s="17" t="str">
        <x:v>ROAD_SEGMENT_OPEN</x:v>
      </x:c>
      <x:c r="E17" s="17" t="str">
        <x:v>Event-valid road/subarea; exact flooded start/end segment not evidenced.</x:v>
      </x:c>
      <x:c r="F17" s="17" t="str">
        <x:v>Keep road segment OPEN unless start/end geometry is independently evidenced.</x:v>
      </x:c>
      <x:c r="G17" s="17" t="str">
        <x:v>OPEN - retain evidence; no fabricated closure</x:v>
      </x:c>
    </x:row>
    <x:row r="18">
      <x:c r="A18" s="17" t="str">
        <x:v>S2023-018</x:v>
      </x:c>
      <x:c r="B18" s="17" t="str">
        <x:v>Kampung Pasir</x:v>
      </x:c>
      <x:c r="C18" s="17" t="str">
        <x:v>COMMUNITY/AREA</x:v>
      </x:c>
      <x:c r="D18" s="17" t="str">
        <x:v>POINT_READY; POLYGON_OPEN</x:v>
      </x:c>
      <x:c r="E18" s="17" t="str">
        <x:v>Exact closed event/community analysis geometry not frozen.</x:v>
      </x:c>
      <x:c r="F18" s="17" t="str">
        <x:v>Seek official gazetteer/planning/OSM named boundary; do not fabricate polygon.</x:v>
      </x:c>
      <x:c r="G18" s="17" t="str">
        <x:v>OPEN - retain evidence; no fabricated closure</x:v>
      </x:c>
    </x:row>
    <x:row r="19">
      <x:c r="A19" s="17" t="str">
        <x:v>S2023-019</x:v>
      </x:c>
      <x:c r="B19" s="17" t="str">
        <x:v>Jalan Kampung Sentosa Damai 8</x:v>
      </x:c>
      <x:c r="C19" s="17" t="str">
        <x:v>ROAD</x:v>
      </x:c>
      <x:c r="D19" s="17" t="str">
        <x:v>ROAD_SEGMENT_OPEN</x:v>
      </x:c>
      <x:c r="E19" s="17" t="str">
        <x:v>Event-valid road/subarea; exact flooded start/end segment not evidenced.</x:v>
      </x:c>
      <x:c r="F19" s="17" t="str">
        <x:v>Keep road segment OPEN unless start/end geometry is independently evidenced.</x:v>
      </x:c>
      <x:c r="G19" s="17" t="str">
        <x:v>OPEN - retain evidence; no fabricated closure</x:v>
      </x:c>
    </x:row>
    <x:row r="20">
      <x:c r="A20" s="17" t="str">
        <x:v>S2023-020</x:v>
      </x:c>
      <x:c r="B20" s="17" t="str">
        <x:v>Dataran Bandaraya Johor Bahru</x:v>
      </x:c>
      <x:c r="C20" s="17" t="str">
        <x:v>CIVIC AREA</x:v>
      </x:c>
      <x:c r="D20" s="17" t="str">
        <x:v>POINT_READY; POLYGON_OPEN</x:v>
      </x:c>
      <x:c r="E20" s="17" t="str">
        <x:v>Exact closed event/community analysis geometry not frozen.</x:v>
      </x:c>
      <x:c r="F20" s="17" t="str">
        <x:v>Seek official gazetteer/planning/OSM named boundary; do not fabricate polygon.</x:v>
      </x:c>
      <x:c r="G20" s="17" t="str">
        <x:v>OPEN - retain evidence; no fabricated closure</x:v>
      </x:c>
    </x:row>
    <x:row r="21">
      <x:c r="A21" s="17" t="str">
        <x:v>S2023-021</x:v>
      </x:c>
      <x:c r="B21" s="17" t="str">
        <x:v>Jalan Kolam Ayer</x:v>
      </x:c>
      <x:c r="C21" s="17" t="str">
        <x:v>ROAD</x:v>
      </x:c>
      <x:c r="D21" s="17" t="str">
        <x:v>POINT_REFERENCE; ROAD_SEGMENT_OPEN</x:v>
      </x:c>
      <x:c r="E21" s="17" t="str">
        <x:v>Event-valid road/subarea; exact flooded start/end segment not evidenced.</x:v>
      </x:c>
      <x:c r="F21" s="17" t="str">
        <x:v>Keep road segment OPEN unless start/end geometry is independently evidenced.</x:v>
      </x:c>
      <x:c r="G21" s="17" t="str">
        <x:v>OPEN - retain evidence; no fabricated closure</x:v>
      </x:c>
    </x:row>
    <x:row r="22">
      <x:c r="A22" s="17" t="str">
        <x:v>S2023-022</x:v>
      </x:c>
      <x:c r="B22" s="17" t="str">
        <x:v>Jalan Ayer Molek</x:v>
      </x:c>
      <x:c r="C22" s="17" t="str">
        <x:v>ROAD</x:v>
      </x:c>
      <x:c r="D22" s="17" t="str">
        <x:v>POINT_REFERENCE; ROAD_SEGMENT_OPEN</x:v>
      </x:c>
      <x:c r="E22" s="17" t="str">
        <x:v>Event-valid road/subarea; exact flooded start/end segment not evidenced.</x:v>
      </x:c>
      <x:c r="F22" s="17" t="str">
        <x:v>Keep road segment OPEN unless start/end geometry is independently evidenced.</x:v>
      </x:c>
      <x:c r="G22" s="17" t="str">
        <x:v>OPEN - retain evidence; no fabricated closure</x:v>
      </x:c>
    </x:row>
    <x:row r="23">
      <x:c r="A23" s="17" t="str">
        <x:v>S2023-023</x:v>
      </x:c>
      <x:c r="B23" s="17" t="str">
        <x:v>Jalan Bilal Mahmood</x:v>
      </x:c>
      <x:c r="C23" s="17" t="str">
        <x:v>ROAD</x:v>
      </x:c>
      <x:c r="D23" s="17" t="str">
        <x:v>POINT_REFERENCE; ROAD_SEGMENT_OPEN</x:v>
      </x:c>
      <x:c r="E23" s="17" t="str">
        <x:v>Event-valid road/subarea; exact flooded start/end segment not evidenced.</x:v>
      </x:c>
      <x:c r="F23" s="17" t="str">
        <x:v>Keep road segment OPEN unless start/end geometry is independently evidenced.</x:v>
      </x:c>
      <x:c r="G23" s="17" t="str">
        <x:v>OPEN - retain evidence; no fabricated closure</x:v>
      </x:c>
    </x:row>
    <x:row r="24">
      <x:c r="A24" s="17" t="str">
        <x:v>S2023-024</x:v>
      </x:c>
      <x:c r="B24" s="17" t="str">
        <x:v>Jalan Dato Sulaiman</x:v>
      </x:c>
      <x:c r="C24" s="17" t="str">
        <x:v>ROAD</x:v>
      </x:c>
      <x:c r="D24" s="17" t="str">
        <x:v>POINT_REFERENCE; ROAD_SEGMENT_OPEN</x:v>
      </x:c>
      <x:c r="E24" s="17" t="str">
        <x:v>Event-valid road/subarea; exact flooded start/end segment not evidenced.</x:v>
      </x:c>
      <x:c r="F24" s="17" t="str">
        <x:v>Keep road segment OPEN unless start/end geometry is independently evidenced.</x:v>
      </x:c>
      <x:c r="G24" s="17" t="str">
        <x:v>OPEN - retain evidence; no fabricated closure</x:v>
      </x:c>
    </x:row>
    <x:row r="25">
      <x:c r="A25" s="17" t="str">
        <x:v>S2023-025</x:v>
      </x:c>
      <x:c r="B25" s="17" t="str">
        <x:v>Jalan Ibrahim Sultan</x:v>
      </x:c>
      <x:c r="C25" s="17" t="str">
        <x:v>ROAD</x:v>
      </x:c>
      <x:c r="D25" s="17" t="str">
        <x:v>POINT_REFERENCE; ROAD_SEGMENT_OPEN</x:v>
      </x:c>
      <x:c r="E25" s="17" t="str">
        <x:v>Event-valid road/subarea; exact flooded start/end segment not evidenced.</x:v>
      </x:c>
      <x:c r="F25" s="17" t="str">
        <x:v>Keep road segment OPEN unless start/end geometry is independently evidenced.</x:v>
      </x:c>
      <x:c r="G25" s="17" t="str">
        <x:v>OPEN - retain evidence; no fabricated closure</x:v>
      </x:c>
    </x:row>
    <x:row r="26">
      <x:c r="A26" s="17" t="str">
        <x:v>S2023-026</x:v>
      </x:c>
      <x:c r="B26" s="17" t="str">
        <x:v>Jalan Ismail Sultan</x:v>
      </x:c>
      <x:c r="C26" s="17" t="str">
        <x:v>ROAD</x:v>
      </x:c>
      <x:c r="D26" s="17" t="str">
        <x:v>POINT_REFERENCE; ROAD_SEGMENT_OPEN</x:v>
      </x:c>
      <x:c r="E26" s="17" t="str">
        <x:v>Event-valid road/subarea; exact flooded start/end segment not evidenced.</x:v>
      </x:c>
      <x:c r="F26" s="17" t="str">
        <x:v>Keep road segment OPEN unless start/end geometry is independently evidenced.</x:v>
      </x:c>
      <x:c r="G26" s="17" t="str">
        <x:v>OPEN - retain evidence; no fabricated closure</x:v>
      </x:c>
    </x:row>
    <x:row r="27">
      <x:c r="A27" s="17" t="str">
        <x:v>S2023-027</x:v>
      </x:c>
      <x:c r="B27" s="17" t="str">
        <x:v>Jalan Lurah 3</x:v>
      </x:c>
      <x:c r="C27" s="17" t="str">
        <x:v>ROAD</x:v>
      </x:c>
      <x:c r="D27" s="17" t="str">
        <x:v>POINT_REFERENCE; ROAD_SEGMENT_OPEN</x:v>
      </x:c>
      <x:c r="E27" s="17" t="str">
        <x:v>Event-valid road/subarea; exact flooded start/end segment not evidenced.</x:v>
      </x:c>
      <x:c r="F27" s="17" t="str">
        <x:v>Keep road segment OPEN unless start/end geometry is independently evidenced.</x:v>
      </x:c>
      <x:c r="G27" s="17" t="str">
        <x:v>OPEN - retain evidence; no fabricated closure</x:v>
      </x:c>
    </x:row>
    <x:row r="28">
      <x:c r="A28" s="17" t="str">
        <x:v>S2023-028</x:v>
      </x:c>
      <x:c r="B28" s="17" t="str">
        <x:v>Jalan Mahmoodiah</x:v>
      </x:c>
      <x:c r="C28" s="17" t="str">
        <x:v>ROAD</x:v>
      </x:c>
      <x:c r="D28" s="17" t="str">
        <x:v>POINT_REFERENCE; ROAD_SEGMENT_OPEN</x:v>
      </x:c>
      <x:c r="E28" s="17" t="str">
        <x:v>Event-valid road/subarea; exact flooded start/end segment not evidenced.</x:v>
      </x:c>
      <x:c r="F28" s="17" t="str">
        <x:v>Keep road segment OPEN unless start/end geometry is independently evidenced.</x:v>
      </x:c>
      <x:c r="G28" s="17" t="str">
        <x:v>OPEN - retain evidence; no fabricated closure</x:v>
      </x:c>
    </x:row>
    <x:row r="29">
      <x:c r="A29" s="17" t="str">
        <x:v>S2023-029</x:v>
      </x:c>
      <x:c r="B29" s="17" t="str">
        <x:v>Kampung Mohd Amin / Jalan Mohd Amin context</x:v>
      </x:c>
      <x:c r="C29" s="17" t="str">
        <x:v>AREA</x:v>
      </x:c>
      <x:c r="D29" s="17" t="str">
        <x:v>POINT_REFERENCE; SOURCE_LABEL_VARIANT; POLYGON_OPEN</x:v>
      </x:c>
      <x:c r="E29" s="17" t="str">
        <x:v>Sources use both road and community labels around Mohd Amin; one canonical physical context prevents double counting.</x:v>
      </x:c>
      <x:c r="F29" s="17" t="str">
        <x:v>Retain source labels; resolve event-specific road segment separately.</x:v>
      </x:c>
      <x:c r="G29" s="17" t="str">
        <x:v>OPEN - retain evidence; no fabricated closure</x:v>
      </x:c>
    </x:row>
    <x:row r="30">
      <x:c r="A30" s="17" t="str">
        <x:v>S2023-030</x:v>
      </x:c>
      <x:c r="B30" s="17" t="str">
        <x:v>Jalan Padi Makmur</x:v>
      </x:c>
      <x:c r="C30" s="17" t="str">
        <x:v>ROAD</x:v>
      </x:c>
      <x:c r="D30" s="17" t="str">
        <x:v>POINT_REFERENCE; ROAD_SEGMENT_OPEN</x:v>
      </x:c>
      <x:c r="E30" s="17" t="str">
        <x:v>Event-valid road/subarea; exact flooded start/end segment not evidenced.</x:v>
      </x:c>
      <x:c r="F30" s="17" t="str">
        <x:v>Keep road segment OPEN unless start/end geometry is independently evidenced.</x:v>
      </x:c>
      <x:c r="G30" s="17" t="str">
        <x:v>OPEN - retain evidence; no fabricated closure</x:v>
      </x:c>
    </x:row>
    <x:row r="31">
      <x:c r="A31" s="17" t="str">
        <x:v>S2023-031</x:v>
      </x:c>
      <x:c r="B31" s="17" t="str">
        <x:v>Jalan Serigala</x:v>
      </x:c>
      <x:c r="C31" s="17" t="str">
        <x:v>ROAD</x:v>
      </x:c>
      <x:c r="D31" s="17" t="str">
        <x:v>POINT_REFERENCE; ROAD_SEGMENT_OPEN</x:v>
      </x:c>
      <x:c r="E31" s="17" t="str">
        <x:v>Event-valid road/subarea; exact flooded start/end segment not evidenced.</x:v>
      </x:c>
      <x:c r="F31" s="17" t="str">
        <x:v>Keep road segment OPEN unless start/end geometry is independently evidenced.</x:v>
      </x:c>
      <x:c r="G31" s="17" t="str">
        <x:v>OPEN - retain evidence; no fabricated closure</x:v>
      </x:c>
    </x:row>
    <x:row r="32">
      <x:c r="A32" s="17" t="str">
        <x:v>S2023-032</x:v>
      </x:c>
      <x:c r="B32" s="17" t="str">
        <x:v>Jalan Stulang Darat</x:v>
      </x:c>
      <x:c r="C32" s="17" t="str">
        <x:v>ROAD</x:v>
      </x:c>
      <x:c r="D32" s="17" t="str">
        <x:v>POINT_REFERENCE; ROAD_SEGMENT_OPEN</x:v>
      </x:c>
      <x:c r="E32" s="17" t="str">
        <x:v>Event-valid road/subarea; exact flooded start/end segment not evidenced.</x:v>
      </x:c>
      <x:c r="F32" s="17" t="str">
        <x:v>Keep road segment OPEN unless start/end geometry is independently evidenced.</x:v>
      </x:c>
      <x:c r="G32" s="17" t="str">
        <x:v>OPEN - retain evidence; no fabricated closure</x:v>
      </x:c>
    </x:row>
    <x:row r="33">
      <x:c r="A33" s="17" t="str">
        <x:v>S2023-033</x:v>
      </x:c>
      <x:c r="B33" s="17" t="str">
        <x:v>Jalan Tebrau</x:v>
      </x:c>
      <x:c r="C33" s="17" t="str">
        <x:v>ROAD</x:v>
      </x:c>
      <x:c r="D33" s="17" t="str">
        <x:v>POINT_REFERENCE; ROAD_SEGMENT_OPEN</x:v>
      </x:c>
      <x:c r="E33" s="17" t="str">
        <x:v>Event-valid road/subarea; exact flooded start/end segment not evidenced.</x:v>
      </x:c>
      <x:c r="F33" s="17" t="str">
        <x:v>Keep road segment OPEN unless start/end geometry is independently evidenced.</x:v>
      </x:c>
      <x:c r="G33" s="17" t="str">
        <x:v>OPEN - retain evidence; no fabricated closure</x:v>
      </x:c>
    </x:row>
    <x:row r="34">
      <x:c r="A34" s="17" t="str">
        <x:v>S2023-034</x:v>
      </x:c>
      <x:c r="B34" s="17" t="str">
        <x:v>Jalan Tun Abdul Razak</x:v>
      </x:c>
      <x:c r="C34" s="17" t="str">
        <x:v>ROAD</x:v>
      </x:c>
      <x:c r="D34" s="17" t="str">
        <x:v>POINT_REFERENCE; ROAD_SEGMENT_OPEN</x:v>
      </x:c>
      <x:c r="E34" s="17" t="str">
        <x:v>Event-valid road/subarea; exact flooded start/end segment not evidenced.</x:v>
      </x:c>
      <x:c r="F34" s="17" t="str">
        <x:v>Keep road segment OPEN unless start/end geometry is independently evidenced.</x:v>
      </x:c>
      <x:c r="G34" s="17" t="str">
        <x:v>OPEN - retain evidence; no fabricated closure</x:v>
      </x:c>
    </x:row>
    <x:row r="35">
      <x:c r="A35" s="17" t="str">
        <x:v>S2023-035</x:v>
      </x:c>
      <x:c r="B35" s="17" t="str">
        <x:v>Jalan Tun Abdul Razak (Susur 2)</x:v>
      </x:c>
      <x:c r="C35" s="17" t="str">
        <x:v>ROAD</x:v>
      </x:c>
      <x:c r="D35" s="17" t="str">
        <x:v>ROAD_SEGMENT_OPEN</x:v>
      </x:c>
      <x:c r="E35" s="17" t="str">
        <x:v>Event-valid road/subarea; exact flooded start/end segment not evidenced.</x:v>
      </x:c>
      <x:c r="F35" s="17" t="str">
        <x:v>Keep road segment OPEN unless start/end geometry is independently evidenced.</x:v>
      </x:c>
      <x:c r="G35" s="17" t="str">
        <x:v>OPEN - retain evidence; no fabricated closure</x:v>
      </x:c>
    </x:row>
    <x:row r="36">
      <x:c r="A36" s="17" t="str">
        <x:v>S2023-036</x:v>
      </x:c>
      <x:c r="B36" s="17" t="str">
        <x:v>Jalan Tun Abdul Razak (Susur 3)</x:v>
      </x:c>
      <x:c r="C36" s="17" t="str">
        <x:v>ROAD</x:v>
      </x:c>
      <x:c r="D36" s="17" t="str">
        <x:v>ROAD_SEGMENT_OPEN</x:v>
      </x:c>
      <x:c r="E36" s="17" t="str">
        <x:v>Event-valid road/subarea; exact flooded start/end segment not evidenced.</x:v>
      </x:c>
      <x:c r="F36" s="17" t="str">
        <x:v>Keep road segment OPEN unless start/end geometry is independently evidenced.</x:v>
      </x:c>
      <x:c r="G36" s="17" t="str">
        <x:v>OPEN - retain evidence; no fabricated closure</x:v>
      </x:c>
    </x:row>
    <x:row r="37">
      <x:c r="A37" s="17" t="str">
        <x:v>S2023-037</x:v>
      </x:c>
      <x:c r="B37" s="17" t="str">
        <x:v>Jalan Yahya Awal</x:v>
      </x:c>
      <x:c r="C37" s="17" t="str">
        <x:v>ROAD</x:v>
      </x:c>
      <x:c r="D37" s="17" t="str">
        <x:v>POINT_REFERENCE; ROAD_SEGMENT_OPEN</x:v>
      </x:c>
      <x:c r="E37" s="17" t="str">
        <x:v>Event-valid road/subarea; exact flooded start/end segment not evidenced.</x:v>
      </x:c>
      <x:c r="F37" s="17" t="str">
        <x:v>Keep road segment OPEN unless start/end geometry is independently evidenced.</x:v>
      </x:c>
      <x:c r="G37" s="17" t="str">
        <x:v>OPEN - retain evidence; no fabricated closure</x:v>
      </x:c>
    </x:row>
    <x:row r="38">
      <x:c r="A38" s="17" t="str">
        <x:v>S2023-038</x:v>
      </x:c>
      <x:c r="B38" s="17" t="str">
        <x:v>Hutan Bandar Johor Bahru</x:v>
      </x:c>
      <x:c r="C38" s="17" t="str">
        <x:v>URBAN PARK/AREA</x:v>
      </x:c>
      <x:c r="D38" s="17" t="str">
        <x:v>POINT_OPEN; POLYGON_OPEN</x:v>
      </x:c>
      <x:c r="E38" s="17" t="str">
        <x:v>Event identity is valid but no strict traceable point/boundary is frozen.</x:v>
      </x:c>
      <x:c r="F38" s="17" t="str">
        <x:v>Seek official gazetteer/planning/OSM named boundary; do not fabricate polygon.</x:v>
      </x:c>
      <x:c r="G38" s="17" t="str">
        <x:v>OPEN - retain evidence; no fabricated closure</x:v>
      </x:c>
    </x:row>
    <x:row r="39">
      <x:c r="A39" s="17" t="str">
        <x:v>S2023-039</x:v>
      </x:c>
      <x:c r="B39" s="17" t="str">
        <x:v>Jalan Padi Huma 9</x:v>
      </x:c>
      <x:c r="C39" s="17" t="str">
        <x:v>ROAD</x:v>
      </x:c>
      <x:c r="D39" s="17" t="str">
        <x:v>POINT_REFERENCE; ROAD_SEGMENT_OPEN</x:v>
      </x:c>
      <x:c r="E39" s="17" t="str">
        <x:v>Event-valid road/subarea; exact flooded start/end segment not evidenced.</x:v>
      </x:c>
      <x:c r="F39" s="17" t="str">
        <x:v>Keep road segment OPEN unless start/end geometry is independently evidenced.</x:v>
      </x:c>
      <x:c r="G39" s="17" t="str">
        <x:v>OPEN - retain evidence; no fabricated closure</x:v>
      </x:c>
    </x:row>
    <x:row r="40">
      <x:c r="A40" s="17" t="str">
        <x:v>S2023-040</x:v>
      </x:c>
      <x:c r="B40" s="17" t="str">
        <x:v>Jalan Padi Huma 10</x:v>
      </x:c>
      <x:c r="C40" s="17" t="str">
        <x:v>ROAD</x:v>
      </x:c>
      <x:c r="D40" s="17" t="str">
        <x:v>POINT_REFERENCE; ROAD_SEGMENT_OPEN</x:v>
      </x:c>
      <x:c r="E40" s="17" t="str">
        <x:v>Event-valid road/subarea; exact flooded start/end segment not evidenced.</x:v>
      </x:c>
      <x:c r="F40" s="17" t="str">
        <x:v>Keep road segment OPEN unless start/end geometry is independently evidenced.</x:v>
      </x:c>
      <x:c r="G40" s="17" t="str">
        <x:v>OPEN - retain evidence; no fabricated closure</x:v>
      </x:c>
    </x:row>
    <x:row r="41">
      <x:c r="A41" s="17" t="str">
        <x:v>S2023-041</x:v>
      </x:c>
      <x:c r="B41" s="17" t="str">
        <x:v>Taman Nong Chik</x:v>
      </x:c>
      <x:c r="C41" s="17" t="str">
        <x:v>COMMUNITY/AREA</x:v>
      </x:c>
      <x:c r="D41" s="17" t="str">
        <x:v>POINT_READY; POLYGON_OPEN</x:v>
      </x:c>
      <x:c r="E41" s="17" t="str">
        <x:v>Exact closed event/community analysis geometry not frozen.</x:v>
      </x:c>
      <x:c r="F41" s="17" t="str">
        <x:v>Seek official gazetteer/planning/OSM named boundary; do not fabricate polygon.</x:v>
      </x:c>
      <x:c r="G41" s="17" t="str">
        <x:v>OPEN - retain evidence; no fabricated closure</x:v>
      </x:c>
    </x:row>
    <x:row r="42">
      <x:c r="A42" s="17" t="str">
        <x:v>S2023-042</x:v>
      </x:c>
      <x:c r="B42" s="17" t="str">
        <x:v>Majidee</x:v>
      </x:c>
      <x:c r="C42" s="17" t="str">
        <x:v>COMMUNITY/AREA</x:v>
      </x:c>
      <x:c r="D42" s="17" t="str">
        <x:v>POINT_READY; POLYGON_OPEN</x:v>
      </x:c>
      <x:c r="E42" s="17" t="str">
        <x:v>Exact closed event/community analysis geometry not frozen.</x:v>
      </x:c>
      <x:c r="F42" s="17" t="str">
        <x:v>Seek official gazetteer/planning/OSM named boundary; do not fabricate polygon.</x:v>
      </x:c>
      <x:c r="G42" s="17" t="str">
        <x:v>OPEN - retain evidence; no fabricated closure</x:v>
      </x:c>
    </x:row>
    <x:row r="43">
      <x:c r="A43" s="17" t="str">
        <x:v>S2023-043</x:v>
      </x:c>
      <x:c r="B43" s="17" t="str">
        <x:v>Taman Melodies</x:v>
      </x:c>
      <x:c r="C43" s="17" t="str">
        <x:v>COMMUNITY/AREA</x:v>
      </x:c>
      <x:c r="D43" s="17" t="str">
        <x:v>POINT_READY; POLYGON_OPEN</x:v>
      </x:c>
      <x:c r="E43" s="17" t="str">
        <x:v>Exact closed event/community analysis geometry not frozen.</x:v>
      </x:c>
      <x:c r="F43" s="17" t="str">
        <x:v>Seek official gazetteer/planning/OSM named boundary; do not fabricate polygon.</x:v>
      </x:c>
      <x:c r="G43" s="17" t="str">
        <x:v>OPEN - retain evidence; no fabricated closure</x:v>
      </x:c>
    </x:row>
    <x:row r="44">
      <x:c r="A44" s="17" t="str">
        <x:v>S2023-044</x:v>
      </x:c>
      <x:c r="B44" s="17" t="str">
        <x:v>Jalan Sungai Chat</x:v>
      </x:c>
      <x:c r="C44" s="17" t="str">
        <x:v>ROAD</x:v>
      </x:c>
      <x:c r="D44" s="17" t="str">
        <x:v>POINT_REFERENCE; ROAD_SEGMENT_OPEN</x:v>
      </x:c>
      <x:c r="E44" s="17" t="str">
        <x:v>Event-valid road/subarea; exact flooded start/end segment not evidenced.</x:v>
      </x:c>
      <x:c r="F44" s="17" t="str">
        <x:v>Keep road segment OPEN unless start/end geometry is independently evidenced.</x:v>
      </x:c>
      <x:c r="G44" s="17" t="str">
        <x:v>OPEN - retain evidence; no fabricated closure</x:v>
      </x:c>
    </x:row>
    <x:row r="45">
      <x:c r="A45" s="17" t="str">
        <x:v>S2023-045</x:v>
      </x:c>
      <x:c r="B45" s="17" t="str">
        <x:v>Taman Abad</x:v>
      </x:c>
      <x:c r="C45" s="17" t="str">
        <x:v>COMMUNITY/AREA</x:v>
      </x:c>
      <x:c r="D45" s="17" t="str">
        <x:v>POINT_OPEN; POLYGON_OPEN</x:v>
      </x:c>
      <x:c r="E45" s="17" t="str">
        <x:v>Event identity is valid but no strict traceable point/boundary is frozen.</x:v>
      </x:c>
      <x:c r="F45" s="17" t="str">
        <x:v>Seek official gazetteer/planning/OSM named boundary; do not fabricate polygon.</x:v>
      </x:c>
      <x:c r="G45" s="17" t="str">
        <x:v>OPEN - retain evidence; no fabricated closure</x:v>
      </x:c>
    </x:row>
    <x:row r="46">
      <x:c r="A46" s="17" t="str">
        <x:v>S2023-046</x:v>
      </x:c>
      <x:c r="B46" s="17" t="str">
        <x:v>Tasek Merdeka</x:v>
      </x:c>
      <x:c r="C46" s="17" t="str">
        <x:v>COMMUNITY/AREA</x:v>
      </x:c>
      <x:c r="D46" s="17" t="str">
        <x:v>POINT_OPEN; POLYGON_OPEN</x:v>
      </x:c>
      <x:c r="E46" s="17" t="str">
        <x:v>Event identity is valid but no strict traceable point/boundary is frozen.</x:v>
      </x:c>
      <x:c r="F46" s="17" t="str">
        <x:v>Seek official gazetteer/planning/OSM named boundary; do not fabricate polygon.</x:v>
      </x:c>
      <x:c r="G46" s="17" t="str">
        <x:v>OPEN - retain evidence; no fabricated closure</x:v>
      </x:c>
    </x:row>
    <x:row r="47">
      <x:c r="A47" s="17" t="str">
        <x:v>S2023-047</x:v>
      </x:c>
      <x:c r="B47" s="17" t="str">
        <x:v>Jalan Rosmerah Utama</x:v>
      </x:c>
      <x:c r="C47" s="17" t="str">
        <x:v>ROAD</x:v>
      </x:c>
      <x:c r="D47" s="17" t="str">
        <x:v>ROAD_SEGMENT_OPEN</x:v>
      </x:c>
      <x:c r="E47" s="17" t="str">
        <x:v>Event-valid road/subarea; exact flooded start/end segment not evidenced.</x:v>
      </x:c>
      <x:c r="F47" s="17" t="str">
        <x:v>Keep road segment OPEN unless start/end geometry is independently evidenced.</x:v>
      </x:c>
      <x:c r="G47" s="17" t="str">
        <x:v>OPEN - retain evidence; no fabricated closure</x:v>
      </x:c>
    </x:row>
    <x:row r="48">
      <x:c r="A48" s="17" t="str">
        <x:v>S2023-048</x:v>
      </x:c>
      <x:c r="B48" s="17" t="str">
        <x:v>Jalan Setia 10, Setia Indah</x:v>
      </x:c>
      <x:c r="C48" s="17" t="str">
        <x:v>ROAD</x:v>
      </x:c>
      <x:c r="D48" s="17" t="str">
        <x:v>ROAD_SEGMENT_OPEN</x:v>
      </x:c>
      <x:c r="E48" s="17" t="str">
        <x:v>Event-valid road/subarea; exact flooded start/end segment not evidenced.</x:v>
      </x:c>
      <x:c r="F48" s="17" t="str">
        <x:v>Keep road segment OPEN unless start/end geometry is independently evidenced.</x:v>
      </x:c>
      <x:c r="G48" s="17" t="str">
        <x:v>OPEN - retain evidence; no fabricated closure</x:v>
      </x:c>
    </x:row>
    <x:row r="49">
      <x:c r="A49" s="17" t="str">
        <x:v>S2023-049</x:v>
      </x:c>
      <x:c r="B49" s="17" t="str">
        <x:v>Jalan Mutiara Emas Utama</x:v>
      </x:c>
      <x:c r="C49" s="17" t="str">
        <x:v>ROAD</x:v>
      </x:c>
      <x:c r="D49" s="17" t="str">
        <x:v>ROAD_SEGMENT_OPEN</x:v>
      </x:c>
      <x:c r="E49" s="17" t="str">
        <x:v>Event-valid road/subarea; exact flooded start/end segment not evidenced.</x:v>
      </x:c>
      <x:c r="F49" s="17" t="str">
        <x:v>Keep road segment OPEN unless start/end geometry is independently evidenced.</x:v>
      </x:c>
      <x:c r="G49" s="17" t="str">
        <x:v>OPEN - retain evidence; no fabricated closure</x:v>
      </x:c>
    </x:row>
    <x:row r="50">
      <x:c r="A50" s="17" t="str">
        <x:v>S2023-050</x:v>
      </x:c>
      <x:c r="B50" s="17" t="str">
        <x:v>Jalan Mohd Amin 7</x:v>
      </x:c>
      <x:c r="C50" s="17" t="str">
        <x:v>ROAD</x:v>
      </x:c>
      <x:c r="D50" s="17" t="str">
        <x:v>ROAD_SEGMENT_OPEN</x:v>
      </x:c>
      <x:c r="E50" s="17" t="str">
        <x:v>Event-valid road/subarea; exact flooded start/end segment not evidenced.</x:v>
      </x:c>
      <x:c r="F50" s="17" t="str">
        <x:v>Keep road segment OPEN unless start/end geometry is independently evidenced.</x:v>
      </x:c>
      <x:c r="G50" s="17" t="str">
        <x:v>OPEN - retain evidence; no fabricated closure</x:v>
      </x:c>
    </x:row>
    <x:row r="51">
      <x:c r="A51" s="17" t="str">
        <x:v>S2023-051</x:v>
      </x:c>
      <x:c r="B51" s="17" t="str">
        <x:v>Jalan Setia 11, Setia Indah</x:v>
      </x:c>
      <x:c r="C51" s="17" t="str">
        <x:v>ROAD</x:v>
      </x:c>
      <x:c r="D51" s="17" t="str">
        <x:v>ROAD_SEGMENT_OPEN</x:v>
      </x:c>
      <x:c r="E51" s="17" t="str">
        <x:v>Event-valid road/subarea; exact flooded start/end segment not evidenced.</x:v>
      </x:c>
      <x:c r="F51" s="17" t="str">
        <x:v>Keep road segment OPEN unless start/end geometry is independently evidenced.</x:v>
      </x:c>
      <x:c r="G51" s="17" t="str">
        <x:v>OPEN - retain evidence; no fabricated closure</x:v>
      </x:c>
    </x:row>
    <x:row r="52">
      <x:c r="A52" s="17" t="str">
        <x:v>S2023-052</x:v>
      </x:c>
      <x:c r="B52" s="17" t="str">
        <x:v>Jalan Harmonium 24</x:v>
      </x:c>
      <x:c r="C52" s="17" t="str">
        <x:v>ROAD</x:v>
      </x:c>
      <x:c r="D52" s="17" t="str">
        <x:v>ROAD_SEGMENT_OPEN</x:v>
      </x:c>
      <x:c r="E52" s="17" t="str">
        <x:v>Event-valid road/subarea; exact flooded start/end segment not evidenced.</x:v>
      </x:c>
      <x:c r="F52" s="17" t="str">
        <x:v>Keep road segment OPEN unless start/end geometry is independently evidenced.</x:v>
      </x:c>
      <x:c r="G52" s="17" t="str">
        <x:v>OPEN - retain evidence; no fabricated closure</x:v>
      </x:c>
    </x:row>
    <x:row r="53">
      <x:c r="A53" s="17" t="str">
        <x:v>S2023-053</x:v>
      </x:c>
      <x:c r="B53" s="17" t="str">
        <x:v>Jalan Datin Halimah near Taman Merdeka</x:v>
      </x:c>
      <x:c r="C53" s="17" t="str">
        <x:v>ROAD</x:v>
      </x:c>
      <x:c r="D53" s="17" t="str">
        <x:v>ROAD_SEGMENT_OPEN</x:v>
      </x:c>
      <x:c r="E53" s="17" t="str">
        <x:v>Event-valid road/subarea; exact flooded start/end segment not evidenced.</x:v>
      </x:c>
      <x:c r="F53" s="17" t="str">
        <x:v>Keep road segment OPEN unless start/end geometry is independently evidenced.</x:v>
      </x:c>
      <x:c r="G53" s="17" t="str">
        <x:v>OPEN - retain evidence; no fabricated closure</x:v>
      </x:c>
    </x:row>
    <x:row r="54">
      <x:c r="A54" s="17" t="str">
        <x:v>S2023-054</x:v>
      </x:c>
      <x:c r="B54" s="17" t="str">
        <x:v>Jalan Skudai</x:v>
      </x:c>
      <x:c r="C54" s="17" t="str">
        <x:v>ROAD</x:v>
      </x:c>
      <x:c r="D54" s="17" t="str">
        <x:v>ROAD_SEGMENT_OPEN</x:v>
      </x:c>
      <x:c r="E54" s="17" t="str">
        <x:v>Event-valid road/subarea; exact flooded start/end segment not evidenced.</x:v>
      </x:c>
      <x:c r="F54" s="17" t="str">
        <x:v>Keep road segment OPEN unless start/end geometry is independently evidenced.</x:v>
      </x:c>
      <x:c r="G54" s="17" t="str">
        <x:v>OPEN - retain evidence; no fabricated closure</x:v>
      </x:c>
    </x:row>
    <x:row r="55">
      <x:c r="A55" s="17" t="str">
        <x:v>S2023-055</x:v>
      </x:c>
      <x:c r="B55" s="17" t="str">
        <x:v>Jalan Tampoi</x:v>
      </x:c>
      <x:c r="C55" s="17" t="str">
        <x:v>ROAD</x:v>
      </x:c>
      <x:c r="D55" s="17" t="str">
        <x:v>ROAD_SEGMENT_OPEN</x:v>
      </x:c>
      <x:c r="E55" s="17" t="str">
        <x:v>Event-valid road/subarea; exact flooded start/end segment not evidenced.</x:v>
      </x:c>
      <x:c r="F55" s="17" t="str">
        <x:v>Keep road segment OPEN unless start/end geometry is independently evidenced.</x:v>
      </x:c>
      <x:c r="G55" s="17" t="str">
        <x:v>OPEN - retain evidence; no fabricated closure</x:v>
      </x:c>
    </x:row>
    <x:row r="56">
      <x:c r="A56" s="17" t="str">
        <x:v>S2023-056</x:v>
      </x:c>
      <x:c r="B56" s="17" t="str">
        <x:v>Kampung Ubi Baru</x:v>
      </x:c>
      <x:c r="C56" s="17" t="str">
        <x:v>COMMUNITY/AREA</x:v>
      </x:c>
      <x:c r="D56" s="17" t="str">
        <x:v>POINT_READY; POLYGON_OPEN</x:v>
      </x:c>
      <x:c r="E56" s="17" t="str">
        <x:v>Exact closed event/community analysis geometry not frozen.</x:v>
      </x:c>
      <x:c r="F56" s="17" t="str">
        <x:v>Seek official gazetteer/planning/OSM named boundary; do not fabricate polygon.</x:v>
      </x:c>
      <x:c r="G56" s="17" t="str">
        <x:v>OPEN - retain evidence; no fabricated closure</x:v>
      </x:c>
    </x:row>
    <x:row r="57">
      <x:c r="A57" s="17" t="str">
        <x:v>S2023-057</x:v>
      </x:c>
      <x:c r="B57" s="17" t="str">
        <x:v>Jalan Persiaran Molek Utama, Taman Molek</x:v>
      </x:c>
      <x:c r="C57" s="17" t="str">
        <x:v>ROAD</x:v>
      </x:c>
      <x:c r="D57" s="17" t="str">
        <x:v>ROAD_SEGMENT_OPEN</x:v>
      </x:c>
      <x:c r="E57" s="17" t="str">
        <x:v>Event-valid road/subarea; exact flooded start/end segment not evidenced.</x:v>
      </x:c>
      <x:c r="F57" s="17" t="str">
        <x:v>Keep road segment OPEN unless start/end geometry is independently evidenced.</x:v>
      </x:c>
      <x:c r="G57" s="17" t="str">
        <x:v>OPEN - retain evidence; no fabricated closure</x:v>
      </x:c>
    </x:row>
  </x:sheetData>
  <x:pageMargins left="0.7" right="0.7" top="0.75" bottom="0.75" header="0.3" footer="0.3"/>
</x:worksheet>
</file>

<file path=xl/worksheets/sheet24.xml><?xml version="1.0" encoding="utf-8"?>
<x:worksheet xmlns:x="http://schemas.openxmlformats.org/spreadsheetml/2006/main">
  <x:sheetFormatPr defaultRowHeight="15"/>
  <x:cols>
    <x:col min="1" max="1" width="45" hidden="0" customWidth="1"/>
    <x:col min="2" max="2" width="25" hidden="0" customWidth="1"/>
    <x:col min="3" max="3" width="14" hidden="0" customWidth="1"/>
    <x:col min="4" max="4" width="14" hidden="0" customWidth="1"/>
  </x:cols>
  <x:sheetData>
    <x:row r="1">
      <x:c r="A1" s="38" t="str">
        <x:v>Metric</x:v>
      </x:c>
      <x:c r="B1" s="38" t="str">
        <x:v>Formula / Value</x:v>
      </x:c>
      <x:c r="C1" s="38" t="str">
        <x:v>Expected</x:v>
      </x:c>
      <x:c r="D1" s="38" t="str">
        <x:v>Status</x:v>
      </x:c>
    </x:row>
    <x:row r="2">
      <x:c r="A2" s="9" t="str">
        <x:v>2023 event-location rows</x:v>
      </x:c>
      <x:c r="B2" s="9" t="n">
        <x:f>COUNTA('17_2023_Event_Master'!A2:A64)</x:f>
        <x:v>63</x:v>
      </x:c>
      <x:c r="C2" s="9" t="n">
        <x:v>63</x:v>
      </x:c>
      <x:c r="D2" s="9" t="str">
        <x:f>IF(B2=C2,"PASS","CHECK")</x:f>
        <x:v>PASS</x:v>
      </x:c>
    </x:row>
    <x:row r="3">
      <x:c r="A3" s="9" t="str">
        <x:v>2023 episode groups</x:v>
      </x:c>
      <x:c r="B3" s="9" t="n">
        <x:f>COUNTA('18_2023_Episodes'!A2:A9)</x:f>
        <x:v>8</x:v>
      </x:c>
      <x:c r="C3" s="9" t="n">
        <x:v>8</x:v>
      </x:c>
      <x:c r="D3" s="9" t="str">
        <x:f>IF(B3=C3,"PASS","CHECK")</x:f>
        <x:v>PASS</x:v>
      </x:c>
    </x:row>
    <x:row r="4">
      <x:c r="A4" s="9" t="str">
        <x:v>2023 unique spatial objects</x:v>
      </x:c>
      <x:c r="B4" s="9" t="n">
        <x:f>COUNTA('20_2023_Spatial_Resolution'!A2:A58)</x:f>
        <x:v>57</x:v>
      </x:c>
      <x:c r="C4" s="9" t="n">
        <x:v>57</x:v>
      </x:c>
      <x:c r="D4" s="9" t="str">
        <x:f>IF(B4=C4,"PASS","CHECK")</x:f>
        <x:v>PASS</x:v>
      </x:c>
    </x:row>
    <x:row r="5">
      <x:c r="A5" s="9" t="str">
        <x:v>Strict Point-GIS-ready objects</x:v>
      </x:c>
      <x:c r="B5" s="9" t="n">
        <x:f>SUMPRODUCT(--('20_2023_Spatial_Resolution'!D2:D58=TRUE))</x:f>
        <x:v>29</x:v>
      </x:c>
      <x:c r="C5" s="9" t="n">
        <x:v>29</x:v>
      </x:c>
      <x:c r="D5" s="9" t="str">
        <x:f>IF(B5=C5,"PASS","CHECK")</x:f>
        <x:v>PASS</x:v>
      </x:c>
    </x:row>
    <x:row r="6">
      <x:c r="A6" s="9" t="str">
        <x:v>Open spatial objects</x:v>
      </x:c>
      <x:c r="B6" s="9" t="n">
        <x:f>COUNTA('22_2023_Open_Objects'!A2:A57)</x:f>
        <x:v>56</x:v>
      </x:c>
      <x:c r="C6" s="9" t="n">
        <x:v>56</x:v>
      </x:c>
      <x:c r="D6" s="9" t="str">
        <x:f>IF(B6=C6,"PASS","CHECK")</x:f>
        <x:v>PASS</x:v>
      </x:c>
    </x:row>
    <x:row r="7">
      <x:c r="A7" s="9" t="str">
        <x:v>Unresolved/non-counted evidence rows</x:v>
      </x:c>
      <x:c r="B7" s="9" t="n">
        <x:f>COUNTA('21_2023_Unresolved_Candidates'!A2:A15)</x:f>
        <x:v>14</x:v>
      </x:c>
      <x:c r="C7" s="9" t="n">
        <x:v>14</x:v>
      </x:c>
      <x:c r="D7" s="9" t="str">
        <x:f>IF(B7=C7,"PASS","CHECK")</x:f>
        <x:v>PASS</x:v>
      </x:c>
    </x:row>
    <x:row r="8">
      <x:c r="A8" s="9" t="str">
        <x:v>Missing Spatial_Object_Key refs</x:v>
      </x:c>
      <x:c r="B8" s="9" t="n">
        <x:f>COUNTIF('17_2023_Event_Master'!E2:E64,"")</x:f>
        <x:v>0</x:v>
      </x:c>
      <x:c r="C8" s="9" t="n">
        <x:v>0</x:v>
      </x:c>
      <x:c r="D8" s="9" t="str">
        <x:f>IF(B8=C8,"PASS","CHECK")</x:f>
        <x:v>PASS</x:v>
      </x:c>
    </x:row>
    <x:row r="9">
      <x:c r="A9" s="9" t="str">
        <x:v>Cumulative event rows through 2023</x:v>
      </x:c>
      <x:c r="B9" s="9" t="n">
        <x:f>198+B2</x:f>
        <x:v>261</x:v>
      </x:c>
      <x:c r="C9" s="9" t="n">
        <x:v>261</x:v>
      </x:c>
      <x:c r="D9" s="9" t="str">
        <x:f>IF(B9=C9,"PASS","CHECK")</x:f>
        <x:v>PASS</x:v>
      </x:c>
    </x:row>
    <x:row r="10">
      <x:c r="A10" s="9" t="str">
        <x:v>2024 records included</x:v>
      </x:c>
      <x:c r="B10" s="9" t="n">
        <x:v>0</x:v>
      </x:c>
      <x:c r="C10" s="9" t="n">
        <x:v>0</x:v>
      </x:c>
      <x:c r="D10" s="9" t="str">
        <x:f>IF(B10=C10,"PASS","CHECK")</x:f>
        <x:v>PASS</x:v>
      </x:c>
    </x:row>
  </x:sheetData>
  <x:pageMargins left="0.7" right="0.7" top="0.75" bottom="0.75" header="0.3" footer="0.3"/>
</x:worksheet>
</file>

<file path=xl/worksheets/sheet25.xml><?xml version="1.0" encoding="utf-8"?>
<x:worksheet xmlns:x="http://schemas.openxmlformats.org/spreadsheetml/2006/main">
  <x:sheetFormatPr defaultRowHeight="15"/>
  <x:cols>
    <x:col min="1" max="1" width="31" hidden="0" customWidth="1"/>
    <x:col min="2" max="2" width="38" hidden="0" customWidth="1"/>
    <x:col min="3" max="3" width="18" hidden="0" customWidth="1"/>
    <x:col min="4" max="4" width="40" hidden="0" customWidth="1"/>
    <x:col min="5" max="5" width="28" hidden="0" customWidth="1"/>
    <x:col min="6" max="6" width="68" hidden="0" customWidth="1"/>
    <x:col min="7" max="7" width="62" hidden="0" customWidth="1"/>
  </x:cols>
  <x:sheetData>
    <x:row r="1">
      <x:c r="A1" s="40" t="str">
        <x:v>Polygon_ID</x:v>
      </x:c>
      <x:c r="B1" s="40" t="str">
        <x:v>Object_Name</x:v>
      </x:c>
      <x:c r="C1" s="40" t="str">
        <x:v>Closure_Status</x:v>
      </x:c>
      <x:c r="D1" s="40" t="str">
        <x:v>Geometry_Source</x:v>
      </x:c>
      <x:c r="E1" s="40" t="str">
        <x:v>2023_Event_Use</x:v>
      </x:c>
      <x:c r="F1" s="40" t="str">
        <x:v>Interpretation</x:v>
      </x:c>
      <x:c r="G1" s="40" t="str">
        <x:v>Source_URL_or_Lineage</x:v>
      </x:c>
    </x:row>
    <x:row r="2">
      <x:c r="A2" s="17" t="str">
        <x:v>PG2017-KG-KANGKAR-TEBRAU</x:v>
      </x:c>
      <x:c r="B2" s="17" t="str">
        <x:v>Kampung Kangkar Tebrau</x:v>
      </x:c>
      <x:c r="C2" s="17" t="str">
        <x:v>REUSED_CLOSED</x:v>
      </x:c>
      <x:c r="D2" s="17" t="str">
        <x:v>R005/R014 / OSM way 657910839</x:v>
      </x:c>
      <x:c r="E2" s="17" t="str">
        <x:v>2023-12-01; 2023-12-06</x:v>
      </x:c>
      <x:c r="F2" s="17" t="str">
        <x:v>Existing community analysis boundary only; NOT an observed inundation footprint.</x:v>
      </x:c>
      <x:c r="G2" s="17" t="str">
        <x:v>Carry forward from frozen lineage</x:v>
      </x:c>
    </x:row>
  </x:sheetData>
  <x:pageMargins left="0.7" right="0.7" top="0.75" bottom="0.75" header="0.3" footer="0.3"/>
</x:worksheet>
</file>

<file path=xl/worksheets/sheet26.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65" hidden="0" customWidth="1"/>
  </x:cols>
  <x:sheetData>
    <x:row r="1">
      <x:c r="A1" s="38" t="str">
        <x:v>Metric</x:v>
      </x:c>
      <x:c r="B1" s="38" t="str">
        <x:v>Formula / Value</x:v>
      </x:c>
      <x:c r="C1" s="38" t="str">
        <x:v>Expected</x:v>
      </x:c>
      <x:c r="D1" s="38" t="str">
        <x:v>Status</x:v>
      </x:c>
      <x:c r="E1" s="38" t="str">
        <x:v>Interpretation</x:v>
      </x:c>
    </x:row>
    <x:row r="2">
      <x:c r="A2" s="9" t="str">
        <x:v>2023 new closed polygons</x:v>
      </x:c>
      <x:c r="B2" s="9" t="n">
        <x:v>0</x:v>
      </x:c>
      <x:c r="C2" s="9" t="n">
        <x:v>0</x:v>
      </x:c>
      <x:c r="D2" s="9" t="str">
        <x:f>IF(B2=C2,"PASS","CHECK")</x:f>
        <x:v>PASS</x:v>
      </x:c>
      <x:c r="E2" s="9" t="str">
        <x:v>No exact new named closed geometry defensibly frozen.</x:v>
      </x:c>
    </x:row>
    <x:row r="3">
      <x:c r="A3" s="9" t="str">
        <x:v>2023 reused closed polygons</x:v>
      </x:c>
      <x:c r="B3" s="9" t="n">
        <x:f>COUNTA('24_2023_Polygon_Reuse'!A2:A2)</x:f>
        <x:v>1</x:v>
      </x:c>
      <x:c r="C3" s="9" t="n">
        <x:v>1</x:v>
      </x:c>
      <x:c r="D3" s="9" t="str">
        <x:f>IF(B3=C3,"PASS","CHECK")</x:f>
        <x:v>PASS</x:v>
      </x:c>
      <x:c r="E3" s="9" t="str">
        <x:v>Kampung Kangkar Tebrau only.</x:v>
      </x:c>
    </x:row>
    <x:row r="4">
      <x:c r="A4" s="9" t="str">
        <x:v>2023 directly usable closed analysis regions</x:v>
      </x:c>
      <x:c r="B4" s="9" t="n">
        <x:f>B2+B3</x:f>
        <x:v>1</x:v>
      </x:c>
      <x:c r="C4" s="9" t="n">
        <x:v>1</x:v>
      </x:c>
      <x:c r="D4" s="9" t="str">
        <x:f>IF(B4=C4,"PASS","CHECK")</x:f>
        <x:v>PASS</x:v>
      </x:c>
      <x:c r="E4" s="9" t="str">
        <x:v>Reuse only; no geometry duplication.</x:v>
      </x:c>
    </x:row>
    <x:row r="5">
      <x:c r="A5" s="9" t="str">
        <x:v>Cumulative Polygon_ID through 2023</x:v>
      </x:c>
      <x:c r="B5" s="9" t="n">
        <x:f>14+B2</x:f>
        <x:v>14</x:v>
      </x:c>
      <x:c r="C5" s="9" t="n">
        <x:v>14</x:v>
      </x:c>
      <x:c r="D5" s="9" t="str">
        <x:f>IF(B5=C5,"PASS","CHECK")</x:f>
        <x:v>PASS</x:v>
      </x:c>
      <x:c r="E5" s="9" t="str">
        <x:v>R016 total remains unchanged.</x:v>
      </x:c>
    </x:row>
    <x:row r="6">
      <x:c r="A6" s="9" t="str">
        <x:v>Cumulative closed polygon WKT lineage</x:v>
      </x:c>
      <x:c r="B6" s="9" t="n">
        <x:f>B5</x:f>
        <x:v>14</x:v>
      </x:c>
      <x:c r="C6" s="9" t="n">
        <x:v>14</x:v>
      </x:c>
      <x:c r="D6" s="9" t="str">
        <x:f>IF(B6=C6,"PASS","CHECK")</x:f>
        <x:v>PASS</x:v>
      </x:c>
      <x:c r="E6" s="9" t="str">
        <x:v>Existing formal lineage unchanged.</x:v>
      </x:c>
    </x:row>
    <x:row r="7">
      <x:c r="A7" s="9" t="str">
        <x:v>2023 event-location rows</x:v>
      </x:c>
      <x:c r="B7" s="9" t="n">
        <x:f>'23_QA_2023_Event_Spatial'!B2</x:f>
        <x:v>63</x:v>
      </x:c>
      <x:c r="C7" s="9" t="n">
        <x:v>63</x:v>
      </x:c>
      <x:c r="D7" s="9" t="str">
        <x:f>IF(B7=C7,"PASS","CHECK")</x:f>
        <x:v>PASS</x:v>
      </x:c>
      <x:c r="E7" s="9" t="str">
        <x:v>Exact dated rows only.</x:v>
      </x:c>
    </x:row>
    <x:row r="8">
      <x:c r="A8" s="9" t="str">
        <x:v>2023 episode groups</x:v>
      </x:c>
      <x:c r="B8" s="9" t="n">
        <x:f>'23_QA_2023_Event_Spatial'!B3</x:f>
        <x:v>8</x:v>
      </x:c>
      <x:c r="C8" s="9" t="n">
        <x:v>8</x:v>
      </x:c>
      <x:c r="D8" s="9" t="str">
        <x:f>IF(B8=C8,"PASS","CHECK")</x:f>
        <x:v>PASS</x:v>
      </x:c>
      <x:c r="E8" s="9" t="str">
        <x:v>Eight dated/date-anchored groups.</x:v>
      </x:c>
    </x:row>
    <x:row r="9">
      <x:c r="A9" s="9" t="str">
        <x:v>Cumulative event rows through 2023</x:v>
      </x:c>
      <x:c r="B9" s="9" t="n">
        <x:f>'23_QA_2023_Event_Spatial'!B9</x:f>
        <x:v>261</x:v>
      </x:c>
      <x:c r="C9" s="9" t="n">
        <x:v>261</x:v>
      </x:c>
      <x:c r="D9" s="9" t="str">
        <x:f>IF(B9=C9,"PASS","CHECK")</x:f>
        <x:v>PASS</x:v>
      </x:c>
      <x:c r="E9" s="9" t="str">
        <x:v>R016 198 + 2023 exact rows.</x:v>
      </x:c>
    </x:row>
    <x:row r="10">
      <x:c r="A10" s="9" t="str">
        <x:v>Formula errors in 2023 QA</x:v>
      </x:c>
      <x:c r="B10" s="9" t="n">
        <x:v>0</x:v>
      </x:c>
      <x:c r="C10" s="9" t="n">
        <x:v>0</x:v>
      </x:c>
      <x:c r="D10" s="9" t="str">
        <x:f>IF(B10=C10,"PASS","CHECK")</x:f>
        <x:v>PASS</x:v>
      </x:c>
      <x:c r="E10" s="9" t="str">
        <x:v>Checked after workbook build.</x:v>
      </x:c>
    </x:row>
    <x:row r="11">
      <x:c r="A11" s="9" t="str">
        <x:v>2024 records included</x:v>
      </x:c>
      <x:c r="B11" s="9" t="n">
        <x:v>0</x:v>
      </x:c>
      <x:c r="C11" s="9" t="n">
        <x:v>0</x:v>
      </x:c>
      <x:c r="D11" s="9" t="str">
        <x:f>IF(B11=C11,"PASS","CHECK")</x:f>
        <x:v>PASS</x:v>
      </x:c>
      <x:c r="E11" s="9" t="str">
        <x:v>Hard stop after 2023.</x:v>
      </x:c>
    </x:row>
  </x:sheetData>
  <x:pageMargins left="0.7" right="0.7" top="0.75" bottom="0.75" header="0.3" footer="0.3"/>
</x:worksheet>
</file>

<file path=xl/worksheets/sheet27.xml><?xml version="1.0" encoding="utf-8"?>
<x:worksheet xmlns:x="http://schemas.openxmlformats.org/spreadsheetml/2006/main">
  <x:sheetFormatPr defaultRowHeight="15"/>
  <x:cols>
    <x:col min="1" max="1" width="20" hidden="0" customWidth="1"/>
    <x:col min="2" max="2" width="13" hidden="0" customWidth="1"/>
    <x:col min="3" max="3" width="28" hidden="0" customWidth="1"/>
    <x:col min="4" max="4" width="45" hidden="0" customWidth="1"/>
    <x:col min="5" max="5" width="16" hidden="0" customWidth="1"/>
    <x:col min="6" max="6" width="46" hidden="0" customWidth="1"/>
    <x:col min="7" max="7" width="34" hidden="0" customWidth="1"/>
    <x:col min="8" max="8" width="13" hidden="0" customWidth="1"/>
    <x:col min="9" max="9" width="31" hidden="0" customWidth="1"/>
    <x:col min="10" max="10" width="31" hidden="0" customWidth="1"/>
    <x:col min="11" max="11" width="42" hidden="0" customWidth="1"/>
    <x:col min="12" max="12" width="72" hidden="0" customWidth="1"/>
  </x:cols>
  <x:sheetData>
    <x:row r="1">
      <x:c r="A1" s="47" t="str">
        <x:v>Event_ID</x:v>
      </x:c>
      <x:c r="B1" s="47" t="str">
        <x:v>Event_Date</x:v>
      </x:c>
      <x:c r="C1" s="47" t="str">
        <x:v>Dedup_Group_ID</x:v>
      </x:c>
      <x:c r="D1" s="47" t="str">
        <x:v>Source_Location_Label</x:v>
      </x:c>
      <x:c r="E1" s="47" t="str">
        <x:v>Spatial_Object_Key</x:v>
      </x:c>
      <x:c r="F1" s="47" t="str">
        <x:v>Canonical_Spatial_Object</x:v>
      </x:c>
      <x:c r="G1" s="47" t="str">
        <x:v>Event_Type</x:v>
      </x:c>
      <x:c r="H1" s="47" t="str">
        <x:v>Evidence_Tier</x:v>
      </x:c>
      <x:c r="I1" s="47" t="str">
        <x:v>Primary_Source_ID</x:v>
      </x:c>
      <x:c r="J1" s="47" t="str">
        <x:v>Secondary_Source_ID</x:v>
      </x:c>
      <x:c r="K1" s="47" t="str">
        <x:v>Date_Precision</x:v>
      </x:c>
      <x:c r="L1" s="47" t="str">
        <x:v>Notes</x:v>
      </x:c>
    </x:row>
    <x:row r="2">
      <x:c r="A2" s="17" t="str">
        <x:v>EVT-JB-2024-001</x:v>
      </x:c>
      <x:c r="B2" s="17" t="str">
        <x:v>2024-01-04</x:v>
      </x:c>
      <x:c r="C2" s="17" t="str">
        <x:v>DG-JB-20240104-20240113</x:v>
      </x:c>
      <x:c r="D2" s="17" t="str">
        <x:v>Kampung Sentosa Damai 3</x:v>
      </x:c>
      <x:c r="E2" s="17" t="str">
        <x:v>S2024-001</x:v>
      </x:c>
      <x:c r="F2" s="17" t="str">
        <x:v>Kampung Sentosa Damai</x:v>
      </x:c>
      <x:c r="G2" s="17" t="str">
        <x:v>Monsoon flood / residential inundation</x:v>
      </x:c>
      <x:c r="H2" s="17" t="str">
        <x:v>B</x:v>
      </x:c>
      <x:c r="I2" s="17" t="str">
        <x:v>SRC_R2024_SINAR_20240104</x:v>
      </x:c>
      <x:c r="J2" s="17" t="str">
        <x:v>SRC_R2024_SINAR_20240105</x:v>
      </x:c>
      <x:c r="K2" s="17" t="str">
        <x:v>Exact day within continuing 4–13 Jan episode</x:v>
      </x:c>
      <x:c r="L2" s="17" t="str">
        <x:v>Victims from Kampung Sentosa Damai were explicitly described as flood victims.</x:v>
      </x:c>
    </x:row>
    <x:row r="3">
      <x:c r="A3" s="17" t="str">
        <x:v>EVT-JB-2024-002</x:v>
      </x:c>
      <x:c r="B3" s="17" t="str">
        <x:v>2024-01-04</x:v>
      </x:c>
      <x:c r="C3" s="17" t="str">
        <x:v>DG-JB-20240104-20240113</x:v>
      </x:c>
      <x:c r="D3" s="17" t="str">
        <x:v>Kampung Paya</x:v>
      </x:c>
      <x:c r="E3" s="17" t="str">
        <x:v>S2024-002</x:v>
      </x:c>
      <x:c r="F3" s="17" t="str">
        <x:v>Kampung Paya (Sungai Tiram/Nam Heng context)</x:v>
      </x:c>
      <x:c r="G3" s="17" t="str">
        <x:v>Monsoon flood / residential inundation</x:v>
      </x:c>
      <x:c r="H3" s="17" t="str">
        <x:v>B</x:v>
      </x:c>
      <x:c r="I3" s="17" t="str">
        <x:v>SRC_R2024_SINAR_20240106</x:v>
      </x:c>
      <x:c r="J3" s="17" t="str"/>
      <x:c r="K3" s="17" t="str">
        <x:v>Event began 4 Jan; source published 6 Jan and states flooding since Thursday</x:v>
      </x:c>
      <x:c r="L3" s="17" t="str">
        <x:v>Exact Johor Bahru/Sungai Tiram-area identity retained; no unrelated same-name geocode is used.</x:v>
      </x:c>
    </x:row>
    <x:row r="4">
      <x:c r="A4" s="17" t="str">
        <x:v>EVT-JB-2024-003</x:v>
      </x:c>
      <x:c r="B4" s="17" t="str">
        <x:v>2024-01-04</x:v>
      </x:c>
      <x:c r="C4" s="17" t="str">
        <x:v>DG-JB-20240104-20240113</x:v>
      </x:c>
      <x:c r="D4" s="17" t="str">
        <x:v>Kampung Sungai Serai</x:v>
      </x:c>
      <x:c r="E4" s="17" t="str">
        <x:v>S2024-003</x:v>
      </x:c>
      <x:c r="F4" s="17" t="str">
        <x:v>Kampung Sungai Serai</x:v>
      </x:c>
      <x:c r="G4" s="17" t="str">
        <x:v>Monsoon flood / residential inundation</x:v>
      </x:c>
      <x:c r="H4" s="17" t="str">
        <x:v>B</x:v>
      </x:c>
      <x:c r="I4" s="17" t="str">
        <x:v>SRC_R2024_SINAR_20240106</x:v>
      </x:c>
      <x:c r="J4" s="17" t="str"/>
      <x:c r="K4" s="17" t="str">
        <x:v>Event began 4 Jan; source published 6 Jan and states flooding since Thursday</x:v>
      </x:c>
      <x:c r="L4" s="17" t="str">
        <x:v>Exact Johor Bahru/Sungai Tiram-area identity retained; no unrelated same-name geocode is used.</x:v>
      </x:c>
    </x:row>
    <x:row r="5">
      <x:c r="A5" s="17" t="str">
        <x:v>EVT-JB-2024-004</x:v>
      </x:c>
      <x:c r="B5" s="17" t="str">
        <x:v>2024-01-07</x:v>
      </x:c>
      <x:c r="C5" s="17" t="str">
        <x:v>DG-JB-20240104-20240113</x:v>
      </x:c>
      <x:c r="D5" s="17" t="str">
        <x:v>Batu 10</x:v>
      </x:c>
      <x:c r="E5" s="17" t="str">
        <x:v>S2024-004</x:v>
      </x:c>
      <x:c r="F5" s="17" t="str">
        <x:v>Batu 10, Sungai Tiram context</x:v>
      </x:c>
      <x:c r="G5" s="17" t="str">
        <x:v>Monsoon flood / flood impact</x:v>
      </x:c>
      <x:c r="H5" s="17" t="str">
        <x:v>A/B</x:v>
      </x:c>
      <x:c r="I5" s="17" t="str">
        <x:v>SRC_R2024_BERNAMA_20240107</x:v>
      </x:c>
      <x:c r="J5" s="17" t="str"/>
      <x:c r="K5" s="17" t="str">
        <x:v>Exact day within continuing 4–13 Jan episode</x:v>
      </x:c>
      <x:c r="L5" s="17" t="str">
        <x:v>Road-chainage/locality label; do not merge with Batu 10 Kampung Laut, Skudai.</x:v>
      </x:c>
    </x:row>
    <x:row r="6">
      <x:c r="A6" s="17" t="str">
        <x:v>EVT-JB-2024-005</x:v>
      </x:c>
      <x:c r="B6" s="17" t="str">
        <x:v>2024-01-07</x:v>
      </x:c>
      <x:c r="C6" s="17" t="str">
        <x:v>DG-JB-20240104-20240113</x:v>
      </x:c>
      <x:c r="D6" s="17" t="str">
        <x:v>Lorong Mak Piah</x:v>
      </x:c>
      <x:c r="E6" s="17" t="str">
        <x:v>S2024-005</x:v>
      </x:c>
      <x:c r="F6" s="17" t="str">
        <x:v>Lorong Mak Piah, Kampung Sungai Tiram</x:v>
      </x:c>
      <x:c r="G6" s="17" t="str">
        <x:v>Monsoon flood / flood impact</x:v>
      </x:c>
      <x:c r="H6" s="17" t="str">
        <x:v>A/B</x:v>
      </x:c>
      <x:c r="I6" s="17" t="str">
        <x:v>SRC_R2024_BERNAMA_20240107</x:v>
      </x:c>
      <x:c r="J6" s="17" t="str"/>
      <x:c r="K6" s="17" t="str">
        <x:v>Exact day within continuing 4–13 Jan episode</x:v>
      </x:c>
      <x:c r="L6" s="17" t="str"/>
    </x:row>
    <x:row r="7">
      <x:c r="A7" s="17" t="str">
        <x:v>EVT-JB-2024-006</x:v>
      </x:c>
      <x:c r="B7" s="17" t="str">
        <x:v>2024-01-07</x:v>
      </x:c>
      <x:c r="C7" s="17" t="str">
        <x:v>DG-JB-20240104-20240113</x:v>
      </x:c>
      <x:c r="D7" s="17" t="str">
        <x:v>Simpang Ladang Mados</x:v>
      </x:c>
      <x:c r="E7" s="17" t="str">
        <x:v>S2024-006</x:v>
      </x:c>
      <x:c r="F7" s="17" t="str">
        <x:v>Simpang Ladang Mados</x:v>
      </x:c>
      <x:c r="G7" s="17" t="str">
        <x:v>Monsoon flood / flood impact</x:v>
      </x:c>
      <x:c r="H7" s="17" t="str">
        <x:v>A/B</x:v>
      </x:c>
      <x:c r="I7" s="17" t="str">
        <x:v>SRC_R2024_BERNAMA_20240107</x:v>
      </x:c>
      <x:c r="J7" s="17" t="str"/>
      <x:c r="K7" s="17" t="str">
        <x:v>Exact day within continuing 4–13 Jan episode</x:v>
      </x:c>
      <x:c r="L7" s="17" t="str"/>
    </x:row>
    <x:row r="8">
      <x:c r="A8" s="17" t="str">
        <x:v>EVT-JB-2024-007</x:v>
      </x:c>
      <x:c r="B8" s="17" t="str">
        <x:v>2024-01-07</x:v>
      </x:c>
      <x:c r="C8" s="17" t="str">
        <x:v>DG-JB-20240104-20240113</x:v>
      </x:c>
      <x:c r="D8" s="17" t="str">
        <x:v>Kampung Bukit Dagang</x:v>
      </x:c>
      <x:c r="E8" s="17" t="str">
        <x:v>S2024-007</x:v>
      </x:c>
      <x:c r="F8" s="17" t="str">
        <x:v>Kampung Bukit Dagang</x:v>
      </x:c>
      <x:c r="G8" s="17" t="str">
        <x:v>Monsoon flood / flood impact</x:v>
      </x:c>
      <x:c r="H8" s="17" t="str">
        <x:v>A/B</x:v>
      </x:c>
      <x:c r="I8" s="17" t="str">
        <x:v>SRC_R2024_MMAIL_20240107</x:v>
      </x:c>
      <x:c r="J8" s="17" t="str">
        <x:v>SRC_R2024_BERNAMA_20240108</x:v>
      </x:c>
      <x:c r="K8" s="17" t="str">
        <x:v>Exact day within continuing 4–13 Jan episode</x:v>
      </x:c>
      <x:c r="L8" s="17" t="str">
        <x:v>Four of about 60 houses were reported affected; access road was flooded.</x:v>
      </x:c>
    </x:row>
    <x:row r="9">
      <x:c r="A9" s="17" t="str">
        <x:v>EVT-JB-2024-008</x:v>
      </x:c>
      <x:c r="B9" s="17" t="str">
        <x:v>2024-01-07</x:v>
      </x:c>
      <x:c r="C9" s="17" t="str">
        <x:v>DG-JB-20240104-20240113</x:v>
      </x:c>
      <x:c r="D9" s="17" t="str">
        <x:v>Kampung Batu 20</x:v>
      </x:c>
      <x:c r="E9" s="17" t="str">
        <x:v>S2024-008</x:v>
      </x:c>
      <x:c r="F9" s="17" t="str">
        <x:v>Kampung Batu 20, Sungai Tiram</x:v>
      </x:c>
      <x:c r="G9" s="17" t="str">
        <x:v>Monsoon flood / flood impact</x:v>
      </x:c>
      <x:c r="H9" s="17" t="str">
        <x:v>A/B</x:v>
      </x:c>
      <x:c r="I9" s="17" t="str">
        <x:v>SRC_R2024_BERNAMA_20240108</x:v>
      </x:c>
      <x:c r="J9" s="17" t="str"/>
      <x:c r="K9" s="17" t="str">
        <x:v>Exact day within continuing 4–13 Jan episode</x:v>
      </x:c>
      <x:c r="L9" s="17" t="str">
        <x:v>Bernama photo/report evidence; kept separate from source label Batu 10.</x:v>
      </x:c>
    </x:row>
    <x:row r="10">
      <x:c r="A10" s="17" t="str">
        <x:v>EVT-JB-2024-009</x:v>
      </x:c>
      <x:c r="B10" s="17" t="str">
        <x:v>2024-01-07</x:v>
      </x:c>
      <x:c r="C10" s="17" t="str">
        <x:v>DG-JB-20240104-20240113</x:v>
      </x:c>
      <x:c r="D10" s="17" t="str">
        <x:v>Kampung Maju Jaya</x:v>
      </x:c>
      <x:c r="E10" s="17" t="str">
        <x:v>S2024-009</x:v>
      </x:c>
      <x:c r="F10" s="17" t="str">
        <x:v>Kampung Maju Jaya</x:v>
      </x:c>
      <x:c r="G10" s="17" t="str">
        <x:v>Monsoon flood / flood impact</x:v>
      </x:c>
      <x:c r="H10" s="17" t="str">
        <x:v>A/B</x:v>
      </x:c>
      <x:c r="I10" s="17" t="str">
        <x:v>SRC_R2024_SINAR_20240107_MAJU</x:v>
      </x:c>
      <x:c r="J10" s="17" t="str">
        <x:v>SRC_R2024_UTUSAN_20240109</x:v>
      </x:c>
      <x:c r="K10" s="17" t="str">
        <x:v>Exact day within continuing 4–13 Jan episode</x:v>
      </x:c>
      <x:c r="L10" s="17" t="str">
        <x:v>Community flooding independently corroborated by school/community reports.</x:v>
      </x:c>
    </x:row>
    <x:row r="11">
      <x:c r="A11" s="17" t="str">
        <x:v>EVT-JB-2024-010</x:v>
      </x:c>
      <x:c r="B11" s="17" t="str">
        <x:v>2024-01-07</x:v>
      </x:c>
      <x:c r="C11" s="17" t="str">
        <x:v>DG-JB-20240104-20240113</x:v>
      </x:c>
      <x:c r="D11" s="17" t="str">
        <x:v>SK Kampung Maju Jaya</x:v>
      </x:c>
      <x:c r="E11" s="17" t="str">
        <x:v>S2024-010</x:v>
      </x:c>
      <x:c r="F11" s="17" t="str">
        <x:v>SK Kampung Maju Jaya</x:v>
      </x:c>
      <x:c r="G11" s="17" t="str">
        <x:v>Monsoon flood / flood impact</x:v>
      </x:c>
      <x:c r="H11" s="17" t="str">
        <x:v>A/B</x:v>
      </x:c>
      <x:c r="I11" s="17" t="str">
        <x:v>SRC_R2024_SINAR_20240107_MAJU</x:v>
      </x:c>
      <x:c r="J11" s="17" t="str">
        <x:v>SRC_R2024_RTM_20240108_SCHOOLS</x:v>
      </x:c>
      <x:c r="K11" s="17" t="str">
        <x:v>Exact day within continuing 4–13 Jan episode</x:v>
      </x:c>
      <x:c r="L11" s="17" t="str">
        <x:v>Critical facility/school impact retained separately from parent community.</x:v>
      </x:c>
    </x:row>
    <x:row r="12">
      <x:c r="A12" s="17" t="str">
        <x:v>EVT-JB-2024-011</x:v>
      </x:c>
      <x:c r="B12" s="17" t="str">
        <x:v>2024-01-07</x:v>
      </x:c>
      <x:c r="C12" s="17" t="str">
        <x:v>DG-JB-20240104-20240113</x:v>
      </x:c>
      <x:c r="D12" s="17" t="str">
        <x:v>SK Bukit Mutiara</x:v>
      </x:c>
      <x:c r="E12" s="17" t="str">
        <x:v>S2024-011</x:v>
      </x:c>
      <x:c r="F12" s="17" t="str">
        <x:v>SK Bukit Mutiara</x:v>
      </x:c>
      <x:c r="G12" s="17" t="str">
        <x:v>Monsoon flood / flood impact</x:v>
      </x:c>
      <x:c r="H12" s="17" t="str">
        <x:v>A/B</x:v>
      </x:c>
      <x:c r="I12" s="17" t="str">
        <x:v>SRC_R2024_RTM_20240108_SCHOOLS</x:v>
      </x:c>
      <x:c r="J12" s="17" t="str"/>
      <x:c r="K12" s="17" t="str">
        <x:v>Exact day within continuing 4–13 Jan episode</x:v>
      </x:c>
      <x:c r="L12" s="17" t="str">
        <x:v>School explicitly closed because of flood.</x:v>
      </x:c>
    </x:row>
    <x:row r="13">
      <x:c r="A13" s="17" t="str">
        <x:v>EVT-JB-2024-012</x:v>
      </x:c>
      <x:c r="B13" s="17" t="str">
        <x:v>2024-01-07</x:v>
      </x:c>
      <x:c r="C13" s="17" t="str">
        <x:v>DG-JB-20240104-20240113</x:v>
      </x:c>
      <x:c r="D13" s="17" t="str">
        <x:v>SK Sungai Tiram</x:v>
      </x:c>
      <x:c r="E13" s="17" t="str">
        <x:v>S2024-012</x:v>
      </x:c>
      <x:c r="F13" s="17" t="str">
        <x:v>SK Sungai Tiram</x:v>
      </x:c>
      <x:c r="G13" s="17" t="str">
        <x:v>Monsoon flood / flood impact</x:v>
      </x:c>
      <x:c r="H13" s="17" t="str">
        <x:v>A/B</x:v>
      </x:c>
      <x:c r="I13" s="17" t="str">
        <x:v>SRC_R2024_RTM_20240108_SCHOOLS</x:v>
      </x:c>
      <x:c r="J13" s="17" t="str"/>
      <x:c r="K13" s="17" t="str">
        <x:v>Exact day within continuing 4–13 Jan episode</x:v>
      </x:c>
      <x:c r="L13" s="17" t="str">
        <x:v>School explicitly closed because of flood.</x:v>
      </x:c>
    </x:row>
    <x:row r="14">
      <x:c r="A14" s="17" t="str">
        <x:v>EVT-JB-2024-013</x:v>
      </x:c>
      <x:c r="B14" s="17" t="str">
        <x:v>2024-01-09</x:v>
      </x:c>
      <x:c r="C14" s="17" t="str">
        <x:v>DG-JB-20240104-20240113</x:v>
      </x:c>
      <x:c r="D14" s="17" t="str">
        <x:v>Jalan Kangkar Tebrau</x:v>
      </x:c>
      <x:c r="E14" s="17" t="str">
        <x:v>S2024-013</x:v>
      </x:c>
      <x:c r="F14" s="17" t="str">
        <x:v>Jalan Kangkar Tebrau</x:v>
      </x:c>
      <x:c r="G14" s="17" t="str">
        <x:v>Flooded road / road closure</x:v>
      </x:c>
      <x:c r="H14" s="17" t="str">
        <x:v>A/B</x:v>
      </x:c>
      <x:c r="I14" s="17" t="str">
        <x:v>SRC_R2024_RTM_20240109</x:v>
      </x:c>
      <x:c r="J14" s="17" t="str"/>
      <x:c r="K14" s="17" t="str">
        <x:v>Exact day within continuing 4–13 Jan episode</x:v>
      </x:c>
      <x:c r="L14" s="17" t="str">
        <x:v>Road was reported closed to all vehicles; exact flooded start/end segment remains unresolved.</x:v>
      </x:c>
    </x:row>
    <x:row r="15">
      <x:c r="A15" s="17" t="str">
        <x:v>EVT-JB-2024-014</x:v>
      </x:c>
      <x:c r="B15" s="17" t="str">
        <x:v>2024-01-11</x:v>
      </x:c>
      <x:c r="C15" s="17" t="str">
        <x:v>DG-JB-20240104-20240113</x:v>
      </x:c>
      <x:c r="D15" s="17" t="str">
        <x:v>Setia Indah</x:v>
      </x:c>
      <x:c r="E15" s="17" t="str">
        <x:v>S2024-014</x:v>
      </x:c>
      <x:c r="F15" s="17" t="str">
        <x:v>Taman Setia Indah</x:v>
      </x:c>
      <x:c r="G15" s="17" t="str">
        <x:v>Flood-related service disruption</x:v>
      </x:c>
      <x:c r="H15" s="17" t="str">
        <x:v>A</x:v>
      </x:c>
      <x:c r="I15" s="17" t="str">
        <x:v>SRC_R2024_NADMA_20240111</x:v>
      </x:c>
      <x:c r="J15" s="17" t="str"/>
      <x:c r="K15" s="17" t="str">
        <x:v>Exact SITREP date within continuing 4–13 Jan episode</x:v>
      </x:c>
      <x:c r="L15" s="17" t="str">
        <x:v>NADMA lists Setia Indah under Johor Bahru areas where electricity supply was disconnected due to flood; treated as flood-affected context, not direct water-depth observation.</x:v>
      </x:c>
    </x:row>
    <x:row r="16">
      <x:c r="A16" s="17" t="str">
        <x:v>EVT-JB-2024-015</x:v>
      </x:c>
      <x:c r="B16" s="17" t="str">
        <x:v>2024-01-24</x:v>
      </x:c>
      <x:c r="C16" s="17" t="str">
        <x:v>DG-JB-20240124</x:v>
      </x:c>
      <x:c r="D16" s="17" t="str">
        <x:v>Kuil Sri Muniswarar Maha Mariamman, Kampung Kangkar Tebrau Kiri</x:v>
      </x:c>
      <x:c r="E16" s="17" t="str">
        <x:v>S2024-015</x:v>
      </x:c>
      <x:c r="F16" s="17" t="str">
        <x:v>Kuil Sri Muniswarar Maha Mariamman, Kampung Kangkar Tebrau Kiri</x:v>
      </x:c>
      <x:c r="G16" s="17" t="str">
        <x:v>Flash flood / critical facility impact</x:v>
      </x:c>
      <x:c r="H16" s="17" t="str">
        <x:v>B</x:v>
      </x:c>
      <x:c r="I16" s="17" t="str">
        <x:v>SRC_R2024_AWANI_20240125</x:v>
      </x:c>
      <x:c r="J16" s="17" t="str"/>
      <x:c r="K16" s="17" t="str">
        <x:v>Exact day inferred from report published 25 Jan stating incident occurred Wednesday night</x:v>
      </x:c>
      <x:c r="L16" s="17" t="str">
        <x:v>17 people trapped; water reported up to about 3 m. Parent community polygon is not substituted for the temple flood footprint.</x:v>
      </x:c>
    </x:row>
  </x:sheetData>
  <x:pageMargins left="0.7" right="0.7" top="0.75" bottom="0.75" header="0.3" footer="0.3"/>
</x:worksheet>
</file>

<file path=xl/worksheets/sheet28.xml><?xml version="1.0" encoding="utf-8"?>
<x:worksheet xmlns:x="http://schemas.openxmlformats.org/spreadsheetml/2006/main">
  <x:sheetFormatPr defaultRowHeight="15"/>
  <x:cols>
    <x:col min="1" max="1" width="28" hidden="0" customWidth="1"/>
    <x:col min="2" max="2" width="24" hidden="0" customWidth="1"/>
    <x:col min="3" max="3" width="28" hidden="0" customWidth="1"/>
    <x:col min="4" max="4" width="20" hidden="0" customWidth="1"/>
    <x:col min="5" max="5" width="86" hidden="0" customWidth="1"/>
  </x:cols>
  <x:sheetData>
    <x:row r="1">
      <x:c r="A1" s="47" t="str">
        <x:v>Dedup_Group_ID</x:v>
      </x:c>
      <x:c r="B1" s="47" t="str">
        <x:v>Episode_Date_or_Range</x:v>
      </x:c>
      <x:c r="C1" s="47" t="str">
        <x:v>Event_Type</x:v>
      </x:c>
      <x:c r="D1" s="47" t="str">
        <x:v>Event_Location_Rows</x:v>
      </x:c>
      <x:c r="E1" s="47" t="str">
        <x:v>Episode_Note</x:v>
      </x:c>
    </x:row>
    <x:row r="2">
      <x:c r="A2" s="17" t="str">
        <x:v>DG-JB-20240104-20240113</x:v>
      </x:c>
      <x:c r="B2" s="17" t="str">
        <x:v>2024-01-04 to 2024-01-13</x:v>
      </x:c>
      <x:c r="C2" s="17" t="str">
        <x:v>Continuous monsoon flood</x:v>
      </x:c>
      <x:c r="D2" s="17" t="n">
        <x:v>14</x:v>
      </x:c>
      <x:c r="E2" s="17" t="str">
        <x:v>One prolonged Johor Bahru flood episode. Later 7–11 Jan location evidence is kept in the same Dedup_Group_ID to avoid double-counting the same monsoon event.</x:v>
      </x:c>
    </x:row>
    <x:row r="3">
      <x:c r="A3" s="17" t="str">
        <x:v>DG-JB-20240124</x:v>
      </x:c>
      <x:c r="B3" s="17" t="str">
        <x:v>2024-01-24</x:v>
      </x:c>
      <x:c r="C3" s="17" t="str">
        <x:v>Flash flood</x:v>
      </x:c>
      <x:c r="D3" s="17" t="n">
        <x:v>1</x:v>
      </x:c>
      <x:c r="E3" s="17" t="str">
        <x:v>Kuil Sri Muniswarar Maha Mariamman at Kampung Kangkar Tebrau Kiri; distinct post-monsoon-event flash flood.</x:v>
      </x:c>
    </x:row>
  </x:sheetData>
  <x:pageMargins left="0.7" right="0.7" top="0.75" bottom="0.75" header="0.3" footer="0.3"/>
</x:worksheet>
</file>

<file path=xl/worksheets/sheet29.xml><?xml version="1.0" encoding="utf-8"?>
<x:worksheet xmlns:x="http://schemas.openxmlformats.org/spreadsheetml/2006/main">
  <x:sheetFormatPr defaultRowHeight="15"/>
  <x:cols>
    <x:col min="1" max="1" width="32" hidden="0" customWidth="1"/>
    <x:col min="2" max="2" width="54" hidden="0" customWidth="1"/>
    <x:col min="3" max="3" width="35" hidden="0" customWidth="1"/>
    <x:col min="4" max="4" width="17" hidden="0" customWidth="1"/>
    <x:col min="5" max="5" width="16" hidden="0" customWidth="1"/>
    <x:col min="6" max="6" width="30" hidden="0" customWidth="1"/>
    <x:col min="7" max="7" width="70" hidden="0" customWidth="1"/>
    <x:col min="8" max="8" width="78" hidden="0" customWidth="1"/>
  </x:cols>
  <x:sheetData>
    <x:row r="1">
      <x:c r="A1" s="47" t="str">
        <x:v>Source_ID</x:v>
      </x:c>
      <x:c r="B1" s="47" t="str">
        <x:v>Source_Title</x:v>
      </x:c>
      <x:c r="C1" s="47" t="str">
        <x:v>Publisher</x:v>
      </x:c>
      <x:c r="D1" s="47" t="str">
        <x:v>Publication_Date</x:v>
      </x:c>
      <x:c r="E1" s="47" t="str">
        <x:v>Reliability_Tier</x:v>
      </x:c>
      <x:c r="F1" s="47" t="str">
        <x:v>Use</x:v>
      </x:c>
      <x:c r="G1" s="47" t="str">
        <x:v>Source_URL</x:v>
      </x:c>
      <x:c r="H1" s="47" t="str">
        <x:v>Evidence_Note</x:v>
      </x:c>
    </x:row>
    <x:row r="2">
      <x:c r="A2" s="17" t="str">
        <x:v>SRC_R2024_SINAR_20240104</x:v>
      </x:c>
      <x:c r="B2" s="17" t="str">
        <x:v>Mangsa banjir Johor meningkat kepada 1,024</x:v>
      </x:c>
      <x:c r="C2" s="17" t="str">
        <x:v>Sinar Harian / JPBN</x:v>
      </x:c>
      <x:c r="D2" s="17" t="str">
        <x:v>2024-01-04</x:v>
      </x:c>
      <x:c r="E2" s="17" t="str">
        <x:v>A/B</x:v>
      </x:c>
      <x:c r="F2" s="17" t="str">
        <x:v>Exact episode/location evidence</x:v>
      </x:c>
      <x:c r="G2" s="17" t="str">
        <x:v>https://www.sinarharian.com.my/article/642682/berita/semasa/mangsa-banjir-johor-meningkat-kepada-1024</x:v>
      </x:c>
      <x:c r="H2" s="17" t="str">
        <x:v>Photo/caption and report explicitly identify Kampung Sentosa Damai residents as flood victims.</x:v>
      </x:c>
    </x:row>
    <x:row r="3">
      <x:c r="A3" s="17" t="str">
        <x:v>SRC_R2024_SINAR_20240105</x:v>
      </x:c>
      <x:c r="B3" s="17" t="str">
        <x:v>Sukarelawan APM tetap bertugas walaupun jadi mangsa banjir</x:v>
      </x:c>
      <x:c r="C3" s="17" t="str">
        <x:v>Sinar Harian</x:v>
      </x:c>
      <x:c r="D3" s="17" t="str">
        <x:v>2024-01-05</x:v>
      </x:c>
      <x:c r="E3" s="17" t="str">
        <x:v>B</x:v>
      </x:c>
      <x:c r="F3" s="17" t="str">
        <x:v>Residential corroboration</x:v>
      </x:c>
      <x:c r="G3" s="17" t="str">
        <x:v>https://www.sinarharian.com.my/article/642865/video/berita-semasa-video/sukarelawan-apm-tetap-bertugas-walaupun-jadi-mangsa-banjir</x:v>
      </x:c>
      <x:c r="H3" s="17" t="str">
        <x:v>Volunteer is explicitly described as a flood victim from Kampung Sentosa Damai 3.</x:v>
      </x:c>
    </x:row>
    <x:row r="4">
      <x:c r="A4" s="17" t="str">
        <x:v>SRC_R2024_SINAR_20240106</x:v>
      </x:c>
      <x:c r="B4" s="17" t="str">
        <x:v>Sungai, sistem perparitan cetek punca banjir</x:v>
      </x:c>
      <x:c r="C4" s="17" t="str">
        <x:v>Sinar Harian</x:v>
      </x:c>
      <x:c r="D4" s="17" t="str">
        <x:v>2024-01-06</x:v>
      </x:c>
      <x:c r="E4" s="17" t="str">
        <x:v>B</x:v>
      </x:c>
      <x:c r="F4" s="17" t="str">
        <x:v>Exact location evidence</x:v>
      </x:c>
      <x:c r="G4" s="17" t="str">
        <x:v>https://www.sinarharian.com.my/article/642962/edisi/johor/sungai-sistem-perparitan-cetek-punca-banjir</x:v>
      </x:c>
      <x:c r="H4" s="17" t="str">
        <x:v>States Kampung Paya and Kampung Sungai Serai had been flooded since Thursday (4 Jan).</x:v>
      </x:c>
    </x:row>
    <x:row r="5">
      <x:c r="A5" s="17" t="str">
        <x:v>SRC_R2024_BERNAMA_20240107</x:v>
      </x:c>
      <x:c r="B5" s="17" t="str">
        <x:v>42 Mangsa Banjir Berhampiran Sungai Tiram Dipindahkan Ke Dua PPS</x:v>
      </x:c>
      <x:c r="C5" s="17" t="str">
        <x:v>Bernama / JBPM</x:v>
      </x:c>
      <x:c r="D5" s="17" t="str">
        <x:v>2024-01-07</x:v>
      </x:c>
      <x:c r="E5" s="17" t="str">
        <x:v>A/B</x:v>
      </x:c>
      <x:c r="F5" s="17" t="str">
        <x:v>Exact location evidence</x:v>
      </x:c>
      <x:c r="G5" s="17" t="str">
        <x:v>https://bernama.com/bm/news.php?id=2260257</x:v>
      </x:c>
      <x:c r="H5" s="17" t="str">
        <x:v>Names Batu 10, Lorong Mak Piah, Kampung Paya, Kampung Sungai Serai and Simpang Ladang Mados.</x:v>
      </x:c>
    </x:row>
    <x:row r="6">
      <x:c r="A6" s="17" t="str">
        <x:v>SRC_R2024_MMAIL_20240107</x:v>
      </x:c>
      <x:c r="B6" s="17" t="str">
        <x:v>Johor floods: 230 villagers in Kg Bukit Dagang cut off after access road flooded</x:v>
      </x:c>
      <x:c r="C6" s="17" t="str">
        <x:v>Malay Mail carrying Bernama</x:v>
      </x:c>
      <x:c r="D6" s="17" t="str">
        <x:v>2024-01-07</x:v>
      </x:c>
      <x:c r="E6" s="17" t="str">
        <x:v>B</x:v>
      </x:c>
      <x:c r="F6" s="17" t="str">
        <x:v>Exact location evidence</x:v>
      </x:c>
      <x:c r="G6" s="17" t="str">
        <x:v>https://www.malaymail.com/news/malaysia/2024/01/07/johor-floods-230-villagers-in-kg-bukit-dagang-cut-off-after-access-road-flooded/111111</x:v>
      </x:c>
      <x:c r="H6" s="17" t="str">
        <x:v>Kampung Bukit Dagang access road flooded; four of about 60 houses affected.</x:v>
      </x:c>
    </x:row>
    <x:row r="7">
      <x:c r="A7" s="17" t="str">
        <x:v>SRC_R2024_BERNAMA_20240108</x:v>
      </x:c>
      <x:c r="B7" s="17" t="str">
        <x:v>Mangsa Banjir Di Johor Meningkat Kepada 6,564 Orang</x:v>
      </x:c>
      <x:c r="C7" s="17" t="str">
        <x:v>Bernama / JPBN</x:v>
      </x:c>
      <x:c r="D7" s="17" t="str">
        <x:v>2024-01-08</x:v>
      </x:c>
      <x:c r="E7" s="17" t="str">
        <x:v>A/B</x:v>
      </x:c>
      <x:c r="F7" s="17" t="str">
        <x:v>Exact location/photo evidence</x:v>
      </x:c>
      <x:c r="G7" s="17" t="str">
        <x:v>https://bernama.com/bm/news.php?id=2260348</x:v>
      </x:c>
      <x:c r="H7" s="17" t="str">
        <x:v>Bernama photo/report identifies Kampung Batu 20 and Kampung Bukit Dagang, Sungai Tiram.</x:v>
      </x:c>
    </x:row>
    <x:row r="8">
      <x:c r="A8" s="17" t="str">
        <x:v>SRC_R2024_SINAR_20240107_MAJU</x:v>
      </x:c>
      <x:c r="B8" s="17" t="str">
        <x:v>Murid cemas sekolah dilanda banjir</x:v>
      </x:c>
      <x:c r="C8" s="17" t="str">
        <x:v>Sinar Harian</x:v>
      </x:c>
      <x:c r="D8" s="17" t="str">
        <x:v>2024-01-07</x:v>
      </x:c>
      <x:c r="E8" s="17" t="str">
        <x:v>B</x:v>
      </x:c>
      <x:c r="F8" s="17" t="str">
        <x:v>Exact community/facility evidence</x:v>
      </x:c>
      <x:c r="G8" s="17" t="str">
        <x:v>https://www.sinarharian.com.my/article/643153/edisi/johor/murid-cemas-sekolah-dilanda-banjir</x:v>
      </x:c>
      <x:c r="H8" s="17" t="str">
        <x:v>SK Kampung Maju Jaya flooded; village head states the flood affected Kampung Maju Jaya and was worse than the previous year.</x:v>
      </x:c>
    </x:row>
    <x:row r="9">
      <x:c r="A9" s="17" t="str">
        <x:v>SRC_R2024_UTUSAN_20240109</x:v>
      </x:c>
      <x:c r="B9" s="17" t="str">
        <x:v>Banjir sehari, enam bulan baru pulih - Mangsa</x:v>
      </x:c>
      <x:c r="C9" s="17" t="str">
        <x:v>Utusan Malaysia</x:v>
      </x:c>
      <x:c r="D9" s="17" t="str">
        <x:v>2024-01-09</x:v>
      </x:c>
      <x:c r="E9" s="17" t="str">
        <x:v>B</x:v>
      </x:c>
      <x:c r="F9" s="17" t="str">
        <x:v>Community corroboration</x:v>
      </x:c>
      <x:c r="G9" s="17" t="str">
        <x:v>https://www.utusan.com.my/berita/2024/01/banjir-sehari-enam-bulan-baru-pulih-mangsa/</x:v>
      </x:c>
      <x:c r="H9" s="17" t="str">
        <x:v>Resident home in Kampung Maju Jaya, Jalan Kempas Lama was inundated to waist height.</x:v>
      </x:c>
    </x:row>
    <x:row r="10">
      <x:c r="A10" s="17" t="str">
        <x:v>SRC_R2024_RTM_20240108_SCHOOLS</x:v>
      </x:c>
      <x:c r="B10" s="17" t="str">
        <x:v>Banjir, tiga sekolah di Johor Bahru ditutup</x:v>
      </x:c>
      <x:c r="C10" s="17" t="str">
        <x:v>RTM / Johor Education Exco</x:v>
      </x:c>
      <x:c r="D10" s="17" t="str">
        <x:v>2024-01-08</x:v>
      </x:c>
      <x:c r="E10" s="17" t="str">
        <x:v>A/B</x:v>
      </x:c>
      <x:c r="F10" s="17" t="str">
        <x:v>Facility-impact evidence</x:v>
      </x:c>
      <x:c r="G10" s="17" t="str">
        <x:v>https://berita.rtm.gov.my/nasional/senarai-berita-nasional/senarai-artikel/banjir-tiga-sekolah-di-johor-bahru-ditutup/</x:v>
      </x:c>
      <x:c r="H10" s="17" t="str">
        <x:v>Schools affected/closed: SK Kampung Maju Jaya, SK Bukit Mutiara and SK Sungai Tiram.</x:v>
      </x:c>
    </x:row>
    <x:row r="11">
      <x:c r="A11" s="17" t="str">
        <x:v>SRC_R2024_RTM_20240109</x:v>
      </x:c>
      <x:c r="B11" s="17" t="str">
        <x:v>Banjir: Lebih 7,000 terjejas di Johor setakat 6 pagi ini</x:v>
      </x:c>
      <x:c r="C11" s="17" t="str">
        <x:v>RTM / JPBN</x:v>
      </x:c>
      <x:c r="D11" s="17" t="str">
        <x:v>2024-01-09</x:v>
      </x:c>
      <x:c r="E11" s="17" t="str">
        <x:v>A/B</x:v>
      </x:c>
      <x:c r="F11" s="17" t="str">
        <x:v>Road-closure evidence</x:v>
      </x:c>
      <x:c r="G11" s="17" t="str">
        <x:v>https://berita.rtm.gov.my/nasional/senarai-berita-nasional/senarai-artikel/banjir-lebih-7-000-terjejas-di-johor-setakat-6-pagi-ini</x:v>
      </x:c>
      <x:c r="H11" s="17" t="str">
        <x:v>Reports one Johor Bahru road closed; contemporaneous update identifies Jalan Kangkar Tebrau.</x:v>
      </x:c>
    </x:row>
    <x:row r="12">
      <x:c r="A12" s="17" t="str">
        <x:v>SRC_R2024_RTM_20240109_ROAD</x:v>
      </x:c>
      <x:c r="B12" s="17" t="str">
        <x:v>Bilangan penduduk terjejas banjir di Pahang meningkat dan Johor berkurangan</x:v>
      </x:c>
      <x:c r="C12" s="17" t="str">
        <x:v>RTM / JPBN</x:v>
      </x:c>
      <x:c r="D12" s="17" t="str">
        <x:v>2024-01-09</x:v>
      </x:c>
      <x:c r="E12" s="17" t="str">
        <x:v>A/B</x:v>
      </x:c>
      <x:c r="F12" s="17" t="str">
        <x:v>Exact road-closure evidence</x:v>
      </x:c>
      <x:c r="G12" s="17" t="str">
        <x:v>https://berita.rtm.gov.my/nasional/senarai-berita-nasional/senarai-artikel/bilangan-penduduk-terjejas-banjir-di-pahang-meningkat-dan-johor-berkurangan</x:v>
      </x:c>
      <x:c r="H12" s="17" t="str">
        <x:v>Explicitly states Jalan Kangkar Tebrau in Johor Bahru was closed to all vehicles.</x:v>
      </x:c>
    </x:row>
    <x:row r="13">
      <x:c r="A13" s="17" t="str">
        <x:v>SRC_R2024_NADMA_20240111</x:v>
      </x:c>
      <x:c r="B13" s="17" t="str">
        <x:v>Laporan Harian Bencana 11 Januari 2024</x:v>
      </x:c>
      <x:c r="C13" s="17" t="str">
        <x:v>NADMA</x:v>
      </x:c>
      <x:c r="D13" s="17" t="str">
        <x:v>2024-01-11</x:v>
      </x:c>
      <x:c r="E13" s="17" t="str">
        <x:v>A</x:v>
      </x:c>
      <x:c r="F13" s="17" t="str">
        <x:v>Flood-related infrastructure impact</x:v>
      </x:c>
      <x:c r="G13" s="17" t="str">
        <x:v>https://www.nadma.gov.my/images/2024/File/SITREP/SITREP_11_Januari_2024.pdf</x:v>
      </x:c>
      <x:c r="H13" s="17" t="str">
        <x:v>Lists Setia Indah under Johor Bahru areas where electricity supply was disconnected due to flood.</x:v>
      </x:c>
    </x:row>
    <x:row r="14">
      <x:c r="A14" s="17" t="str">
        <x:v>SRC_R2024_AWANI_20240125</x:v>
      </x:c>
      <x:c r="B14" s="17" t="str">
        <x:v>Tak sempat sambut Thaipusam, kuil dilanda banjir</x:v>
      </x:c>
      <x:c r="C14" s="17" t="str">
        <x:v>Astro Awani / Sinar / JBPM</x:v>
      </x:c>
      <x:c r="D14" s="17" t="str">
        <x:v>2024-01-25</x:v>
      </x:c>
      <x:c r="E14" s="17" t="str">
        <x:v>B</x:v>
      </x:c>
      <x:c r="F14" s="17" t="str">
        <x:v>Exact event/facility evidence</x:v>
      </x:c>
      <x:c r="G14" s="17" t="str">
        <x:v>https://www.astroawani.com/berita-malaysia/tak-sempat-sambut-thaipusam-kuil-dilanda-banjir-455504</x:v>
      </x:c>
      <x:c r="H14" s="17" t="str">
        <x:v>Temple at Kampung Kangkar Tebrau Kiri flooded on Wednesday night (24 Jan); 17 people trapped, water about 3 m.</x:v>
      </x:c>
    </x:row>
    <x:row r="15">
      <x:c r="A15" s="17" t="str">
        <x:v>SRC_R2024_DUN_NOV</x:v>
      </x:c>
      <x:c r="B15" s="17" t="str">
        <x:v>Soalan-Jawapan Bertulis November 2024 (Belanjawan 2025)</x:v>
      </x:c>
      <x:c r="C15" s="17" t="str">
        <x:v>Dewan Negeri Johor / MBJB</x:v>
      </x:c>
      <x:c r="D15" s="17" t="str">
        <x:v>2024-11</x:v>
      </x:c>
      <x:c r="E15" s="17" t="str">
        <x:v>A</x:v>
      </x:c>
      <x:c r="F15" s="17" t="str">
        <x:v>Period-level flood hotspot evidence</x:v>
      </x:c>
      <x:c r="G15" s="17" t="str">
        <x:v>https://dewannegeri.johor.gov.my/wp-content/uploads/2024/12/Soalan-Jawapan-Bertulis-November-2024-Belanjawan-2025REV-1.pdf</x:v>
      </x:c>
      <x:c r="H15" s="17" t="str">
        <x:v>Officially discusses flash-flood problems at Jalan Mutiara Emas 7, 7/1, 5/18, Taman Mount Austin and Taman Setia Indah, but does not assign separate exact event dates.</x:v>
      </x:c>
    </x:row>
    <x:row r="16">
      <x:c r="A16" s="17" t="str">
        <x:v>SRC_R2024_UTUSAN_20240426</x:v>
      </x:c>
      <x:c r="B16" s="17" t="str">
        <x:v>Penduduk minta masalah jalan rosak, banjir kilat diatasi segera</x:v>
      </x:c>
      <x:c r="C16" s="17" t="str">
        <x:v>Utusan Malaysia</x:v>
      </x:c>
      <x:c r="D16" s="17" t="str">
        <x:v>2024-04-26</x:v>
      </x:c>
      <x:c r="E16" s="17" t="str">
        <x:v>B</x:v>
      </x:c>
      <x:c r="F16" s="17" t="str">
        <x:v>Recurrence/context evidence</x:v>
      </x:c>
      <x:c r="G16" s="17" t="str">
        <x:v>https://www.utusan.com.my/nasional/2024/04/penduduk-minta-masalah-jalan-rosak-banjir-kilat-diatasi-segera/</x:v>
      </x:c>
      <x:c r="H16" s="17" t="str">
        <x:v>Kampung Sungai Rinting B residents describe recurring flash-flood problems over more than five years; no exact 2024 event date given.</x:v>
      </x:c>
    </x:row>
    <x:row r="17">
      <x:c r="A17" s="17" t="str">
        <x:v>SRC_R2024_RTM_20240128</x:v>
      </x:c>
      <x:c r="B17" s="17" t="str">
        <x:v>Johor laksana usaha perbaiki perparitan, elak pertambahan kawasan baharu banjir</x:v>
      </x:c>
      <x:c r="C17" s="17" t="str">
        <x:v>RTM / Johor state government</x:v>
      </x:c>
      <x:c r="D17" s="17" t="str">
        <x:v>2024-01-28</x:v>
      </x:c>
      <x:c r="E17" s="17" t="str">
        <x:v>A/B</x:v>
      </x:c>
      <x:c r="F17" s="17" t="str">
        <x:v>Policy/hotspot context</x:v>
      </x:c>
      <x:c r="G17" s="17" t="str">
        <x:v>https://berita.rtm.gov.my/nasional/senarai-berita-nasional/senarai-artikel/johor-laksana-usaha-perbaiki-perparitan-elak-pertambahan-kawasan-baharu-banjir/</x:v>
      </x:c>
      <x:c r="H17" s="17" t="str">
        <x:v>Confirms recurring Johor Bahru flood issues and flood-wall works at Kampung Mohd Amin and Setia Indah; not converted into extra dated events.</x:v>
      </x:c>
    </x:row>
    <x:row r="18">
      <x:c r="A18" s="17" t="str">
        <x:v>SRC_R2024_DUN_MAJU</x:v>
      </x:c>
      <x:c r="B18" s="17" t="str">
        <x:v>Verbatim 21 November 2024</x:v>
      </x:c>
      <x:c r="C18" s="17" t="str">
        <x:v>Dewan Negeri Johor</x:v>
      </x:c>
      <x:c r="D18" s="17" t="str">
        <x:v>2024-11-21</x:v>
      </x:c>
      <x:c r="E18" s="17" t="str">
        <x:v>A</x:v>
      </x:c>
      <x:c r="F18" s="17" t="str">
        <x:v>Retrospective event corroboration</x:v>
      </x:c>
      <x:c r="G18" s="17" t="str">
        <x:v>https://dewannegeri.johor.gov.my/wp-content/uploads/2025/05/VERBATIM-BELANJAWAN-2025.pdf</x:v>
      </x:c>
      <x:c r="H18" s="17" t="str">
        <x:v>Official state assembly record explicitly states the January 2024 flood occurred in Kampung Maju Jaya and a PPS was opened.</x:v>
      </x:c>
    </x:row>
    <x:row r="19">
      <x:c r="A19" s="17" t="str">
        <x:v>SRC_R2024_RTM_20240104_PPS</x:v>
      </x:c>
      <x:c r="B19" s="17" t="str">
        <x:v>Banjir: Penduduk terjejas di Johor meningkat kepada 522 orang</x:v>
      </x:c>
      <x:c r="C19" s="17" t="str">
        <x:v>RTM / JPBN</x:v>
      </x:c>
      <x:c r="D19" s="17" t="str">
        <x:v>2024-01-04</x:v>
      </x:c>
      <x:c r="E19" s="17" t="str">
        <x:v>A/B</x:v>
      </x:c>
      <x:c r="F19" s="17" t="str">
        <x:v>PPS context only</x:v>
      </x:c>
      <x:c r="G19" s="17" t="str">
        <x:v>https://berita.rtm.gov.my/nasional/senarai-berita-nasional/senarai-artikel/banjir-penduduk-terjejas-di-johor-meningkat-kepada-522-orang/</x:v>
      </x:c>
      <x:c r="H19" s="17" t="str">
        <x:v>Johor Bahru PPS included Dewan Muafakat Kampung Cahaya and Dewan Kampung Sungai Tiram. PPS site names are not automatically treated as flood-origin locations.</x:v>
      </x:c>
    </x:row>
  </x:sheetData>
  <x:pageMargins left="0.7" right="0.7" top="0.75" bottom="0.75" header="0.3" footer="0.3"/>
</x:worksheet>
</file>

<file path=xl/worksheets/sheet30.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16" hidden="0" customWidth="1"/>
    <x:col min="5" max="5" width="17" hidden="0" customWidth="1"/>
    <x:col min="6" max="6" width="17" hidden="0" customWidth="1"/>
    <x:col min="7" max="7" width="48" hidden="0" customWidth="1"/>
    <x:col min="8" max="8" width="42" hidden="0" customWidth="1"/>
    <x:col min="9" max="9" width="30" hidden="0" customWidth="1"/>
    <x:col min="10" max="10" width="68" hidden="0" customWidth="1"/>
    <x:col min="11" max="11" width="68" hidden="0" customWidth="1"/>
    <x:col min="12" max="12" width="17" hidden="0" customWidth="1"/>
  </x:cols>
  <x:sheetData>
    <x:row r="1">
      <x:c r="A1" s="47" t="str">
        <x:v>Spatial_Object_Key</x:v>
      </x:c>
      <x:c r="B1" s="47" t="str">
        <x:v>Canonical_Name</x:v>
      </x:c>
      <x:c r="C1" s="47" t="str">
        <x:v>Object_Type</x:v>
      </x:c>
      <x:c r="D1" s="47" t="str">
        <x:v>Point_GIS_Ready</x:v>
      </x:c>
      <x:c r="E1" s="47" t="str">
        <x:v>Longitude_WGS84</x:v>
      </x:c>
      <x:c r="F1" s="47" t="str">
        <x:v>Latitude_WGS84</x:v>
      </x:c>
      <x:c r="G1" s="47" t="str">
        <x:v>Point_Source</x:v>
      </x:c>
      <x:c r="H1" s="47" t="str">
        <x:v>Geometry_Status</x:v>
      </x:c>
      <x:c r="I1" s="47" t="str">
        <x:v>Polygon_ID</x:v>
      </x:c>
      <x:c r="J1" s="47" t="str">
        <x:v>Key_Conflict_or_Gap</x:v>
      </x:c>
      <x:c r="K1" s="47" t="str">
        <x:v>Next_Spatial_Action</x:v>
      </x:c>
      <x:c r="L1" s="47" t="str">
        <x:v>Event_Count_2024</x:v>
      </x:c>
    </x:row>
    <x:row r="2">
      <x:c r="A2" s="17" t="str">
        <x:v>S2024-001</x:v>
      </x:c>
      <x:c r="B2" s="17" t="str">
        <x:v>Kampung Sentosa Damai</x:v>
      </x:c>
      <x:c r="C2" s="17" t="str">
        <x:v>COMMUNITY/AREA</x:v>
      </x:c>
      <x:c r="D2" s="24" t="b">
        <x:v>0</x:v>
      </x:c>
      <x:c r="E2" s="17"/>
      <x:c r="F2" s="17"/>
      <x:c r="G2" s="17" t="str"/>
      <x:c r="H2" s="17" t="str">
        <x:v>POINT_OPEN; POLYGON_OPEN</x:v>
      </x:c>
      <x:c r="I2" s="17" t="str"/>
      <x:c r="J2" s="17" t="str">
        <x:v>Event identity is valid but no strict traceable point/boundary is frozen.</x:v>
      </x:c>
      <x:c r="K2" s="17" t="str">
        <x:v>Seek official/local-government geospatial source.</x:v>
      </x:c>
      <x:c r="L2" s="17" t="n">
        <x:f>COUNTIF('26_2024_Event_Master'!$E$2:$E$16,A2)</x:f>
        <x:v>1</x:v>
      </x:c>
    </x:row>
    <x:row r="3">
      <x:c r="A3" s="17" t="str">
        <x:v>S2024-002</x:v>
      </x:c>
      <x:c r="B3" s="17" t="str">
        <x:v>Kampung Paya (Sungai Tiram/Nam Heng context)</x:v>
      </x:c>
      <x:c r="C3" s="17" t="str">
        <x:v>COMMUNITY/AREA</x:v>
      </x:c>
      <x:c r="D3" s="24" t="b">
        <x:v>0</x:v>
      </x:c>
      <x:c r="E3" s="17"/>
      <x:c r="F3" s="17"/>
      <x:c r="G3" s="17" t="str"/>
      <x:c r="H3" s="17" t="str">
        <x:v>IDENTITY_CONTEXT_RESOLVED; POINT_OPEN; POLYGON_OPEN</x:v>
      </x:c>
      <x:c r="I3" s="17" t="str"/>
      <x:c r="J3" s="17" t="str">
        <x:v>Flood identity is clear in Sungai Tiram/Nam Heng context, but no strict point is frozen; unrelated Kampung Paya locations must not be substituted.</x:v>
      </x:c>
      <x:c r="K3" s="17" t="str">
        <x:v>Resolve official/local-government point or named boundary.</x:v>
      </x:c>
      <x:c r="L3" s="17" t="n">
        <x:f>COUNTIF('26_2024_Event_Master'!$E$2:$E$16,A3)</x:f>
        <x:v>1</x:v>
      </x:c>
    </x:row>
    <x:row r="4">
      <x:c r="A4" s="17" t="str">
        <x:v>S2024-003</x:v>
      </x:c>
      <x:c r="B4" s="17" t="str">
        <x:v>Kampung Sungai Serai</x:v>
      </x:c>
      <x:c r="C4" s="17" t="str">
        <x:v>COMMUNITY/AREA</x:v>
      </x:c>
      <x:c r="D4" s="24" t="b">
        <x:v>0</x:v>
      </x:c>
      <x:c r="E4" s="17"/>
      <x:c r="F4" s="17"/>
      <x:c r="G4" s="17" t="str"/>
      <x:c r="H4" s="17" t="str">
        <x:v>IDENTITY_CONFIRMED; POINT_OPEN; POLYGON_OPEN</x:v>
      </x:c>
      <x:c r="I4" s="17" t="str"/>
      <x:c r="J4" s="17" t="str">
        <x:v>MBPG community context supports Sungai Serai identity, but no strict WGS84 point is frozen in this pass.</x:v>
      </x:c>
      <x:c r="K4" s="17" t="str">
        <x:v>Resolve exact official point/boundary before GIS freeze.</x:v>
      </x:c>
      <x:c r="L4" s="17" t="n">
        <x:f>COUNTIF('26_2024_Event_Master'!$E$2:$E$16,A4)</x:f>
        <x:v>1</x:v>
      </x:c>
    </x:row>
    <x:row r="5">
      <x:c r="A5" s="17" t="str">
        <x:v>S2024-004</x:v>
      </x:c>
      <x:c r="B5" s="17" t="str">
        <x:v>Batu 10, Sungai Tiram context</x:v>
      </x:c>
      <x:c r="C5" s="17" t="str">
        <x:v>ROAD/LOCALITY</x:v>
      </x:c>
      <x:c r="D5" s="24" t="b">
        <x:v>0</x:v>
      </x:c>
      <x:c r="E5" s="17"/>
      <x:c r="F5" s="17"/>
      <x:c r="G5" s="17" t="str"/>
      <x:c r="H5" s="17" t="str">
        <x:v>ROAD/CHAINAGE_OBJECT_OPEN</x:v>
      </x:c>
      <x:c r="I5" s="17" t="str"/>
      <x:c r="J5" s="17" t="str">
        <x:v>Batu 10 here is in Sungai Tiram context and must not be merged with Batu 10 Kampung Laut, Skudai.</x:v>
      </x:c>
      <x:c r="K5" s="17" t="str">
        <x:v>Resolve exact road-chainage/locality geometry.</x:v>
      </x:c>
      <x:c r="L5" s="17" t="n">
        <x:f>COUNTIF('26_2024_Event_Master'!$E$2:$E$16,A5)</x:f>
        <x:v>1</x:v>
      </x:c>
    </x:row>
    <x:row r="6">
      <x:c r="A6" s="17" t="str">
        <x:v>S2024-005</x:v>
      </x:c>
      <x:c r="B6" s="17" t="str">
        <x:v>Lorong Mak Piah, Kampung Sungai Tiram</x:v>
      </x:c>
      <x:c r="C6" s="17" t="str">
        <x:v>ROAD</x:v>
      </x:c>
      <x:c r="D6" s="24" t="b">
        <x:v>0</x:v>
      </x:c>
      <x:c r="E6" s="17"/>
      <x:c r="F6" s="17"/>
      <x:c r="G6" s="17" t="str"/>
      <x:c r="H6" s="17" t="str">
        <x:v>ROAD_SEGMENT_OPEN</x:v>
      </x:c>
      <x:c r="I6" s="17" t="str"/>
      <x:c r="J6" s="17" t="str">
        <x:v>Named lane is flood-valid, but exact affected start/end segment is absent.</x:v>
      </x:c>
      <x:c r="K6" s="17" t="str">
        <x:v>Keep road segment open unless event-specific extents are recovered.</x:v>
      </x:c>
      <x:c r="L6" s="17" t="n">
        <x:f>COUNTIF('26_2024_Event_Master'!$E$2:$E$16,A6)</x:f>
        <x:v>1</x:v>
      </x:c>
    </x:row>
    <x:row r="7">
      <x:c r="A7" s="17" t="str">
        <x:v>S2024-006</x:v>
      </x:c>
      <x:c r="B7" s="17" t="str">
        <x:v>Simpang Ladang Mados</x:v>
      </x:c>
      <x:c r="C7" s="17" t="str">
        <x:v>ROAD/LOCALITY</x:v>
      </x:c>
      <x:c r="D7" s="24" t="b">
        <x:v>0</x:v>
      </x:c>
      <x:c r="E7" s="17"/>
      <x:c r="F7" s="17"/>
      <x:c r="G7" s="17" t="str"/>
      <x:c r="H7" s="17" t="str">
        <x:v>POINT_OPEN; POLYGON_OPEN</x:v>
      </x:c>
      <x:c r="I7" s="17" t="str"/>
      <x:c r="J7" s="17" t="str">
        <x:v>Event identity is valid but no strict traceable point/boundary is frozen.</x:v>
      </x:c>
      <x:c r="K7" s="17" t="str">
        <x:v>Seek official/local-government geospatial source.</x:v>
      </x:c>
      <x:c r="L7" s="17" t="n">
        <x:f>COUNTIF('26_2024_Event_Master'!$E$2:$E$16,A7)</x:f>
        <x:v>1</x:v>
      </x:c>
    </x:row>
    <x:row r="8">
      <x:c r="A8" s="17" t="str">
        <x:v>S2024-007</x:v>
      </x:c>
      <x:c r="B8" s="17" t="str">
        <x:v>Kampung Bukit Dagang</x:v>
      </x:c>
      <x:c r="C8" s="17" t="str">
        <x:v>COMMUNITY/AREA</x:v>
      </x:c>
      <x:c r="D8" s="24" t="b">
        <x:v>1</x:v>
      </x:c>
      <x:c r="E8" s="17" t="n">
        <x:v>103.924811</x:v>
      </x:c>
      <x:c r="F8" s="17" t="n">
        <x:v>1.59376731</x:v>
      </x:c>
      <x:c r="G8" s="17" t="str">
        <x:v>MyGeoName Johor official gazette point</x:v>
      </x:c>
      <x:c r="H8" s="17" t="str">
        <x:v>POINT_READY; POLYGON_OPEN</x:v>
      </x:c>
      <x:c r="I8" s="17" t="str"/>
      <x:c r="J8" s="17" t="str">
        <x:v>Representative point is defensible; exact event/community flood polygon is not frozen.</x:v>
      </x:c>
      <x:c r="K8" s="17" t="str">
        <x:v>Seek exact named closed boundary; do not fabricate inundation polygon.</x:v>
      </x:c>
      <x:c r="L8" s="17" t="n">
        <x:f>COUNTIF('26_2024_Event_Master'!$E$2:$E$16,A8)</x:f>
        <x:v>1</x:v>
      </x:c>
    </x:row>
    <x:row r="9">
      <x:c r="A9" s="17" t="str">
        <x:v>S2024-008</x:v>
      </x:c>
      <x:c r="B9" s="17" t="str">
        <x:v>Kampung Batu 20, Sungai Tiram</x:v>
      </x:c>
      <x:c r="C9" s="17" t="str">
        <x:v>COMMUNITY/AREA</x:v>
      </x:c>
      <x:c r="D9" s="24" t="b">
        <x:v>0</x:v>
      </x:c>
      <x:c r="E9" s="17"/>
      <x:c r="F9" s="17"/>
      <x:c r="G9" s="17" t="str"/>
      <x:c r="H9" s="17" t="str">
        <x:v>ROAD/LOCALITY_OBJECT_OPEN</x:v>
      </x:c>
      <x:c r="I9" s="17" t="str"/>
      <x:c r="J9" s="17" t="str">
        <x:v>Source explicitly names Kampung Batu 20; exact boundary/segment is not frozen.</x:v>
      </x:c>
      <x:c r="K9" s="17" t="str">
        <x:v>Resolve exact community/road-access geometry.</x:v>
      </x:c>
      <x:c r="L9" s="17" t="n">
        <x:f>COUNTIF('26_2024_Event_Master'!$E$2:$E$16,A9)</x:f>
        <x:v>1</x:v>
      </x:c>
    </x:row>
    <x:row r="10">
      <x:c r="A10" s="17" t="str">
        <x:v>S2024-009</x:v>
      </x:c>
      <x:c r="B10" s="17" t="str">
        <x:v>Kampung Maju Jaya</x:v>
      </x:c>
      <x:c r="C10" s="17" t="str">
        <x:v>COMMUNITY/AREA</x:v>
      </x:c>
      <x:c r="D10" s="24" t="b">
        <x:v>1</x:v>
      </x:c>
      <x:c r="E10" s="17" t="n">
        <x:v>103.7159181</x:v>
      </x:c>
      <x:c r="F10" s="17" t="n">
        <x:v>1.5810921</x:v>
      </x:c>
      <x:c r="G10" s="17" t="str">
        <x:v>Frozen HF18 reference point</x:v>
      </x:c>
      <x:c r="H10" s="17" t="str">
        <x:v>POINT_READY; POLYGON_OPEN</x:v>
      </x:c>
      <x:c r="I10" s="17" t="str"/>
      <x:c r="J10" s="17" t="str">
        <x:v>Representative point is defensible; exact event/community flood polygon is not frozen.</x:v>
      </x:c>
      <x:c r="K10" s="17" t="str">
        <x:v>Seek exact named closed boundary; do not fabricate inundation polygon.</x:v>
      </x:c>
      <x:c r="L10" s="17" t="n">
        <x:f>COUNTIF('26_2024_Event_Master'!$E$2:$E$16,A10)</x:f>
        <x:v>1</x:v>
      </x:c>
    </x:row>
    <x:row r="11">
      <x:c r="A11" s="17" t="str">
        <x:v>S2024-010</x:v>
      </x:c>
      <x:c r="B11" s="17" t="str">
        <x:v>SK Kampung Maju Jaya</x:v>
      </x:c>
      <x:c r="C11" s="17" t="str">
        <x:v>CRITICAL FACILITY</x:v>
      </x:c>
      <x:c r="D11" s="24" t="b">
        <x:v>1</x:v>
      </x:c>
      <x:c r="E11" s="17" t="n">
        <x:v>103.718275204555</x:v>
      </x:c>
      <x:c r="F11" s="17" t="n">
        <x:v>1.5804887</x:v>
      </x:c>
      <x:c r="G11" s="17" t="str">
        <x:v>Frozen HF44 facility reference point</x:v>
      </x:c>
      <x:c r="H11" s="17" t="str">
        <x:v>POINT_READY; FACILITY_POLYGON_OPEN</x:v>
      </x:c>
      <x:c r="I11" s="17" t="str"/>
      <x:c r="J11" s="17" t="str">
        <x:v>Facility point is defensible; exact facility/flood polygon not frozen.</x:v>
      </x:c>
      <x:c r="K11" s="17" t="str">
        <x:v>Resolve exact building boundary only where defensible.</x:v>
      </x:c>
      <x:c r="L11" s="17" t="n">
        <x:f>COUNTIF('26_2024_Event_Master'!$E$2:$E$16,A11)</x:f>
        <x:v>1</x:v>
      </x:c>
    </x:row>
    <x:row r="12">
      <x:c r="A12" s="17" t="str">
        <x:v>S2024-011</x:v>
      </x:c>
      <x:c r="B12" s="17" t="str">
        <x:v>SK Bukit Mutiara</x:v>
      </x:c>
      <x:c r="C12" s="17" t="str">
        <x:v>CRITICAL FACILITY</x:v>
      </x:c>
      <x:c r="D12" s="24" t="b">
        <x:v>0</x:v>
      </x:c>
      <x:c r="E12" s="17"/>
      <x:c r="F12" s="17"/>
      <x:c r="G12" s="17" t="str"/>
      <x:c r="H12" s="17" t="str">
        <x:v>FACILITY_POINT/POLYGON_OPEN</x:v>
      </x:c>
      <x:c r="I12" s="17" t="str"/>
      <x:c r="J12" s="17" t="str">
        <x:v>Facility impact is event-valid; exact facility building/flood-water geometry is not frozen.</x:v>
      </x:c>
      <x:c r="K12" s="17" t="str">
        <x:v>Resolve exact building boundary only where defensible.</x:v>
      </x:c>
      <x:c r="L12" s="17" t="n">
        <x:f>COUNTIF('26_2024_Event_Master'!$E$2:$E$16,A12)</x:f>
        <x:v>1</x:v>
      </x:c>
    </x:row>
    <x:row r="13">
      <x:c r="A13" s="17" t="str">
        <x:v>S2024-012</x:v>
      </x:c>
      <x:c r="B13" s="17" t="str">
        <x:v>SK Sungai Tiram</x:v>
      </x:c>
      <x:c r="C13" s="17" t="str">
        <x:v>CRITICAL FACILITY</x:v>
      </x:c>
      <x:c r="D13" s="24" t="b">
        <x:v>0</x:v>
      </x:c>
      <x:c r="E13" s="17"/>
      <x:c r="F13" s="17"/>
      <x:c r="G13" s="17" t="str"/>
      <x:c r="H13" s="17" t="str">
        <x:v>FACILITY_POINT/POLYGON_OPEN</x:v>
      </x:c>
      <x:c r="I13" s="17" t="str"/>
      <x:c r="J13" s="17" t="str">
        <x:v>Facility impact is event-valid; exact facility building/flood-water geometry is not frozen.</x:v>
      </x:c>
      <x:c r="K13" s="17" t="str">
        <x:v>Resolve exact building boundary only where defensible.</x:v>
      </x:c>
      <x:c r="L13" s="17" t="n">
        <x:f>COUNTIF('26_2024_Event_Master'!$E$2:$E$16,A13)</x:f>
        <x:v>1</x:v>
      </x:c>
    </x:row>
    <x:row r="14">
      <x:c r="A14" s="17" t="str">
        <x:v>S2024-013</x:v>
      </x:c>
      <x:c r="B14" s="17" t="str">
        <x:v>Jalan Kangkar Tebrau</x:v>
      </x:c>
      <x:c r="C14" s="17" t="str">
        <x:v>ROAD</x:v>
      </x:c>
      <x:c r="D14" s="24" t="b">
        <x:v>0</x:v>
      </x:c>
      <x:c r="E14" s="17"/>
      <x:c r="F14" s="17"/>
      <x:c r="G14" s="17" t="str"/>
      <x:c r="H14" s="17" t="str">
        <x:v>ROAD_SEGMENT_OPEN</x:v>
      </x:c>
      <x:c r="I14" s="17" t="str"/>
      <x:c r="J14" s="17" t="str">
        <x:v>Official road-closure evidence exists; parent Kampung Kangkar Tebrau polygon is not a road-flood footprint.</x:v>
      </x:c>
      <x:c r="K14" s="17" t="str">
        <x:v>Do not reuse community polygon for road segment; recover exact closed section if possible.</x:v>
      </x:c>
      <x:c r="L14" s="17" t="n">
        <x:f>COUNTIF('26_2024_Event_Master'!$E$2:$E$16,A14)</x:f>
        <x:v>1</x:v>
      </x:c>
    </x:row>
    <x:row r="15">
      <x:c r="A15" s="17" t="str">
        <x:v>S2024-014</x:v>
      </x:c>
      <x:c r="B15" s="17" t="str">
        <x:v>Taman Setia Indah</x:v>
      </x:c>
      <x:c r="C15" s="17" t="str">
        <x:v>COMMUNITY/AREA</x:v>
      </x:c>
      <x:c r="D15" s="24" t="b">
        <x:v>1</x:v>
      </x:c>
      <x:c r="E15" s="17" t="n">
        <x:v>103.7592769</x:v>
      </x:c>
      <x:c r="F15" s="17" t="n">
        <x:v>1.5689894</x:v>
      </x:c>
      <x:c r="G15" s="17" t="str">
        <x:v>Frozen HF20 reference point</x:v>
      </x:c>
      <x:c r="H15" s="17" t="str">
        <x:v>POINT_READY; POLYGON_OPEN</x:v>
      </x:c>
      <x:c r="I15" s="17" t="str"/>
      <x:c r="J15" s="17" t="str">
        <x:v>Representative point is defensible; exact event/community flood polygon is not frozen.</x:v>
      </x:c>
      <x:c r="K15" s="17" t="str">
        <x:v>Seek exact named closed boundary; do not fabricate inundation polygon.</x:v>
      </x:c>
      <x:c r="L15" s="17" t="n">
        <x:f>COUNTIF('26_2024_Event_Master'!$E$2:$E$16,A15)</x:f>
        <x:v>1</x:v>
      </x:c>
    </x:row>
    <x:row r="16">
      <x:c r="A16" s="17" t="str">
        <x:v>S2024-015</x:v>
      </x:c>
      <x:c r="B16" s="17" t="str">
        <x:v>Kuil Sri Muniswarar Maha Mariamman, Kampung Kangkar Tebrau Kiri</x:v>
      </x:c>
      <x:c r="C16" s="17" t="str">
        <x:v>CRITICAL FACILITY</x:v>
      </x:c>
      <x:c r="D16" s="24" t="b">
        <x:v>0</x:v>
      </x:c>
      <x:c r="E16" s="17"/>
      <x:c r="F16" s="17"/>
      <x:c r="G16" s="17" t="str"/>
      <x:c r="H16" s="17" t="str">
        <x:v>FACILITY_POINT/POLYGON_OPEN</x:v>
      </x:c>
      <x:c r="I16" s="17" t="str"/>
      <x:c r="J16" s="17" t="str">
        <x:v>Facility impact is event-valid; exact facility building/flood-water geometry is not frozen.</x:v>
      </x:c>
      <x:c r="K16" s="17" t="str">
        <x:v>Resolve exact building boundary only where defensible.</x:v>
      </x:c>
      <x:c r="L16" s="17" t="n">
        <x:f>COUNTIF('26_2024_Event_Master'!$E$2:$E$16,A16)</x:f>
        <x:v>1</x:v>
      </x:c>
    </x:row>
  </x:sheetData>
  <x:pageMargins left="0.7" right="0.7" top="0.75" bottom="0.75" header="0.3" footer="0.3"/>
</x:worksheet>
</file>

<file path=xl/worksheets/sheet31.xml><?xml version="1.0" encoding="utf-8"?>
<x:worksheet xmlns:x="http://schemas.openxmlformats.org/spreadsheetml/2006/main">
  <x:sheetFormatPr defaultRowHeight="15"/>
  <x:cols>
    <x:col min="1" max="1" width="38" hidden="0" customWidth="1"/>
    <x:col min="2" max="2" width="23" hidden="0" customWidth="1"/>
    <x:col min="3" max="3" width="48" hidden="0" customWidth="1"/>
    <x:col min="4" max="4" width="40" hidden="0" customWidth="1"/>
    <x:col min="5" max="5" width="31" hidden="0" customWidth="1"/>
    <x:col min="6" max="6" width="82" hidden="0" customWidth="1"/>
  </x:cols>
  <x:sheetData>
    <x:row r="1">
      <x:c r="A1" s="47" t="str">
        <x:v>Candidate_ID</x:v>
      </x:c>
      <x:c r="B1" s="47" t="str">
        <x:v>Time_Context</x:v>
      </x:c>
      <x:c r="C1" s="47" t="str">
        <x:v>Location_Label</x:v>
      </x:c>
      <x:c r="D1" s="47" t="str">
        <x:v>Resolution_Status</x:v>
      </x:c>
      <x:c r="E1" s="47" t="str">
        <x:v>Primary_Source_ID</x:v>
      </x:c>
      <x:c r="F1" s="47" t="str">
        <x:v>Decision_Note</x:v>
      </x:c>
    </x:row>
    <x:row r="2">
      <x:c r="A2" s="17" t="str">
        <x:v>CAND-2024-JAN04-PPS-CAHAYA</x:v>
      </x:c>
      <x:c r="B2" s="17" t="str">
        <x:v>2024-01-04</x:v>
      </x:c>
      <x:c r="C2" s="17" t="str">
        <x:v>Dewan Muafakat Kampung Cahaya Baru / SK Kampung Cahaya Baru</x:v>
      </x:c>
      <x:c r="D2" s="17" t="str">
        <x:v>PPS_LOCATION_NOT_ORIGIN</x:v>
      </x:c>
      <x:c r="E2" s="17" t="str">
        <x:v>SRC_R2024_RTM_20240104_PPS</x:v>
      </x:c>
      <x:c r="F2" s="17" t="str">
        <x:v>PPS locations prove district impact but do not by themselves prove the PPS-site community was inundated; do not count as event-location without origin evidence.</x:v>
      </x:c>
    </x:row>
    <x:row r="3">
      <x:c r="A3" s="17" t="str">
        <x:v>CAND-2024-MUTIARA7</x:v>
      </x:c>
      <x:c r="B3" s="17" t="str">
        <x:v>2024 period</x:v>
      </x:c>
      <x:c r="C3" s="17" t="str">
        <x:v>Jalan Mutiara Emas 7</x:v>
      </x:c>
      <x:c r="D3" s="17" t="str">
        <x:v>DATE_UNRESOLVED</x:v>
      </x:c>
      <x:c r="E3" s="17" t="str">
        <x:v>SRC_R2024_DUN_NOV</x:v>
      </x:c>
      <x:c r="F3" s="17" t="str">
        <x:v>Official MBJB/DUN record confirms flash-flood problem; exact independent event date not supplied.</x:v>
      </x:c>
    </x:row>
    <x:row r="4">
      <x:c r="A4" s="17" t="str">
        <x:v>CAND-2024-MUTIARA7-1</x:v>
      </x:c>
      <x:c r="B4" s="17" t="str">
        <x:v>2024 period</x:v>
      </x:c>
      <x:c r="C4" s="17" t="str">
        <x:v>Jalan Mutiara Emas 7/1</x:v>
      </x:c>
      <x:c r="D4" s="17" t="str">
        <x:v>DATE_UNRESOLVED</x:v>
      </x:c>
      <x:c r="E4" s="17" t="str">
        <x:v>SRC_R2024_DUN_NOV</x:v>
      </x:c>
      <x:c r="F4" s="17" t="str">
        <x:v>Official MBJB/DUN record confirms flash-flood problem; exact independent event date not supplied.</x:v>
      </x:c>
    </x:row>
    <x:row r="5">
      <x:c r="A5" s="17" t="str">
        <x:v>CAND-2024-MUTIARA5-18</x:v>
      </x:c>
      <x:c r="B5" s="17" t="str">
        <x:v>2024 period</x:v>
      </x:c>
      <x:c r="C5" s="17" t="str">
        <x:v>Jalan Mutiara Emas 5/18</x:v>
      </x:c>
      <x:c r="D5" s="17" t="str">
        <x:v>DATE_UNRESOLVED</x:v>
      </x:c>
      <x:c r="E5" s="17" t="str">
        <x:v>SRC_R2024_DUN_NOV</x:v>
      </x:c>
      <x:c r="F5" s="17" t="str">
        <x:v>Official MBJB/DUN record confirms flash-flood problem; exact independent event date not supplied.</x:v>
      </x:c>
    </x:row>
    <x:row r="6">
      <x:c r="A6" s="17" t="str">
        <x:v>CAND-2024-MOUNT-AUSTIN</x:v>
      </x:c>
      <x:c r="B6" s="17" t="str">
        <x:v>2024 period</x:v>
      </x:c>
      <x:c r="C6" s="17" t="str">
        <x:v>Taman Mount Austin</x:v>
      </x:c>
      <x:c r="D6" s="17" t="str">
        <x:v>DATE_UNRESOLVED</x:v>
      </x:c>
      <x:c r="E6" s="17" t="str">
        <x:v>SRC_R2024_DUN_NOV</x:v>
      </x:c>
      <x:c r="F6" s="17" t="str">
        <x:v>Official MBJB/DUN record confirms flash-flood problem; exact independent event date not supplied.</x:v>
      </x:c>
    </x:row>
    <x:row r="7">
      <x:c r="A7" s="17" t="str">
        <x:v>CAND-2024-SETIA-INDAH-RECURRENCE</x:v>
      </x:c>
      <x:c r="B7" s="17" t="str">
        <x:v>2024 period</x:v>
      </x:c>
      <x:c r="C7" s="17" t="str">
        <x:v>Taman Setia Indah</x:v>
      </x:c>
      <x:c r="D7" s="17" t="str">
        <x:v>RECURRENCE_CONTEXT_ONLY</x:v>
      </x:c>
      <x:c r="E7" s="17" t="str">
        <x:v>SRC_R2024_DUN_NOV</x:v>
      </x:c>
      <x:c r="F7" s="17" t="str">
        <x:v>Already has one Jan-episode flood-related impact row; period-level official record is not counted as an additional event.</x:v>
      </x:c>
    </x:row>
    <x:row r="8">
      <x:c r="A8" s="17" t="str">
        <x:v>CAND-2024-SG-RINTING-B</x:v>
      </x:c>
      <x:c r="B8" s="17" t="str">
        <x:v>Multi-year recurrence</x:v>
      </x:c>
      <x:c r="C8" s="17" t="str">
        <x:v>Kampung Sungai Rinting B</x:v>
      </x:c>
      <x:c r="D8" s="17" t="str">
        <x:v>EXACT_2024_DATE_UNRESOLVED</x:v>
      </x:c>
      <x:c r="E8" s="17" t="str">
        <x:v>SRC_R2024_UTUSAN_20240426</x:v>
      </x:c>
      <x:c r="F8" s="17" t="str">
        <x:v>Recurrent flash-flood problem reported over &gt;5 years; no exact 2024 event date.</x:v>
      </x:c>
    </x:row>
    <x:row r="9">
      <x:c r="A9" s="17" t="str">
        <x:v>CAND-2024-MOHD-AMIN-HOTSPOT</x:v>
      </x:c>
      <x:c r="B9" s="17" t="str">
        <x:v>2024 policy context</x:v>
      </x:c>
      <x:c r="C9" s="17" t="str">
        <x:v>Kampung Mohd Amin</x:v>
      </x:c>
      <x:c r="D9" s="17" t="str">
        <x:v>POLICY_HOTSPOT_NOT_DATED_EVENT</x:v>
      </x:c>
      <x:c r="E9" s="17" t="str">
        <x:v>SRC_R2024_RTM_20240128</x:v>
      </x:c>
      <x:c r="F9" s="17" t="str">
        <x:v>Flood-mitigation works confirm recurring risk, not a separate dated 2024 event.</x:v>
      </x:c>
    </x:row>
    <x:row r="10">
      <x:c r="A10" s="17" t="str">
        <x:v>CAND-2024-KG-CAHAYA-PPS</x:v>
      </x:c>
      <x:c r="B10" s="17" t="str">
        <x:v>2024-01-04</x:v>
      </x:c>
      <x:c r="C10" s="17" t="str">
        <x:v>Kampung Cahaya Baru</x:v>
      </x:c>
      <x:c r="D10" s="17" t="str">
        <x:v>ORIGIN_NOT_EXPLICIT</x:v>
      </x:c>
      <x:c r="E10" s="17" t="str">
        <x:v>SRC_R2024_RTM_20240104_PPS</x:v>
      </x:c>
      <x:c r="F10" s="17" t="str">
        <x:v>PPS name is not treated as proof that Kampung Cahaya Baru itself was inundated.</x:v>
      </x:c>
    </x:row>
  </x:sheetData>
  <x:pageMargins left="0.7" right="0.7" top="0.75" bottom="0.75" header="0.3" footer="0.3"/>
</x:worksheet>
</file>

<file path=xl/worksheets/sheet32.xml><?xml version="1.0" encoding="utf-8"?>
<x:worksheet xmlns:x="http://schemas.openxmlformats.org/spreadsheetml/2006/main">
  <x:sheetFormatPr defaultRowHeight="15"/>
  <x:cols>
    <x:col min="1" max="1" width="16" hidden="0" customWidth="1"/>
    <x:col min="2" max="2" width="48" hidden="0" customWidth="1"/>
    <x:col min="3" max="3" width="22" hidden="0" customWidth="1"/>
    <x:col min="4" max="4" width="42" hidden="0" customWidth="1"/>
    <x:col min="5" max="5" width="70" hidden="0" customWidth="1"/>
    <x:col min="6" max="6" width="70" hidden="0" customWidth="1"/>
    <x:col min="7" max="7" width="47" hidden="0" customWidth="1"/>
  </x:cols>
  <x:sheetData>
    <x:row r="1">
      <x:c r="A1" s="47" t="str">
        <x:v>Spatial_Object_Key</x:v>
      </x:c>
      <x:c r="B1" s="47" t="str">
        <x:v>Canonical_Name</x:v>
      </x:c>
      <x:c r="C1" s="47" t="str">
        <x:v>Object_Type</x:v>
      </x:c>
      <x:c r="D1" s="47" t="str">
        <x:v>Current_Status</x:v>
      </x:c>
      <x:c r="E1" s="47" t="str">
        <x:v>Key_Conflict_or_Gap</x:v>
      </x:c>
      <x:c r="F1" s="47" t="str">
        <x:v>Next_Spatial_Action</x:v>
      </x:c>
      <x:c r="G1" s="47" t="str">
        <x:v>Decision</x:v>
      </x:c>
    </x:row>
    <x:row r="2">
      <x:c r="A2" s="17" t="str">
        <x:v>S2024-001</x:v>
      </x:c>
      <x:c r="B2" s="17" t="str">
        <x:v>Kampung Sentosa Damai</x:v>
      </x:c>
      <x:c r="C2" s="17" t="str">
        <x:v>COMMUNITY/AREA</x:v>
      </x:c>
      <x:c r="D2" s="17" t="str">
        <x:v>POINT_OPEN; POLYGON_OPEN</x:v>
      </x:c>
      <x:c r="E2" s="17" t="str">
        <x:v>Event identity is valid but no strict traceable point/boundary is frozen.</x:v>
      </x:c>
      <x:c r="F2" s="17" t="str">
        <x:v>Seek official/local-government geospatial source.</x:v>
      </x:c>
      <x:c r="G2" s="17" t="str">
        <x:v>OPEN - retain evidence; no fabricated closure</x:v>
      </x:c>
    </x:row>
    <x:row r="3">
      <x:c r="A3" s="17" t="str">
        <x:v>S2024-002</x:v>
      </x:c>
      <x:c r="B3" s="17" t="str">
        <x:v>Kampung Paya (Sungai Tiram/Nam Heng context)</x:v>
      </x:c>
      <x:c r="C3" s="17" t="str">
        <x:v>COMMUNITY/AREA</x:v>
      </x:c>
      <x:c r="D3" s="17" t="str">
        <x:v>IDENTITY_CONTEXT_RESOLVED; POINT_OPEN; POLYGON_OPEN</x:v>
      </x:c>
      <x:c r="E3" s="17" t="str">
        <x:v>Flood identity is clear in Sungai Tiram/Nam Heng context, but no strict point is frozen; unrelated Kampung Paya locations must not be substituted.</x:v>
      </x:c>
      <x:c r="F3" s="17" t="str">
        <x:v>Resolve official/local-government point or named boundary.</x:v>
      </x:c>
      <x:c r="G3" s="17" t="str">
        <x:v>OPEN - retain evidence; no fabricated closure</x:v>
      </x:c>
    </x:row>
    <x:row r="4">
      <x:c r="A4" s="17" t="str">
        <x:v>S2024-003</x:v>
      </x:c>
      <x:c r="B4" s="17" t="str">
        <x:v>Kampung Sungai Serai</x:v>
      </x:c>
      <x:c r="C4" s="17" t="str">
        <x:v>COMMUNITY/AREA</x:v>
      </x:c>
      <x:c r="D4" s="17" t="str">
        <x:v>IDENTITY_CONFIRMED; POINT_OPEN; POLYGON_OPEN</x:v>
      </x:c>
      <x:c r="E4" s="17" t="str">
        <x:v>MBPG community context supports Sungai Serai identity, but no strict WGS84 point is frozen in this pass.</x:v>
      </x:c>
      <x:c r="F4" s="17" t="str">
        <x:v>Resolve exact official point/boundary before GIS freeze.</x:v>
      </x:c>
      <x:c r="G4" s="17" t="str">
        <x:v>OPEN - retain evidence; no fabricated closure</x:v>
      </x:c>
    </x:row>
    <x:row r="5">
      <x:c r="A5" s="17" t="str">
        <x:v>S2024-004</x:v>
      </x:c>
      <x:c r="B5" s="17" t="str">
        <x:v>Batu 10, Sungai Tiram context</x:v>
      </x:c>
      <x:c r="C5" s="17" t="str">
        <x:v>ROAD/LOCALITY</x:v>
      </x:c>
      <x:c r="D5" s="17" t="str">
        <x:v>ROAD/CHAINAGE_OBJECT_OPEN</x:v>
      </x:c>
      <x:c r="E5" s="17" t="str">
        <x:v>Batu 10 here is in Sungai Tiram context and must not be merged with Batu 10 Kampung Laut, Skudai.</x:v>
      </x:c>
      <x:c r="F5" s="17" t="str">
        <x:v>Resolve exact road-chainage/locality geometry.</x:v>
      </x:c>
      <x:c r="G5" s="17" t="str">
        <x:v>OPEN - retain evidence; no fabricated closure</x:v>
      </x:c>
    </x:row>
    <x:row r="6">
      <x:c r="A6" s="17" t="str">
        <x:v>S2024-005</x:v>
      </x:c>
      <x:c r="B6" s="17" t="str">
        <x:v>Lorong Mak Piah, Kampung Sungai Tiram</x:v>
      </x:c>
      <x:c r="C6" s="17" t="str">
        <x:v>ROAD</x:v>
      </x:c>
      <x:c r="D6" s="17" t="str">
        <x:v>ROAD_SEGMENT_OPEN</x:v>
      </x:c>
      <x:c r="E6" s="17" t="str">
        <x:v>Named lane is flood-valid, but exact affected start/end segment is absent.</x:v>
      </x:c>
      <x:c r="F6" s="17" t="str">
        <x:v>Keep road segment open unless event-specific extents are recovered.</x:v>
      </x:c>
      <x:c r="G6" s="17" t="str">
        <x:v>OPEN - retain evidence; no fabricated closure</x:v>
      </x:c>
    </x:row>
    <x:row r="7">
      <x:c r="A7" s="17" t="str">
        <x:v>S2024-006</x:v>
      </x:c>
      <x:c r="B7" s="17" t="str">
        <x:v>Simpang Ladang Mados</x:v>
      </x:c>
      <x:c r="C7" s="17" t="str">
        <x:v>ROAD/LOCALITY</x:v>
      </x:c>
      <x:c r="D7" s="17" t="str">
        <x:v>POINT_OPEN; POLYGON_OPEN</x:v>
      </x:c>
      <x:c r="E7" s="17" t="str">
        <x:v>Event identity is valid but no strict traceable point/boundary is frozen.</x:v>
      </x:c>
      <x:c r="F7" s="17" t="str">
        <x:v>Seek official/local-government geospatial source.</x:v>
      </x:c>
      <x:c r="G7" s="17" t="str">
        <x:v>OPEN - retain evidence; no fabricated closure</x:v>
      </x:c>
    </x:row>
    <x:row r="8">
      <x:c r="A8" s="17" t="str">
        <x:v>S2024-007</x:v>
      </x:c>
      <x:c r="B8" s="17" t="str">
        <x:v>Kampung Bukit Dagang</x:v>
      </x:c>
      <x:c r="C8" s="17" t="str">
        <x:v>COMMUNITY/AREA</x:v>
      </x:c>
      <x:c r="D8" s="17" t="str">
        <x:v>POINT_READY; POLYGON_OPEN</x:v>
      </x:c>
      <x:c r="E8" s="17" t="str">
        <x:v>Representative point is defensible; exact event/community flood polygon is not frozen.</x:v>
      </x:c>
      <x:c r="F8" s="17" t="str">
        <x:v>Seek exact named closed boundary; do not fabricate inundation polygon.</x:v>
      </x:c>
      <x:c r="G8" s="17" t="str">
        <x:v>OPEN - retain evidence; no fabricated closure</x:v>
      </x:c>
    </x:row>
    <x:row r="9">
      <x:c r="A9" s="17" t="str">
        <x:v>S2024-008</x:v>
      </x:c>
      <x:c r="B9" s="17" t="str">
        <x:v>Kampung Batu 20, Sungai Tiram</x:v>
      </x:c>
      <x:c r="C9" s="17" t="str">
        <x:v>COMMUNITY/AREA</x:v>
      </x:c>
      <x:c r="D9" s="17" t="str">
        <x:v>ROAD/LOCALITY_OBJECT_OPEN</x:v>
      </x:c>
      <x:c r="E9" s="17" t="str">
        <x:v>Source explicitly names Kampung Batu 20; exact boundary/segment is not frozen.</x:v>
      </x:c>
      <x:c r="F9" s="17" t="str">
        <x:v>Resolve exact community/road-access geometry.</x:v>
      </x:c>
      <x:c r="G9" s="17" t="str">
        <x:v>OPEN - retain evidence; no fabricated closure</x:v>
      </x:c>
    </x:row>
    <x:row r="10">
      <x:c r="A10" s="17" t="str">
        <x:v>S2024-009</x:v>
      </x:c>
      <x:c r="B10" s="17" t="str">
        <x:v>Kampung Maju Jaya</x:v>
      </x:c>
      <x:c r="C10" s="17" t="str">
        <x:v>COMMUNITY/AREA</x:v>
      </x:c>
      <x:c r="D10" s="17" t="str">
        <x:v>POINT_READY; POLYGON_OPEN</x:v>
      </x:c>
      <x:c r="E10" s="17" t="str">
        <x:v>Representative point is defensible; exact event/community flood polygon is not frozen.</x:v>
      </x:c>
      <x:c r="F10" s="17" t="str">
        <x:v>Seek exact named closed boundary; do not fabricate inundation polygon.</x:v>
      </x:c>
      <x:c r="G10" s="17" t="str">
        <x:v>OPEN - retain evidence; no fabricated closure</x:v>
      </x:c>
    </x:row>
    <x:row r="11">
      <x:c r="A11" s="17" t="str">
        <x:v>S2024-010</x:v>
      </x:c>
      <x:c r="B11" s="17" t="str">
        <x:v>SK Kampung Maju Jaya</x:v>
      </x:c>
      <x:c r="C11" s="17" t="str">
        <x:v>CRITICAL FACILITY</x:v>
      </x:c>
      <x:c r="D11" s="17" t="str">
        <x:v>POINT_READY; FACILITY_POLYGON_OPEN</x:v>
      </x:c>
      <x:c r="E11" s="17" t="str">
        <x:v>Facility point is defensible; exact facility/flood polygon not frozen.</x:v>
      </x:c>
      <x:c r="F11" s="17" t="str">
        <x:v>Resolve exact building boundary only where defensible.</x:v>
      </x:c>
      <x:c r="G11" s="17" t="str">
        <x:v>OPEN - retain evidence; no fabricated closure</x:v>
      </x:c>
    </x:row>
    <x:row r="12">
      <x:c r="A12" s="17" t="str">
        <x:v>S2024-011</x:v>
      </x:c>
      <x:c r="B12" s="17" t="str">
        <x:v>SK Bukit Mutiara</x:v>
      </x:c>
      <x:c r="C12" s="17" t="str">
        <x:v>CRITICAL FACILITY</x:v>
      </x:c>
      <x:c r="D12" s="17" t="str">
        <x:v>FACILITY_POINT/POLYGON_OPEN</x:v>
      </x:c>
      <x:c r="E12" s="17" t="str">
        <x:v>Facility impact is event-valid; exact facility building/flood-water geometry is not frozen.</x:v>
      </x:c>
      <x:c r="F12" s="17" t="str">
        <x:v>Resolve exact building boundary only where defensible.</x:v>
      </x:c>
      <x:c r="G12" s="17" t="str">
        <x:v>OPEN - retain evidence; no fabricated closure</x:v>
      </x:c>
    </x:row>
    <x:row r="13">
      <x:c r="A13" s="17" t="str">
        <x:v>S2024-012</x:v>
      </x:c>
      <x:c r="B13" s="17" t="str">
        <x:v>SK Sungai Tiram</x:v>
      </x:c>
      <x:c r="C13" s="17" t="str">
        <x:v>CRITICAL FACILITY</x:v>
      </x:c>
      <x:c r="D13" s="17" t="str">
        <x:v>FACILITY_POINT/POLYGON_OPEN</x:v>
      </x:c>
      <x:c r="E13" s="17" t="str">
        <x:v>Facility impact is event-valid; exact facility building/flood-water geometry is not frozen.</x:v>
      </x:c>
      <x:c r="F13" s="17" t="str">
        <x:v>Resolve exact building boundary only where defensible.</x:v>
      </x:c>
      <x:c r="G13" s="17" t="str">
        <x:v>OPEN - retain evidence; no fabricated closure</x:v>
      </x:c>
    </x:row>
    <x:row r="14">
      <x:c r="A14" s="17" t="str">
        <x:v>S2024-013</x:v>
      </x:c>
      <x:c r="B14" s="17" t="str">
        <x:v>Jalan Kangkar Tebrau</x:v>
      </x:c>
      <x:c r="C14" s="17" t="str">
        <x:v>ROAD</x:v>
      </x:c>
      <x:c r="D14" s="17" t="str">
        <x:v>ROAD_SEGMENT_OPEN</x:v>
      </x:c>
      <x:c r="E14" s="17" t="str">
        <x:v>Official road-closure evidence exists; parent Kampung Kangkar Tebrau polygon is not a road-flood footprint.</x:v>
      </x:c>
      <x:c r="F14" s="17" t="str">
        <x:v>Do not reuse community polygon for road segment; recover exact closed section if possible.</x:v>
      </x:c>
      <x:c r="G14" s="17" t="str">
        <x:v>OPEN - retain evidence; no fabricated closure</x:v>
      </x:c>
    </x:row>
    <x:row r="15">
      <x:c r="A15" s="17" t="str">
        <x:v>S2024-014</x:v>
      </x:c>
      <x:c r="B15" s="17" t="str">
        <x:v>Taman Setia Indah</x:v>
      </x:c>
      <x:c r="C15" s="17" t="str">
        <x:v>COMMUNITY/AREA</x:v>
      </x:c>
      <x:c r="D15" s="17" t="str">
        <x:v>POINT_READY; POLYGON_OPEN</x:v>
      </x:c>
      <x:c r="E15" s="17" t="str">
        <x:v>Representative point is defensible; exact event/community flood polygon is not frozen.</x:v>
      </x:c>
      <x:c r="F15" s="17" t="str">
        <x:v>Seek exact named closed boundary; do not fabricate inundation polygon.</x:v>
      </x:c>
      <x:c r="G15" s="17" t="str">
        <x:v>OPEN - retain evidence; no fabricated closure</x:v>
      </x:c>
    </x:row>
    <x:row r="16">
      <x:c r="A16" s="17" t="str">
        <x:v>S2024-015</x:v>
      </x:c>
      <x:c r="B16" s="17" t="str">
        <x:v>Kuil Sri Muniswarar Maha Mariamman, Kampung Kangkar Tebrau Kiri</x:v>
      </x:c>
      <x:c r="C16" s="17" t="str">
        <x:v>CRITICAL FACILITY</x:v>
      </x:c>
      <x:c r="D16" s="17" t="str">
        <x:v>FACILITY_POINT/POLYGON_OPEN</x:v>
      </x:c>
      <x:c r="E16" s="17" t="str">
        <x:v>Facility impact is event-valid; exact facility building/flood-water geometry is not frozen.</x:v>
      </x:c>
      <x:c r="F16" s="17" t="str">
        <x:v>Resolve exact building boundary only where defensible.</x:v>
      </x:c>
      <x:c r="G16" s="17" t="str">
        <x:v>OPEN - retain evidence; no fabricated closure</x:v>
      </x:c>
    </x:row>
  </x:sheetData>
  <x:pageMargins left="0.7" right="0.7" top="0.75" bottom="0.75" header="0.3" footer="0.3"/>
</x:worksheet>
</file>

<file path=xl/worksheets/sheet33.xml><?xml version="1.0" encoding="utf-8"?>
<x:worksheet xmlns:x="http://schemas.openxmlformats.org/spreadsheetml/2006/main">
  <x:sheetFormatPr defaultRowHeight="15"/>
  <x:cols>
    <x:col min="1" max="1" width="46" hidden="0" customWidth="1"/>
    <x:col min="2" max="2" width="25" hidden="0" customWidth="1"/>
    <x:col min="3" max="3" width="14" hidden="0" customWidth="1"/>
    <x:col min="4" max="4" width="14" hidden="0" customWidth="1"/>
  </x:cols>
  <x:sheetData>
    <x:row r="1">
      <x:c r="A1" s="45" t="str">
        <x:v>Metric</x:v>
      </x:c>
      <x:c r="B1" s="45" t="str">
        <x:v>Formula / Value</x:v>
      </x:c>
      <x:c r="C1" s="45" t="str">
        <x:v>Expected</x:v>
      </x:c>
      <x:c r="D1" s="45" t="str">
        <x:v>Status</x:v>
      </x:c>
    </x:row>
    <x:row r="2">
      <x:c r="A2" s="9" t="str">
        <x:v>2024 event-location rows</x:v>
      </x:c>
      <x:c r="B2" s="9" t="n">
        <x:f>COUNTA('26_2024_Event_Master'!A2:A16)</x:f>
        <x:v>15</x:v>
      </x:c>
      <x:c r="C2" s="9" t="n">
        <x:v>15</x:v>
      </x:c>
      <x:c r="D2" s="9" t="str">
        <x:f>IF(B2=C2,"PASS","CHECK")</x:f>
        <x:v>PASS</x:v>
      </x:c>
    </x:row>
    <x:row r="3">
      <x:c r="A3" s="9" t="str">
        <x:v>2024 episode groups</x:v>
      </x:c>
      <x:c r="B3" s="9" t="n">
        <x:f>COUNTA('27_2024_Episodes'!A2:A3)</x:f>
        <x:v>2</x:v>
      </x:c>
      <x:c r="C3" s="9" t="n">
        <x:v>2</x:v>
      </x:c>
      <x:c r="D3" s="9" t="str">
        <x:f>IF(B3=C3,"PASS","CHECK")</x:f>
        <x:v>PASS</x:v>
      </x:c>
    </x:row>
    <x:row r="4">
      <x:c r="A4" s="9" t="str">
        <x:v>2024 unique spatial objects</x:v>
      </x:c>
      <x:c r="B4" s="9" t="n">
        <x:f>COUNTA('29_2024_Spatial_Resolution'!A2:A16)</x:f>
        <x:v>15</x:v>
      </x:c>
      <x:c r="C4" s="9" t="n">
        <x:v>15</x:v>
      </x:c>
      <x:c r="D4" s="9" t="str">
        <x:f>IF(B4=C4,"PASS","CHECK")</x:f>
        <x:v>PASS</x:v>
      </x:c>
    </x:row>
    <x:row r="5">
      <x:c r="A5" s="9" t="str">
        <x:v>Strict Point-GIS-ready objects</x:v>
      </x:c>
      <x:c r="B5" s="9" t="n">
        <x:f>SUMPRODUCT(--('29_2024_Spatial_Resolution'!D2:D16=TRUE))</x:f>
        <x:v>4</x:v>
      </x:c>
      <x:c r="C5" s="9" t="n">
        <x:v>4</x:v>
      </x:c>
      <x:c r="D5" s="9" t="str">
        <x:f>IF(B5=C5,"PASS","CHECK")</x:f>
        <x:v>PASS</x:v>
      </x:c>
    </x:row>
    <x:row r="6">
      <x:c r="A6" s="9" t="str">
        <x:v>Open spatial objects</x:v>
      </x:c>
      <x:c r="B6" s="9" t="n">
        <x:f>COUNTA('31_2024_Open_Objects'!A2:A16)</x:f>
        <x:v>15</x:v>
      </x:c>
      <x:c r="C6" s="9" t="n">
        <x:v>15</x:v>
      </x:c>
      <x:c r="D6" s="9" t="str">
        <x:f>IF(B6=C6,"PASS","CHECK")</x:f>
        <x:v>PASS</x:v>
      </x:c>
    </x:row>
    <x:row r="7">
      <x:c r="A7" s="9" t="str">
        <x:v>Unresolved/non-counted evidence rows</x:v>
      </x:c>
      <x:c r="B7" s="9" t="n">
        <x:f>COUNTA('30_2024_Unresolved_Candidates'!A2:A10)</x:f>
        <x:v>9</x:v>
      </x:c>
      <x:c r="C7" s="9" t="n">
        <x:v>9</x:v>
      </x:c>
      <x:c r="D7" s="9" t="str">
        <x:f>IF(B7=C7,"PASS","CHECK")</x:f>
        <x:v>PASS</x:v>
      </x:c>
    </x:row>
    <x:row r="8">
      <x:c r="A8" s="9" t="str">
        <x:v>Missing Spatial_Object_Key refs</x:v>
      </x:c>
      <x:c r="B8" s="9" t="n">
        <x:f>COUNTIF('26_2024_Event_Master'!E2:E16,"")</x:f>
        <x:v>0</x:v>
      </x:c>
      <x:c r="C8" s="9" t="n">
        <x:v>0</x:v>
      </x:c>
      <x:c r="D8" s="9" t="str">
        <x:f>IF(B8=C8,"PASS","CHECK")</x:f>
        <x:v>PASS</x:v>
      </x:c>
    </x:row>
    <x:row r="9">
      <x:c r="A9" s="9" t="str">
        <x:v>Cumulative event rows through 2024</x:v>
      </x:c>
      <x:c r="B9" s="9" t="n">
        <x:f>261+B2</x:f>
        <x:v>276</x:v>
      </x:c>
      <x:c r="C9" s="9" t="n">
        <x:v>276</x:v>
      </x:c>
      <x:c r="D9" s="9" t="str">
        <x:f>IF(B9=C9,"PASS","CHECK")</x:f>
        <x:v>PASS</x:v>
      </x:c>
    </x:row>
    <x:row r="10">
      <x:c r="A10" s="9" t="str">
        <x:v>2025 records included</x:v>
      </x:c>
      <x:c r="B10" s="9" t="n">
        <x:v>0</x:v>
      </x:c>
      <x:c r="C10" s="9" t="n">
        <x:v>0</x:v>
      </x:c>
      <x:c r="D10" s="9" t="str">
        <x:f>IF(B10=C10,"PASS","CHECK")</x:f>
        <x:v>PASS</x:v>
      </x:c>
    </x:row>
  </x:sheetData>
  <x:pageMargins left="0.7" right="0.7" top="0.75" bottom="0.75" header="0.3" footer="0.3"/>
</x:worksheet>
</file>

<file path=xl/worksheets/sheet34.xml><?xml version="1.0" encoding="utf-8"?>
<x:worksheet xmlns:x="http://schemas.openxmlformats.org/spreadsheetml/2006/main">
  <x:sheetFormatPr defaultRowHeight="15"/>
  <x:cols>
    <x:col min="1" max="1" width="31" hidden="0" customWidth="1"/>
    <x:col min="2" max="2" width="42" hidden="0" customWidth="1"/>
    <x:col min="3" max="3" width="18" hidden="0" customWidth="1"/>
    <x:col min="4" max="4" width="42" hidden="0" customWidth="1"/>
    <x:col min="5" max="5" width="28" hidden="0" customWidth="1"/>
    <x:col min="6" max="6" width="70" hidden="0" customWidth="1"/>
    <x:col min="7" max="7" width="60" hidden="0" customWidth="1"/>
  </x:cols>
  <x:sheetData>
    <x:row r="1">
      <x:c r="A1" s="47" t="str">
        <x:v>Polygon_ID</x:v>
      </x:c>
      <x:c r="B1" s="47" t="str">
        <x:v>Object_Name</x:v>
      </x:c>
      <x:c r="C1" s="47" t="str">
        <x:v>Closure_Status</x:v>
      </x:c>
      <x:c r="D1" s="47" t="str">
        <x:v>Geometry_Source</x:v>
      </x:c>
      <x:c r="E1" s="47" t="str">
        <x:v>2024_Event_Use</x:v>
      </x:c>
      <x:c r="F1" s="47" t="str">
        <x:v>Interpretation</x:v>
      </x:c>
      <x:c r="G1" s="47" t="str">
        <x:v>Decision</x:v>
      </x:c>
    </x:row>
  </x:sheetData>
  <x:pageMargins left="0.7" right="0.7" top="0.75" bottom="0.75" header="0.3" footer="0.3"/>
</x:worksheet>
</file>

<file path=xl/worksheets/sheet35.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70" hidden="0" customWidth="1"/>
  </x:cols>
  <x:sheetData>
    <x:row r="1">
      <x:c r="A1" s="45" t="str">
        <x:v>Metric</x:v>
      </x:c>
      <x:c r="B1" s="45" t="str">
        <x:v>Formula / Value</x:v>
      </x:c>
      <x:c r="C1" s="45" t="str">
        <x:v>Expected</x:v>
      </x:c>
      <x:c r="D1" s="45" t="str">
        <x:v>Status</x:v>
      </x:c>
      <x:c r="E1" s="45" t="str">
        <x:v>Interpretation</x:v>
      </x:c>
    </x:row>
    <x:row r="2">
      <x:c r="A2" s="9" t="str">
        <x:v>2024 new closed polygons</x:v>
      </x:c>
      <x:c r="B2" s="9" t="n">
        <x:v>0</x:v>
      </x:c>
      <x:c r="C2" s="9" t="n">
        <x:v>0</x:v>
      </x:c>
      <x:c r="D2" s="9" t="str">
        <x:f>IF(B2=C2,"PASS","CHECK")</x:f>
        <x:v>PASS</x:v>
      </x:c>
      <x:c r="E2" s="9" t="str">
        <x:v>No exact new named closed geometry defensibly frozen.</x:v>
      </x:c>
    </x:row>
    <x:row r="3">
      <x:c r="A3" s="9" t="str">
        <x:v>2024 reused closed polygons</x:v>
      </x:c>
      <x:c r="B3" s="9" t="n">
        <x:v>0</x:v>
      </x:c>
      <x:c r="C3" s="9" t="n">
        <x:v>0</x:v>
      </x:c>
      <x:c r="D3" s="9" t="str">
        <x:f>IF(B3=C3,"PASS","CHECK")</x:f>
        <x:v>PASS</x:v>
      </x:c>
      <x:c r="E3" s="9" t="str">
        <x:v>Community polygons are not substituted for road/facility/subarea events.</x:v>
      </x:c>
    </x:row>
    <x:row r="4">
      <x:c r="A4" s="9" t="str">
        <x:v>2024 directly usable closed analysis regions</x:v>
      </x:c>
      <x:c r="B4" s="9" t="n">
        <x:v>0</x:v>
      </x:c>
      <x:c r="C4" s="9" t="n">
        <x:v>0</x:v>
      </x:c>
      <x:c r="D4" s="9" t="str">
        <x:f>IF(B4=C4,"PASS","CHECK")</x:f>
        <x:v>PASS</x:v>
      </x:c>
      <x:c r="E4" s="9" t="str">
        <x:v>No 2024 event object receives a closed analysis polygon in this pass.</x:v>
      </x:c>
    </x:row>
    <x:row r="5">
      <x:c r="A5" s="9" t="str">
        <x:v>Cumulative Polygon_ID through 2024</x:v>
      </x:c>
      <x:c r="B5" s="9" t="n">
        <x:v>14</x:v>
      </x:c>
      <x:c r="C5" s="9" t="n">
        <x:v>14</x:v>
      </x:c>
      <x:c r="D5" s="9" t="str">
        <x:f>IF(B5=C5,"PASS","CHECK")</x:f>
        <x:v>PASS</x:v>
      </x:c>
      <x:c r="E5" s="9" t="str">
        <x:v>R018 total remains unchanged.</x:v>
      </x:c>
    </x:row>
    <x:row r="6">
      <x:c r="A6" s="9" t="str">
        <x:v>Cumulative closed polygon WKT lineage</x:v>
      </x:c>
      <x:c r="B6" s="9" t="n">
        <x:v>14</x:v>
      </x:c>
      <x:c r="C6" s="9" t="n">
        <x:v>14</x:v>
      </x:c>
      <x:c r="D6" s="9" t="str">
        <x:f>IF(B6=C6,"PASS","CHECK")</x:f>
        <x:v>PASS</x:v>
      </x:c>
      <x:c r="E6" s="9" t="str">
        <x:v>Existing formal lineage unchanged.</x:v>
      </x:c>
    </x:row>
    <x:row r="7">
      <x:c r="A7" s="9" t="str">
        <x:v>2024 event-location rows</x:v>
      </x:c>
      <x:c r="B7" s="9" t="n">
        <x:f>'32_QA_2024_Event_Spatial'!B2</x:f>
        <x:v>15</x:v>
      </x:c>
      <x:c r="C7" s="9" t="n">
        <x:v>15</x:v>
      </x:c>
      <x:c r="D7" s="9" t="str">
        <x:f>IF(B7=C7,"PASS","CHECK")</x:f>
        <x:v>PASS</x:v>
      </x:c>
      <x:c r="E7" s="9" t="str">
        <x:v>Exact/date-anchored evidence rows only.</x:v>
      </x:c>
    </x:row>
    <x:row r="8">
      <x:c r="A8" s="9" t="str">
        <x:v>2024 episode groups</x:v>
      </x:c>
      <x:c r="B8" s="9" t="n">
        <x:f>'32_QA_2024_Event_Spatial'!B3</x:f>
        <x:v>2</x:v>
      </x:c>
      <x:c r="C8" s="9" t="n">
        <x:v>2</x:v>
      </x:c>
      <x:c r="D8" s="9" t="str">
        <x:f>IF(B8=C8,"PASS","CHECK")</x:f>
        <x:v>PASS</x:v>
      </x:c>
      <x:c r="E8" s="9" t="str">
        <x:v>One prolonged Jan monsoon episode + one 24 Jan flash-flood episode.</x:v>
      </x:c>
    </x:row>
    <x:row r="9">
      <x:c r="A9" s="9" t="str">
        <x:v>Cumulative event rows through 2024</x:v>
      </x:c>
      <x:c r="B9" s="9" t="n">
        <x:f>'32_QA_2024_Event_Spatial'!B9</x:f>
        <x:v>276</x:v>
      </x:c>
      <x:c r="C9" s="9" t="n">
        <x:v>276</x:v>
      </x:c>
      <x:c r="D9" s="9" t="str">
        <x:f>IF(B9=C9,"PASS","CHECK")</x:f>
        <x:v>PASS</x:v>
      </x:c>
      <x:c r="E9" s="9" t="str">
        <x:v>R018 261 + 2024 exact rows.</x:v>
      </x:c>
    </x:row>
    <x:row r="10">
      <x:c r="A10" s="9" t="str">
        <x:v>Formula errors in 2024 QA</x:v>
      </x:c>
      <x:c r="B10" s="9" t="n">
        <x:v>0</x:v>
      </x:c>
      <x:c r="C10" s="9" t="n">
        <x:v>0</x:v>
      </x:c>
      <x:c r="D10" s="9" t="str">
        <x:f>IF(B10=C10,"PASS","CHECK")</x:f>
        <x:v>PASS</x:v>
      </x:c>
      <x:c r="E10" s="9" t="str">
        <x:v>Checked after workbook build.</x:v>
      </x:c>
    </x:row>
    <x:row r="11">
      <x:c r="A11" s="9" t="str">
        <x:v>2025 records included</x:v>
      </x:c>
      <x:c r="B11" s="9" t="n">
        <x:v>0</x:v>
      </x:c>
      <x:c r="C11" s="9" t="n">
        <x:v>0</x:v>
      </x:c>
      <x:c r="D11" s="9" t="str">
        <x:f>IF(B11=C11,"PASS","CHECK")</x:f>
        <x:v>PASS</x:v>
      </x:c>
      <x:c r="E11" s="9" t="str">
        <x:v>Hard stop after 2024.</x:v>
      </x:c>
    </x:row>
  </x:sheetData>
  <x:pageMargins left="0.7" right="0.7" top="0.75" bottom="0.75" header="0.3" footer="0.3"/>
</x:worksheet>
</file>

<file path=xl/worksheets/sheet36.xml><?xml version="1.0" encoding="utf-8"?>
<x:worksheet xmlns:x="http://schemas.openxmlformats.org/spreadsheetml/2006/main">
  <x:sheetFormatPr defaultRowHeight="15"/>
  <x:cols>
    <x:col min="1" max="1" width="20" hidden="0" customWidth="1"/>
    <x:col min="2" max="2" width="13" hidden="0" customWidth="1"/>
    <x:col min="3" max="3" width="29" hidden="0" customWidth="1"/>
    <x:col min="4" max="4" width="56" hidden="0" customWidth="1"/>
    <x:col min="5" max="5" width="16" hidden="0" customWidth="1"/>
    <x:col min="6" max="6" width="54" hidden="0" customWidth="1"/>
    <x:col min="7" max="7" width="36" hidden="0" customWidth="1"/>
    <x:col min="8" max="8" width="13" hidden="0" customWidth="1"/>
    <x:col min="9" max="9" width="33" hidden="0" customWidth="1"/>
    <x:col min="10" max="10" width="33" hidden="0" customWidth="1"/>
    <x:col min="11" max="11" width="42" hidden="0" customWidth="1"/>
    <x:col min="12" max="12" width="76" hidden="0" customWidth="1"/>
  </x:cols>
  <x:sheetData>
    <x:row r="1">
      <x:c r="A1" s="54" t="str">
        <x:v>Event_ID</x:v>
      </x:c>
      <x:c r="B1" s="54" t="str">
        <x:v>Event_Date</x:v>
      </x:c>
      <x:c r="C1" s="54" t="str">
        <x:v>Dedup_Group_ID</x:v>
      </x:c>
      <x:c r="D1" s="54" t="str">
        <x:v>Source_Location_Label</x:v>
      </x:c>
      <x:c r="E1" s="54" t="str">
        <x:v>Spatial_Object_Key</x:v>
      </x:c>
      <x:c r="F1" s="54" t="str">
        <x:v>Canonical_Spatial_Object</x:v>
      </x:c>
      <x:c r="G1" s="54" t="str">
        <x:v>Event_Type</x:v>
      </x:c>
      <x:c r="H1" s="54" t="str">
        <x:v>Evidence_Tier</x:v>
      </x:c>
      <x:c r="I1" s="54" t="str">
        <x:v>Primary_Source_ID</x:v>
      </x:c>
      <x:c r="J1" s="54" t="str">
        <x:v>Secondary_Source_ID</x:v>
      </x:c>
      <x:c r="K1" s="54" t="str">
        <x:v>Date_Precision</x:v>
      </x:c>
      <x:c r="L1" s="54" t="str">
        <x:v>Notes</x:v>
      </x:c>
    </x:row>
    <x:row r="2">
      <x:c r="A2" s="17" t="str">
        <x:v>EVT-JB-2025-001</x:v>
      </x:c>
      <x:c r="B2" s="17" t="str">
        <x:v>2025-01-11</x:v>
      </x:c>
      <x:c r="C2" s="17" t="str">
        <x:v>DG-JB-20250110-20250115</x:v>
      </x:c>
      <x:c r="D2" s="17" t="str">
        <x:v>Kampung Kangkar Tebrau</x:v>
      </x:c>
      <x:c r="E2" s="17" t="str">
        <x:v>S2025-001</x:v>
      </x:c>
      <x:c r="F2" s="17" t="str">
        <x:v>Kampung Kangkar Tebrau</x:v>
      </x:c>
      <x:c r="G2" s="17" t="str">
        <x:v>Monsoon flood / inundation</x:v>
      </x:c>
      <x:c r="H2" s="17" t="str">
        <x:v>A/B</x:v>
      </x:c>
      <x:c r="I2" s="17" t="str">
        <x:v>SRC_R2025_UTUSAN_20250111</x:v>
      </x:c>
      <x:c r="J2" s="17" t="str">
        <x:v>SRC_R2025_NADMA_20250113</x:v>
      </x:c>
      <x:c r="K2" s="17" t="str">
        <x:v>Exact day; flood began during heavy rain from 10 Jan</x:v>
      </x:c>
      <x:c r="L2" s="17" t="str">
        <x:v>About 300 families / ~1,000 residents affected according to field report.</x:v>
      </x:c>
    </x:row>
    <x:row r="3">
      <x:c r="A3" s="17" t="str">
        <x:v>EVT-JB-2025-002</x:v>
      </x:c>
      <x:c r="B3" s="17" t="str">
        <x:v>2025-01-11</x:v>
      </x:c>
      <x:c r="C3" s="17" t="str">
        <x:v>DG-JB-20250110-20250115</x:v>
      </x:c>
      <x:c r="D3" s="17" t="str">
        <x:v>Kampung Paya Kenangan</x:v>
      </x:c>
      <x:c r="E3" s="17" t="str">
        <x:v>S2025-002</x:v>
      </x:c>
      <x:c r="F3" s="17" t="str">
        <x:v>Kampung Paya Kenangan</x:v>
      </x:c>
      <x:c r="G3" s="17" t="str">
        <x:v>Monsoon flood / inundation</x:v>
      </x:c>
      <x:c r="H3" s="17" t="str">
        <x:v>A/B</x:v>
      </x:c>
      <x:c r="I3" s="17" t="str">
        <x:v>SRC_R2025_BERNAMA_20250111</x:v>
      </x:c>
      <x:c r="J3" s="17" t="str">
        <x:v>SRC_R2025_NADMA_20250113</x:v>
      </x:c>
      <x:c r="K3" s="17" t="str">
        <x:v>Exact day</x:v>
      </x:c>
      <x:c r="L3" s="17" t="str">
        <x:v>Bernama field observation shows homes/road inundated.</x:v>
      </x:c>
    </x:row>
    <x:row r="4">
      <x:c r="A4" s="17" t="str">
        <x:v>EVT-JB-2025-003</x:v>
      </x:c>
      <x:c r="B4" s="17" t="str">
        <x:v>2025-01-11</x:v>
      </x:c>
      <x:c r="C4" s="17" t="str">
        <x:v>DG-JB-20250110-20250115</x:v>
      </x:c>
      <x:c r="D4" s="17" t="str">
        <x:v>SK Kangkar Tebrau</x:v>
      </x:c>
      <x:c r="E4" s="17" t="str">
        <x:v>S2025-003</x:v>
      </x:c>
      <x:c r="F4" s="17" t="str">
        <x:v>SK Kangkar Tebrau</x:v>
      </x:c>
      <x:c r="G4" s="17" t="str">
        <x:v>Monsoon flood / inundation</x:v>
      </x:c>
      <x:c r="H4" s="17" t="str">
        <x:v>A/B</x:v>
      </x:c>
      <x:c r="I4" s="17" t="str">
        <x:v>SRC_R2025_UTUSAN_20250111</x:v>
      </x:c>
      <x:c r="J4" s="17" t="str"/>
      <x:c r="K4" s="17" t="str">
        <x:v>Exact day</x:v>
      </x:c>
      <x:c r="L4" s="17" t="str">
        <x:v>Entire school building and field reported inundated.</x:v>
      </x:c>
    </x:row>
    <x:row r="5">
      <x:c r="A5" s="17" t="str">
        <x:v>EVT-JB-2025-004</x:v>
      </x:c>
      <x:c r="B5" s="17" t="str">
        <x:v>2025-01-11</x:v>
      </x:c>
      <x:c r="C5" s="17" t="str">
        <x:v>DG-JB-20250110-20250115</x:v>
      </x:c>
      <x:c r="D5" s="17" t="str">
        <x:v>Masjid Kampung Kangkar Tebrau</x:v>
      </x:c>
      <x:c r="E5" s="17" t="str">
        <x:v>S2025-004</x:v>
      </x:c>
      <x:c r="F5" s="17" t="str">
        <x:v>Masjid Kampung Kangkar Tebrau</x:v>
      </x:c>
      <x:c r="G5" s="17" t="str">
        <x:v>Monsoon flood / inundation</x:v>
      </x:c>
      <x:c r="H5" s="17" t="str">
        <x:v>A/B</x:v>
      </x:c>
      <x:c r="I5" s="17" t="str">
        <x:v>SRC_R2025_UTUSAN_20250111</x:v>
      </x:c>
      <x:c r="J5" s="17" t="str"/>
      <x:c r="K5" s="17" t="str">
        <x:v>Exact day</x:v>
      </x:c>
      <x:c r="L5" s="17" t="str">
        <x:v>Mosque compound and stored event supplies inundated.</x:v>
      </x:c>
    </x:row>
    <x:row r="6">
      <x:c r="A6" s="17" t="str">
        <x:v>EVT-JB-2025-005</x:v>
      </x:c>
      <x:c r="B6" s="17" t="str">
        <x:v>2025-01-11</x:v>
      </x:c>
      <x:c r="C6" s="17" t="str">
        <x:v>DG-JB-20250110-20250115</x:v>
      </x:c>
      <x:c r="D6" s="17" t="str">
        <x:v>Kampung Pasir</x:v>
      </x:c>
      <x:c r="E6" s="17" t="str">
        <x:v>S2025-005</x:v>
      </x:c>
      <x:c r="F6" s="17" t="str">
        <x:v>Kampung Pasir</x:v>
      </x:c>
      <x:c r="G6" s="17" t="str">
        <x:v>Monsoon flood / inundation</x:v>
      </x:c>
      <x:c r="H6" s="17" t="str">
        <x:v>A/B</x:v>
      </x:c>
      <x:c r="I6" s="17" t="str">
        <x:v>SRC_R2025_NADMA_20250113</x:v>
      </x:c>
      <x:c r="J6" s="17" t="str">
        <x:v>SRC_R2025_NST_NADMA_20250113</x:v>
      </x:c>
      <x:c r="K6" s="17" t="str">
        <x:v>Episode date range; confirmed worst-hit by 12–13 Jan</x:v>
      </x:c>
      <x:c r="L6" s="17" t="str">
        <x:v>Retained as one January episode, not daily duplicate counts.</x:v>
      </x:c>
    </x:row>
    <x:row r="7">
      <x:c r="A7" s="17" t="str">
        <x:v>EVT-JB-2025-006</x:v>
      </x:c>
      <x:c r="B7" s="17" t="str">
        <x:v>2025-03-19</x:v>
      </x:c>
      <x:c r="C7" s="17" t="str">
        <x:v>DG-JB-20250319-20250324</x:v>
      </x:c>
      <x:c r="D7" s="17" t="str">
        <x:v>Kampung Kangkar Tebrau</x:v>
      </x:c>
      <x:c r="E7" s="17" t="str">
        <x:v>S2025-001</x:v>
      </x:c>
      <x:c r="F7" s="17" t="str">
        <x:v>Kampung Kangkar Tebrau</x:v>
      </x:c>
      <x:c r="G7" s="17" t="str">
        <x:v>Monsoon flood / residential inundation</x:v>
      </x:c>
      <x:c r="H7" s="17" t="str">
        <x:v>A</x:v>
      </x:c>
      <x:c r="I7" s="17" t="str">
        <x:v>SRC_R2025_NADMA_20250320</x:v>
      </x:c>
      <x:c r="J7" s="17" t="str"/>
      <x:c r="K7" s="17" t="str">
        <x:v>Exact day / evening evacuation evidence</x:v>
      </x:c>
      <x:c r="L7" s="17" t="str">
        <x:v>Affected-origin community explicitly identified by JPBN/NADMA.</x:v>
      </x:c>
    </x:row>
    <x:row r="8">
      <x:c r="A8" s="17" t="str">
        <x:v>EVT-JB-2025-007</x:v>
      </x:c>
      <x:c r="B8" s="17" t="str">
        <x:v>2025-03-19</x:v>
      </x:c>
      <x:c r="C8" s="17" t="str">
        <x:v>DG-JB-20250319-20250324</x:v>
      </x:c>
      <x:c r="D8" s="17" t="str">
        <x:v>Kampung Ulu Pandan</x:v>
      </x:c>
      <x:c r="E8" s="17" t="str">
        <x:v>S2025-006</x:v>
      </x:c>
      <x:c r="F8" s="17" t="str">
        <x:v>Kampung Ulu Pandan</x:v>
      </x:c>
      <x:c r="G8" s="17" t="str">
        <x:v>Monsoon flood / residential inundation</x:v>
      </x:c>
      <x:c r="H8" s="17" t="str">
        <x:v>A</x:v>
      </x:c>
      <x:c r="I8" s="17" t="str">
        <x:v>SRC_R2025_NADMA_20250320</x:v>
      </x:c>
      <x:c r="J8" s="17" t="str"/>
      <x:c r="K8" s="17" t="str">
        <x:v>Exact day / evening evacuation evidence</x:v>
      </x:c>
      <x:c r="L8" s="17" t="str">
        <x:v>Affected-origin community explicitly identified by JPBN/NADMA.</x:v>
      </x:c>
    </x:row>
    <x:row r="9">
      <x:c r="A9" s="17" t="str">
        <x:v>EVT-JB-2025-008</x:v>
      </x:c>
      <x:c r="B9" s="17" t="str">
        <x:v>2025-03-19</x:v>
      </x:c>
      <x:c r="C9" s="17" t="str">
        <x:v>DG-JB-20250319-20250324</x:v>
      </x:c>
      <x:c r="D9" s="17" t="str">
        <x:v>Kampung Bunga Ros</x:v>
      </x:c>
      <x:c r="E9" s="17" t="str">
        <x:v>S2025-007</x:v>
      </x:c>
      <x:c r="F9" s="17" t="str">
        <x:v>Kampung Bunga Ros</x:v>
      </x:c>
      <x:c r="G9" s="17" t="str">
        <x:v>Monsoon flood / residential inundation</x:v>
      </x:c>
      <x:c r="H9" s="17" t="str">
        <x:v>A</x:v>
      </x:c>
      <x:c r="I9" s="17" t="str">
        <x:v>SRC_R2025_NADMA_20250320</x:v>
      </x:c>
      <x:c r="J9" s="17" t="str"/>
      <x:c r="K9" s="17" t="str">
        <x:v>Exact day / evening evacuation evidence</x:v>
      </x:c>
      <x:c r="L9" s="17" t="str">
        <x:v>Affected-origin community explicitly identified by JPBN/NADMA.</x:v>
      </x:c>
    </x:row>
    <x:row r="10">
      <x:c r="A10" s="17" t="str">
        <x:v>EVT-JB-2025-009</x:v>
      </x:c>
      <x:c r="B10" s="17" t="str">
        <x:v>2025-03-19</x:v>
      </x:c>
      <x:c r="C10" s="17" t="str">
        <x:v>DG-JB-20250319-20250324</x:v>
      </x:c>
      <x:c r="D10" s="17" t="str">
        <x:v>Kampung Paya Kenangan</x:v>
      </x:c>
      <x:c r="E10" s="17" t="str">
        <x:v>S2025-002</x:v>
      </x:c>
      <x:c r="F10" s="17" t="str">
        <x:v>Kampung Paya Kenangan</x:v>
      </x:c>
      <x:c r="G10" s="17" t="str">
        <x:v>Monsoon flood / residential inundation</x:v>
      </x:c>
      <x:c r="H10" s="17" t="str">
        <x:v>A</x:v>
      </x:c>
      <x:c r="I10" s="17" t="str">
        <x:v>SRC_R2025_NADMA_20250320</x:v>
      </x:c>
      <x:c r="J10" s="17" t="str"/>
      <x:c r="K10" s="17" t="str">
        <x:v>Exact day / evening evacuation evidence</x:v>
      </x:c>
      <x:c r="L10" s="17" t="str">
        <x:v>Affected-origin community explicitly identified by JPBN/NADMA.</x:v>
      </x:c>
    </x:row>
    <x:row r="11">
      <x:c r="A11" s="17" t="str">
        <x:v>EVT-JB-2025-010</x:v>
      </x:c>
      <x:c r="B11" s="17" t="str">
        <x:v>2025-03-19</x:v>
      </x:c>
      <x:c r="C11" s="17" t="str">
        <x:v>DG-JB-20250319-20250324</x:v>
      </x:c>
      <x:c r="D11" s="17" t="str">
        <x:v>Kampung Pasir Tebrau</x:v>
      </x:c>
      <x:c r="E11" s="17" t="str">
        <x:v>S2025-008</x:v>
      </x:c>
      <x:c r="F11" s="17" t="str">
        <x:v>Kampung Pasir Tebrau</x:v>
      </x:c>
      <x:c r="G11" s="17" t="str">
        <x:v>Monsoon flood / residential inundation</x:v>
      </x:c>
      <x:c r="H11" s="17" t="str">
        <x:v>A</x:v>
      </x:c>
      <x:c r="I11" s="17" t="str">
        <x:v>SRC_R2025_NADMA_20250320</x:v>
      </x:c>
      <x:c r="J11" s="17" t="str"/>
      <x:c r="K11" s="17" t="str">
        <x:v>Exact day / evening evacuation evidence</x:v>
      </x:c>
      <x:c r="L11" s="17" t="str">
        <x:v>Affected-origin community explicitly identified by JPBN/NADMA.</x:v>
      </x:c>
    </x:row>
    <x:row r="12">
      <x:c r="A12" s="17" t="str">
        <x:v>EVT-JB-2025-011</x:v>
      </x:c>
      <x:c r="B12" s="17" t="str">
        <x:v>2025-03-20</x:v>
      </x:c>
      <x:c r="C12" s="17" t="str">
        <x:v>DG-JB-20250319-20250324</x:v>
      </x:c>
      <x:c r="D12" s="17" t="str">
        <x:v>Kampung Laut Skudai</x:v>
      </x:c>
      <x:c r="E12" s="17" t="str">
        <x:v>S2025-009</x:v>
      </x:c>
      <x:c r="F12" s="17" t="str">
        <x:v>Kampung Laut Skudai</x:v>
      </x:c>
      <x:c r="G12" s="17" t="str">
        <x:v>Monsoon flood / flash-flood impact</x:v>
      </x:c>
      <x:c r="H12" s="17" t="str">
        <x:v>A/B/C</x:v>
      </x:c>
      <x:c r="I12" s="17" t="str">
        <x:v>SRC_R2025_NADMA_20250320_OPS</x:v>
      </x:c>
      <x:c r="J12" s="17" t="str"/>
      <x:c r="K12" s="17" t="str">
        <x:v>Exact day or mayor-retrospective within 19–20 Mar episode</x:v>
      </x:c>
      <x:c r="L12" s="17" t="str">
        <x:v>Fire-and-rescue evacuation/monitoring location.</x:v>
      </x:c>
    </x:row>
    <x:row r="13">
      <x:c r="A13" s="17" t="str">
        <x:v>EVT-JB-2025-012</x:v>
      </x:c>
      <x:c r="B13" s="17" t="str">
        <x:v>2025-03-20</x:v>
      </x:c>
      <x:c r="C13" s="17" t="str">
        <x:v>DG-JB-20250319-20250324</x:v>
      </x:c>
      <x:c r="D13" s="17" t="str">
        <x:v>Kampung Pasir</x:v>
      </x:c>
      <x:c r="E13" s="17" t="str">
        <x:v>S2025-005</x:v>
      </x:c>
      <x:c r="F13" s="17" t="str">
        <x:v>Kampung Pasir</x:v>
      </x:c>
      <x:c r="G13" s="17" t="str">
        <x:v>Monsoon flood / flash-flood impact</x:v>
      </x:c>
      <x:c r="H13" s="17" t="str">
        <x:v>A/B/C</x:v>
      </x:c>
      <x:c r="I13" s="17" t="str">
        <x:v>SRC_R2025_NADMA_20250320_OPS</x:v>
      </x:c>
      <x:c r="J13" s="17" t="str">
        <x:v>SRC_R2025_MAYOR_20250328</x:v>
      </x:c>
      <x:c r="K13" s="17" t="str">
        <x:v>Exact day or mayor-retrospective within 19–20 Mar episode</x:v>
      </x:c>
      <x:c r="L13" s="17" t="str">
        <x:v>One of the worst-hit MBJB areas.</x:v>
      </x:c>
    </x:row>
    <x:row r="14">
      <x:c r="A14" s="17" t="str">
        <x:v>EVT-JB-2025-013</x:v>
      </x:c>
      <x:c r="B14" s="17" t="str">
        <x:v>2025-03-20</x:v>
      </x:c>
      <x:c r="C14" s="17" t="str">
        <x:v>DG-JB-20250319-20250324</x:v>
      </x:c>
      <x:c r="D14" s="17" t="str">
        <x:v>Pandan</x:v>
      </x:c>
      <x:c r="E14" s="17" t="str">
        <x:v>S2025-010</x:v>
      </x:c>
      <x:c r="F14" s="17" t="str">
        <x:v>Pandan</x:v>
      </x:c>
      <x:c r="G14" s="17" t="str">
        <x:v>Monsoon flood / flash-flood impact</x:v>
      </x:c>
      <x:c r="H14" s="17" t="str">
        <x:v>A/B/C</x:v>
      </x:c>
      <x:c r="I14" s="17" t="str">
        <x:v>SRC_R2025_MAYOR_20250328</x:v>
      </x:c>
      <x:c r="J14" s="17" t="str"/>
      <x:c r="K14" s="17" t="str">
        <x:v>Exact day or mayor-retrospective within 19–20 Mar episode</x:v>
      </x:c>
      <x:c r="L14" s="17" t="str">
        <x:v>Mayor retrospective explicitly includes Pandan among affected MBJB locations.</x:v>
      </x:c>
    </x:row>
    <x:row r="15">
      <x:c r="A15" s="17" t="str">
        <x:v>EVT-JB-2025-014</x:v>
      </x:c>
      <x:c r="B15" s="17" t="str">
        <x:v>2025-03-20</x:v>
      </x:c>
      <x:c r="C15" s="17" t="str">
        <x:v>DG-JB-20250319-20250324</x:v>
      </x:c>
      <x:c r="D15" s="17" t="str">
        <x:v>Taman Desa Mutiara</x:v>
      </x:c>
      <x:c r="E15" s="17" t="str">
        <x:v>S2025-011</x:v>
      </x:c>
      <x:c r="F15" s="17" t="str">
        <x:v>Taman Desa Mutiara</x:v>
      </x:c>
      <x:c r="G15" s="17" t="str">
        <x:v>Monsoon flood / flash-flood impact</x:v>
      </x:c>
      <x:c r="H15" s="17" t="str">
        <x:v>A/B/C</x:v>
      </x:c>
      <x:c r="I15" s="17" t="str">
        <x:v>SRC_R2025_MAYOR_20250328</x:v>
      </x:c>
      <x:c r="J15" s="17" t="str">
        <x:v>SRC_R2025_NADMA_20250322_AID</x:v>
      </x:c>
      <x:c r="K15" s="17" t="str">
        <x:v>Exact day or mayor-retrospective within 19–20 Mar episode</x:v>
      </x:c>
      <x:c r="L15" s="17" t="str">
        <x:v>Post-flood cleanup evidence supports direct impact.</x:v>
      </x:c>
    </x:row>
    <x:row r="16">
      <x:c r="A16" s="17" t="str">
        <x:v>EVT-JB-2025-015</x:v>
      </x:c>
      <x:c r="B16" s="17" t="str">
        <x:v>2025-03-20</x:v>
      </x:c>
      <x:c r="C16" s="17" t="str">
        <x:v>DG-JB-20250319-20250324</x:v>
      </x:c>
      <x:c r="D16" s="17" t="str">
        <x:v>Taman Tampoi Utama</x:v>
      </x:c>
      <x:c r="E16" s="17" t="str">
        <x:v>S2025-012</x:v>
      </x:c>
      <x:c r="F16" s="17" t="str">
        <x:v>Taman Tampoi Utama</x:v>
      </x:c>
      <x:c r="G16" s="17" t="str">
        <x:v>Monsoon flood / flash-flood impact</x:v>
      </x:c>
      <x:c r="H16" s="17" t="str">
        <x:v>A/B/C</x:v>
      </x:c>
      <x:c r="I16" s="17" t="str">
        <x:v>SRC_R2025_MAYOR_20250328</x:v>
      </x:c>
      <x:c r="J16" s="17" t="str">
        <x:v>SRC_R2025_NADMA_20250321_TAMPOI</x:v>
      </x:c>
      <x:c r="K16" s="17" t="str">
        <x:v>Exact day or mayor-retrospective within 19–20 Mar episode</x:v>
      </x:c>
      <x:c r="L16" s="17" t="str">
        <x:v>School/neighbourhood rescue evidence.</x:v>
      </x:c>
    </x:row>
    <x:row r="17">
      <x:c r="A17" s="17" t="str">
        <x:v>EVT-JB-2025-016</x:v>
      </x:c>
      <x:c r="B17" s="17" t="str">
        <x:v>2025-03-20</x:v>
      </x:c>
      <x:c r="C17" s="17" t="str">
        <x:v>DG-JB-20250319-20250324</x:v>
      </x:c>
      <x:c r="D17" s="17" t="str">
        <x:v>Kampung Seri Serdang</x:v>
      </x:c>
      <x:c r="E17" s="17" t="str">
        <x:v>S2025-013</x:v>
      </x:c>
      <x:c r="F17" s="17" t="str">
        <x:v>Kampung Seri Serdang</x:v>
      </x:c>
      <x:c r="G17" s="17" t="str">
        <x:v>Monsoon flood / flash-flood impact</x:v>
      </x:c>
      <x:c r="H17" s="17" t="str">
        <x:v>A/B/C</x:v>
      </x:c>
      <x:c r="I17" s="17" t="str">
        <x:v>SRC_R2025_MAYOR_20250328</x:v>
      </x:c>
      <x:c r="J17" s="17" t="str"/>
      <x:c r="K17" s="17" t="str">
        <x:v>Exact day or mayor-retrospective within 19–20 Mar episode</x:v>
      </x:c>
      <x:c r="L17" s="17" t="str">
        <x:v>Mayor retrospective explicit location.</x:v>
      </x:c>
    </x:row>
    <x:row r="18">
      <x:c r="A18" s="17" t="str">
        <x:v>EVT-JB-2025-017</x:v>
      </x:c>
      <x:c r="B18" s="17" t="str">
        <x:v>2025-03-20</x:v>
      </x:c>
      <x:c r="C18" s="17" t="str">
        <x:v>DG-JB-20250319-20250324</x:v>
      </x:c>
      <x:c r="D18" s="17" t="str">
        <x:v>Kampung Melayu Pandan</x:v>
      </x:c>
      <x:c r="E18" s="17" t="str">
        <x:v>S2025-014</x:v>
      </x:c>
      <x:c r="F18" s="17" t="str">
        <x:v>Kampung Melayu Pandan</x:v>
      </x:c>
      <x:c r="G18" s="17" t="str">
        <x:v>Monsoon flood / flash-flood impact</x:v>
      </x:c>
      <x:c r="H18" s="17" t="str">
        <x:v>A/B/C</x:v>
      </x:c>
      <x:c r="I18" s="17" t="str">
        <x:v>SRC_R2025_MAYOR_20250328</x:v>
      </x:c>
      <x:c r="J18" s="17" t="str"/>
      <x:c r="K18" s="17" t="str">
        <x:v>Exact day or mayor-retrospective within 19–20 Mar episode</x:v>
      </x:c>
      <x:c r="L18" s="17" t="str">
        <x:v>Mayor retrospective explicit location.</x:v>
      </x:c>
    </x:row>
    <x:row r="19">
      <x:c r="A19" s="17" t="str">
        <x:v>EVT-JB-2025-018</x:v>
      </x:c>
      <x:c r="B19" s="17" t="str">
        <x:v>2025-03-20</x:v>
      </x:c>
      <x:c r="C19" s="17" t="str">
        <x:v>DG-JB-20250319-20250324</x:v>
      </x:c>
      <x:c r="D19" s="17" t="str">
        <x:v>Kampung Belantik</x:v>
      </x:c>
      <x:c r="E19" s="17" t="str">
        <x:v>S2025-015</x:v>
      </x:c>
      <x:c r="F19" s="17" t="str">
        <x:v>Kampung Belantik</x:v>
      </x:c>
      <x:c r="G19" s="17" t="str">
        <x:v>Monsoon flood / flash-flood impact</x:v>
      </x:c>
      <x:c r="H19" s="17" t="str">
        <x:v>A/B/C</x:v>
      </x:c>
      <x:c r="I19" s="17" t="str">
        <x:v>SRC_R2025_MAYOR_20250328</x:v>
      </x:c>
      <x:c r="J19" s="17" t="str"/>
      <x:c r="K19" s="17" t="str">
        <x:v>Exact day or mayor-retrospective within 19–20 Mar episode</x:v>
      </x:c>
      <x:c r="L19" s="17" t="str">
        <x:v>Mayor retrospective explicit location; identity retained without forced polygon.</x:v>
      </x:c>
    </x:row>
    <x:row r="20">
      <x:c r="A20" s="17" t="str">
        <x:v>EVT-JB-2025-019</x:v>
      </x:c>
      <x:c r="B20" s="17" t="str">
        <x:v>2025-03-20</x:v>
      </x:c>
      <x:c r="C20" s="17" t="str">
        <x:v>DG-JB-20250319-20250324</x:v>
      </x:c>
      <x:c r="D20" s="17" t="str">
        <x:v>Taman Tampoi Indah</x:v>
      </x:c>
      <x:c r="E20" s="17" t="str">
        <x:v>S2025-016</x:v>
      </x:c>
      <x:c r="F20" s="17" t="str">
        <x:v>Taman Tampoi Indah</x:v>
      </x:c>
      <x:c r="G20" s="17" t="str">
        <x:v>Monsoon flood / flash-flood impact</x:v>
      </x:c>
      <x:c r="H20" s="17" t="str">
        <x:v>A/B/C</x:v>
      </x:c>
      <x:c r="I20" s="17" t="str">
        <x:v>SRC_R2025_MAYOR_20250328</x:v>
      </x:c>
      <x:c r="J20" s="17" t="str">
        <x:v>SRC_R2025_NADMA_20250325_TAMPOI</x:v>
      </x:c>
      <x:c r="K20" s="17" t="str">
        <x:v>Exact day or mayor-retrospective within 19–20 Mar episode</x:v>
      </x:c>
      <x:c r="L20" s="17" t="str">
        <x:v>Mayor identifies it as among worst-hit; local rescue evidence corroborates.</x:v>
      </x:c>
    </x:row>
    <x:row r="21">
      <x:c r="A21" s="17" t="str">
        <x:v>EVT-JB-2025-020</x:v>
      </x:c>
      <x:c r="B21" s="17" t="str">
        <x:v>2025-03-20</x:v>
      </x:c>
      <x:c r="C21" s="17" t="str">
        <x:v>DG-JB-20250319-20250324</x:v>
      </x:c>
      <x:c r="D21" s="17" t="str">
        <x:v>Perling</x:v>
      </x:c>
      <x:c r="E21" s="17" t="str">
        <x:v>S2025-017</x:v>
      </x:c>
      <x:c r="F21" s="17" t="str">
        <x:v>Perling</x:v>
      </x:c>
      <x:c r="G21" s="17" t="str">
        <x:v>Monsoon flood / flash-flood impact</x:v>
      </x:c>
      <x:c r="H21" s="17" t="str">
        <x:v>A/B/C</x:v>
      </x:c>
      <x:c r="I21" s="17" t="str">
        <x:v>SRC_R2025_DAP_20250324</x:v>
      </x:c>
      <x:c r="J21" s="17" t="str"/>
      <x:c r="K21" s="17" t="str">
        <x:v>Exact day or mayor-retrospective within 19–20 Mar episode</x:v>
      </x:c>
      <x:c r="L21" s="17" t="str">
        <x:v>Lower-tier field observation retained transparently; electricity cut after deep flooding.</x:v>
      </x:c>
    </x:row>
    <x:row r="22">
      <x:c r="A22" s="17" t="str">
        <x:v>EVT-JB-2025-021</x:v>
      </x:c>
      <x:c r="B22" s="17" t="str">
        <x:v>2025-03-20</x:v>
      </x:c>
      <x:c r="C22" s="17" t="str">
        <x:v>DG-JB-20250319-20250324</x:v>
      </x:c>
      <x:c r="D22" s="17" t="str">
        <x:v>Jalan Sukun, Kampung Pasir</x:v>
      </x:c>
      <x:c r="E22" s="17" t="str">
        <x:v>S2025-018</x:v>
      </x:c>
      <x:c r="F22" s="17" t="str">
        <x:v>Jalan Sukun, Kampung Pasir</x:v>
      </x:c>
      <x:c r="G22" s="17" t="str">
        <x:v>Monsoon flood / flash-flood impact</x:v>
      </x:c>
      <x:c r="H22" s="17" t="str">
        <x:v>A/B/C</x:v>
      </x:c>
      <x:c r="I22" s="17" t="str">
        <x:v>SRC_R2025_NADMA_20250320_ROAD</x:v>
      </x:c>
      <x:c r="J22" s="17" t="str"/>
      <x:c r="K22" s="17" t="str">
        <x:v>Exact day or mayor-retrospective within 19–20 Mar episode</x:v>
      </x:c>
      <x:c r="L22" s="17" t="str">
        <x:v>Wheelchair-bound resident rescued from flood along Jalan Sukun.</x:v>
      </x:c>
    </x:row>
    <x:row r="23">
      <x:c r="A23" s="17" t="str">
        <x:v>EVT-JB-2025-022</x:v>
      </x:c>
      <x:c r="B23" s="17" t="str">
        <x:v>2025-03-20</x:v>
      </x:c>
      <x:c r="C23" s="17" t="str">
        <x:v>DG-JB-20250319-20250324</x:v>
      </x:c>
      <x:c r="D23" s="17" t="str">
        <x:v>SK Kangkar Tebrau</x:v>
      </x:c>
      <x:c r="E23" s="17" t="str">
        <x:v>S2025-003</x:v>
      </x:c>
      <x:c r="F23" s="17" t="str">
        <x:v>SK Kangkar Tebrau</x:v>
      </x:c>
      <x:c r="G23" s="17" t="str">
        <x:v>Flood-related critical-facility impact</x:v>
      </x:c>
      <x:c r="H23" s="17" t="str">
        <x:v>A/B</x:v>
      </x:c>
      <x:c r="I23" s="17" t="str">
        <x:v>SRC_R2025_BERNAMA_SCHOOLS_20250320</x:v>
      </x:c>
      <x:c r="J23" s="17" t="str"/>
      <x:c r="K23" s="17" t="str">
        <x:v>Exact status date within continuing flood episode</x:v>
      </x:c>
      <x:c r="L23" s="17" t="str">
        <x:v>School fully inundated; operations stopped.</x:v>
      </x:c>
    </x:row>
    <x:row r="24">
      <x:c r="A24" s="17" t="str">
        <x:v>EVT-JB-2025-023</x:v>
      </x:c>
      <x:c r="B24" s="17" t="str">
        <x:v>2025-03-20</x:v>
      </x:c>
      <x:c r="C24" s="17" t="str">
        <x:v>DG-JB-20250319-20250324</x:v>
      </x:c>
      <x:c r="D24" s="17" t="str">
        <x:v>SK Kampung Maju Jaya</x:v>
      </x:c>
      <x:c r="E24" s="17" t="str">
        <x:v>S2025-019</x:v>
      </x:c>
      <x:c r="F24" s="17" t="str">
        <x:v>SK Kampung Maju Jaya</x:v>
      </x:c>
      <x:c r="G24" s="17" t="str">
        <x:v>Flood-related critical-facility impact</x:v>
      </x:c>
      <x:c r="H24" s="17" t="str">
        <x:v>A/B</x:v>
      </x:c>
      <x:c r="I24" s="17" t="str">
        <x:v>SRC_R2025_BERNAMA_SCHOOLS_20250320</x:v>
      </x:c>
      <x:c r="J24" s="17" t="str"/>
      <x:c r="K24" s="17" t="str">
        <x:v>Exact status date within continuing flood episode</x:v>
      </x:c>
      <x:c r="L24" s="17" t="str">
        <x:v>School fully inundated; operations stopped.</x:v>
      </x:c>
    </x:row>
    <x:row r="25">
      <x:c r="A25" s="17" t="str">
        <x:v>EVT-JB-2025-024</x:v>
      </x:c>
      <x:c r="B25" s="17" t="str">
        <x:v>2025-03-20</x:v>
      </x:c>
      <x:c r="C25" s="17" t="str">
        <x:v>DG-JB-20250319-20250324</x:v>
      </x:c>
      <x:c r="D25" s="17" t="str">
        <x:v>SK Taman Tampoi Utama</x:v>
      </x:c>
      <x:c r="E25" s="17" t="str">
        <x:v>S2025-020</x:v>
      </x:c>
      <x:c r="F25" s="17" t="str">
        <x:v>SK Taman Tampoi Utama</x:v>
      </x:c>
      <x:c r="G25" s="17" t="str">
        <x:v>Flood-related critical-facility impact</x:v>
      </x:c>
      <x:c r="H25" s="17" t="str">
        <x:v>A/B</x:v>
      </x:c>
      <x:c r="I25" s="17" t="str">
        <x:v>SRC_R2025_RTM_TAMPOI_20250321</x:v>
      </x:c>
      <x:c r="J25" s="17" t="str"/>
      <x:c r="K25" s="17" t="str">
        <x:v>Exact status date within continuing flood episode</x:v>
      </x:c>
      <x:c r="L25" s="17" t="str">
        <x:v>Teachers and pupils trapped after school compound/building was inundated.</x:v>
      </x:c>
    </x:row>
    <x:row r="26">
      <x:c r="A26" s="17" t="str">
        <x:v>EVT-JB-2025-025</x:v>
      </x:c>
      <x:c r="B26" s="17" t="str">
        <x:v>2025-03-21</x:v>
      </x:c>
      <x:c r="C26" s="17" t="str">
        <x:v>DG-JB-20250319-20250324</x:v>
      </x:c>
      <x:c r="D26" s="17" t="str">
        <x:v>KD Kangkar Tebrau</x:v>
      </x:c>
      <x:c r="E26" s="17" t="str">
        <x:v>S2025-021</x:v>
      </x:c>
      <x:c r="F26" s="17" t="str">
        <x:v>KD Kangkar Tebrau</x:v>
      </x:c>
      <x:c r="G26" s="17" t="str">
        <x:v>Flood-related critical-facility impact</x:v>
      </x:c>
      <x:c r="H26" s="17" t="str">
        <x:v>A/B</x:v>
      </x:c>
      <x:c r="I26" s="17" t="str">
        <x:v>SRC_R2025_NADMA_SITREP_20250322</x:v>
      </x:c>
      <x:c r="J26" s="17" t="str"/>
      <x:c r="K26" s="17" t="str">
        <x:v>Exact status date within continuing flood episode</x:v>
      </x:c>
      <x:c r="L26" s="17" t="str">
        <x:v>Flood-affected health facility; operations moved to KK Majidee.</x:v>
      </x:c>
    </x:row>
    <x:row r="27">
      <x:c r="A27" s="17" t="str">
        <x:v>EVT-JB-2025-026</x:v>
      </x:c>
      <x:c r="B27" s="17" t="str">
        <x:v>2025-03-21</x:v>
      </x:c>
      <x:c r="C27" s="17" t="str">
        <x:v>DG-JB-20250319-20250324</x:v>
      </x:c>
      <x:c r="D27" s="17" t="str">
        <x:v>KD Maju Jaya</x:v>
      </x:c>
      <x:c r="E27" s="17" t="str">
        <x:v>S2025-022</x:v>
      </x:c>
      <x:c r="F27" s="17" t="str">
        <x:v>KD Maju Jaya</x:v>
      </x:c>
      <x:c r="G27" s="17" t="str">
        <x:v>Flood-related critical-facility impact</x:v>
      </x:c>
      <x:c r="H27" s="17" t="str">
        <x:v>A/B</x:v>
      </x:c>
      <x:c r="I27" s="17" t="str">
        <x:v>SRC_R2025_NADMA_SITREP_20250322</x:v>
      </x:c>
      <x:c r="J27" s="17" t="str"/>
      <x:c r="K27" s="17" t="str">
        <x:v>Exact status date within continuing flood episode</x:v>
      </x:c>
      <x:c r="L27" s="17" t="str">
        <x:v>Flood-affected health facility; remained operational.</x:v>
      </x:c>
    </x:row>
    <x:row r="28">
      <x:c r="A28" s="17" t="str">
        <x:v>EVT-JB-2025-027</x:v>
      </x:c>
      <x:c r="B28" s="17" t="str">
        <x:v>2025-03-21</x:v>
      </x:c>
      <x:c r="C28" s="17" t="str">
        <x:v>DG-JB-20250319-20250324</x:v>
      </x:c>
      <x:c r="D28" s="17" t="str">
        <x:v>KD Plentong</x:v>
      </x:c>
      <x:c r="E28" s="17" t="str">
        <x:v>S2025-023</x:v>
      </x:c>
      <x:c r="F28" s="17" t="str">
        <x:v>KD Plentong</x:v>
      </x:c>
      <x:c r="G28" s="17" t="str">
        <x:v>Flood-related critical-facility impact</x:v>
      </x:c>
      <x:c r="H28" s="17" t="str">
        <x:v>A/B</x:v>
      </x:c>
      <x:c r="I28" s="17" t="str">
        <x:v>SRC_R2025_NADMA_SITREP_20250322</x:v>
      </x:c>
      <x:c r="J28" s="17" t="str"/>
      <x:c r="K28" s="17" t="str">
        <x:v>Exact status date within continuing flood episode</x:v>
      </x:c>
      <x:c r="L28" s="17" t="str">
        <x:v>Flood-affected health facility; remained operational.</x:v>
      </x:c>
    </x:row>
    <x:row r="29">
      <x:c r="A29" s="17" t="str">
        <x:v>EVT-JB-2025-028</x:v>
      </x:c>
      <x:c r="B29" s="17" t="str">
        <x:v>2025-03-20</x:v>
      </x:c>
      <x:c r="C29" s="17" t="str">
        <x:v>DG-JB-20250319-20250324</x:v>
      </x:c>
      <x:c r="D29" s="17" t="str">
        <x:v>FT003 Johor Bahru–Endau, Sec 21.0–21.8 (PS Tebrau)</x:v>
      </x:c>
      <x:c r="E29" s="17" t="str">
        <x:v>S2025-024</x:v>
      </x:c>
      <x:c r="F29" s="17" t="str">
        <x:v>FT003 Johor Bahru–Endau Sec 21.0–21.8</x:v>
      </x:c>
      <x:c r="G29" s="17" t="str">
        <x:v>Flash-flood road disruption</x:v>
      </x:c>
      <x:c r="H29" s="17" t="str">
        <x:v>A</x:v>
      </x:c>
      <x:c r="I29" s="17" t="str">
        <x:v>SRC_R2025_NADMA_SITREP_20250322</x:v>
      </x:c>
      <x:c r="J29" s="17" t="str"/>
      <x:c r="K29" s="17" t="str">
        <x:v>Exact JKR incident date and road section</x:v>
      </x:c>
      <x:c r="L29" s="17" t="str">
        <x:v>JKR SITREP provides route/section geometry reference; lane status: One lane open.</x:v>
      </x:c>
    </x:row>
    <x:row r="30">
      <x:c r="A30" s="17" t="str">
        <x:v>EVT-JB-2025-029</x:v>
      </x:c>
      <x:c r="B30" s="17" t="str">
        <x:v>2025-03-20</x:v>
      </x:c>
      <x:c r="C30" s="17" t="str">
        <x:v>DG-JB-20250319-20250324</x:v>
      </x:c>
      <x:c r="D30" s="17" t="str">
        <x:v>FT003 Jalan Johor Bahru–Kota Tinggi, Sec 9.1–10.0 (Pasar Borong Pandan)</x:v>
      </x:c>
      <x:c r="E30" s="17" t="str">
        <x:v>S2025-025</x:v>
      </x:c>
      <x:c r="F30" s="17" t="str">
        <x:v>FT003 Jalan Johor Bahru–Kota Tinggi Sec 9.1–10.0</x:v>
      </x:c>
      <x:c r="G30" s="17" t="str">
        <x:v>Flash-flood road disruption</x:v>
      </x:c>
      <x:c r="H30" s="17" t="str">
        <x:v>A</x:v>
      </x:c>
      <x:c r="I30" s="17" t="str">
        <x:v>SRC_R2025_NADMA_SITREP_20250322</x:v>
      </x:c>
      <x:c r="J30" s="17" t="str"/>
      <x:c r="K30" s="17" t="str">
        <x:v>Exact JKR incident date and road section</x:v>
      </x:c>
      <x:c r="L30" s="17" t="str">
        <x:v>JKR SITREP provides route/section geometry reference; lane status: Closed.</x:v>
      </x:c>
    </x:row>
    <x:row r="31">
      <x:c r="A31" s="17" t="str">
        <x:v>EVT-JB-2025-030</x:v>
      </x:c>
      <x:c r="B31" s="17" t="str">
        <x:v>2025-03-20</x:v>
      </x:c>
      <x:c r="C31" s="17" t="str">
        <x:v>DG-JB-20250319-20250324</x:v>
      </x:c>
      <x:c r="D31" s="17" t="str">
        <x:v>FT01 Jalan Johor Bahru–Senai, Sec 19.6–20.0 (U-turn MBIP / Pintu Masuk UTM)</x:v>
      </x:c>
      <x:c r="E31" s="17" t="str">
        <x:v>S2025-026</x:v>
      </x:c>
      <x:c r="F31" s="17" t="str">
        <x:v>FT01 Jalan Johor Bahru–Senai Sec 19.6–20.0</x:v>
      </x:c>
      <x:c r="G31" s="17" t="str">
        <x:v>Flash-flood road disruption</x:v>
      </x:c>
      <x:c r="H31" s="17" t="str">
        <x:v>A</x:v>
      </x:c>
      <x:c r="I31" s="17" t="str">
        <x:v>SRC_R2025_NADMA_SITREP_20250322</x:v>
      </x:c>
      <x:c r="J31" s="17" t="str"/>
      <x:c r="K31" s="17" t="str">
        <x:v>Exact JKR incident date and road section</x:v>
      </x:c>
      <x:c r="L31" s="17" t="str">
        <x:v>JKR SITREP provides route/section geometry reference; lane status: Closed.</x:v>
      </x:c>
    </x:row>
    <x:row r="32">
      <x:c r="A32" s="17" t="str">
        <x:v>EVT-JB-2025-031</x:v>
      </x:c>
      <x:c r="B32" s="17" t="str">
        <x:v>2025-03-20</x:v>
      </x:c>
      <x:c r="C32" s="17" t="str">
        <x:v>DG-JB-20250319-20250324</x:v>
      </x:c>
      <x:c r="D32" s="17" t="str">
        <x:v>FT017 Lebuhraya Pasir Gudang, Sec 10.20–10.70</x:v>
      </x:c>
      <x:c r="E32" s="17" t="str">
        <x:v>S2025-027</x:v>
      </x:c>
      <x:c r="F32" s="17" t="str">
        <x:v>FT017 Lebuhraya Pasir Gudang Sec 10.20–10.70</x:v>
      </x:c>
      <x:c r="G32" s="17" t="str">
        <x:v>Flash-flood road disruption</x:v>
      </x:c>
      <x:c r="H32" s="17" t="str">
        <x:v>A</x:v>
      </x:c>
      <x:c r="I32" s="17" t="str">
        <x:v>SRC_R2025_NADMA_SITREP_20250322</x:v>
      </x:c>
      <x:c r="J32" s="17" t="str"/>
      <x:c r="K32" s="17" t="str">
        <x:v>Exact JKR incident date and road section</x:v>
      </x:c>
      <x:c r="L32" s="17" t="str">
        <x:v>JKR SITREP provides route/section geometry reference; lane status: One lane open.</x:v>
      </x:c>
    </x:row>
    <x:row r="33">
      <x:c r="A33" s="17" t="str">
        <x:v>EVT-JB-2025-032</x:v>
      </x:c>
      <x:c r="B33" s="17" t="str">
        <x:v>2025-03-20</x:v>
      </x:c>
      <x:c r="C33" s="17" t="str">
        <x:v>DG-JB-20250319-20250324</x:v>
      </x:c>
      <x:c r="D33" s="17" t="str">
        <x:v>FT017 Lebuhraya Pasir Gudang, Sec 21.0–21.3 (Bawah Jambatan Seri Alam)</x:v>
      </x:c>
      <x:c r="E33" s="17" t="str">
        <x:v>S2025-028</x:v>
      </x:c>
      <x:c r="F33" s="17" t="str">
        <x:v>FT017 Lebuhraya Pasir Gudang Sec 21.0–21.3</x:v>
      </x:c>
      <x:c r="G33" s="17" t="str">
        <x:v>Flash-flood road disruption</x:v>
      </x:c>
      <x:c r="H33" s="17" t="str">
        <x:v>A</x:v>
      </x:c>
      <x:c r="I33" s="17" t="str">
        <x:v>SRC_R2025_NADMA_SITREP_20250322</x:v>
      </x:c>
      <x:c r="J33" s="17" t="str"/>
      <x:c r="K33" s="17" t="str">
        <x:v>Exact JKR incident date and road section</x:v>
      </x:c>
      <x:c r="L33" s="17" t="str">
        <x:v>JKR SITREP provides route/section geometry reference; lane status: One lane open.</x:v>
      </x:c>
    </x:row>
    <x:row r="34">
      <x:c r="A34" s="17" t="str">
        <x:v>EVT-JB-2025-033</x:v>
      </x:c>
      <x:c r="B34" s="17" t="str">
        <x:v>2025-03-20</x:v>
      </x:c>
      <x:c r="C34" s="17" t="str">
        <x:v>DG-JB-20250319-20250324</x:v>
      </x:c>
      <x:c r="D34" s="17" t="str">
        <x:v>J105 Jalan Maju Jaya–Seelong, Sec 5.0–5.5 (Shell Tiong Nam)</x:v>
      </x:c>
      <x:c r="E34" s="17" t="str">
        <x:v>S2025-029</x:v>
      </x:c>
      <x:c r="F34" s="17" t="str">
        <x:v>J105 Jalan Maju Jaya–Seelong Sec 5.0–5.5</x:v>
      </x:c>
      <x:c r="G34" s="17" t="str">
        <x:v>Flash-flood road disruption</x:v>
      </x:c>
      <x:c r="H34" s="17" t="str">
        <x:v>A</x:v>
      </x:c>
      <x:c r="I34" s="17" t="str">
        <x:v>SRC_R2025_NADMA_SITREP_20250322</x:v>
      </x:c>
      <x:c r="J34" s="17" t="str"/>
      <x:c r="K34" s="17" t="str">
        <x:v>Exact JKR incident date and road section</x:v>
      </x:c>
      <x:c r="L34" s="17" t="str">
        <x:v>JKR SITREP provides route/section geometry reference; lane status: One lane open.</x:v>
      </x:c>
    </x:row>
    <x:row r="35">
      <x:c r="A35" s="17" t="str">
        <x:v>EVT-JB-2025-034</x:v>
      </x:c>
      <x:c r="B35" s="17" t="str">
        <x:v>2025-03-20</x:v>
      </x:c>
      <x:c r="C35" s="17" t="str">
        <x:v>DG-JB-20250319-20250324</x:v>
      </x:c>
      <x:c r="D35" s="17" t="str">
        <x:v>J105 Jalan Maju Jaya–Seelong, Sec 7.0–7.5 (Madrasah Tahfiz/Tok Wan Catering)</x:v>
      </x:c>
      <x:c r="E35" s="17" t="str">
        <x:v>S2025-030</x:v>
      </x:c>
      <x:c r="F35" s="17" t="str">
        <x:v>J105 Jalan Maju Jaya–Seelong Sec 7.0–7.5</x:v>
      </x:c>
      <x:c r="G35" s="17" t="str">
        <x:v>Flash-flood road disruption</x:v>
      </x:c>
      <x:c r="H35" s="17" t="str">
        <x:v>A</x:v>
      </x:c>
      <x:c r="I35" s="17" t="str">
        <x:v>SRC_R2025_NADMA_SITREP_20250322</x:v>
      </x:c>
      <x:c r="J35" s="17" t="str"/>
      <x:c r="K35" s="17" t="str">
        <x:v>Exact JKR incident date and road section</x:v>
      </x:c>
      <x:c r="L35" s="17" t="str">
        <x:v>JKR SITREP provides route/section geometry reference; lane status: Heavy vehicles only.</x:v>
      </x:c>
    </x:row>
    <x:row r="36">
      <x:c r="A36" s="17" t="str">
        <x:v>EVT-JB-2025-035</x:v>
      </x:c>
      <x:c r="B36" s="17" t="str">
        <x:v>2025-03-21</x:v>
      </x:c>
      <x:c r="C36" s="17" t="str">
        <x:v>DG-JB-20250319-20250324</x:v>
      </x:c>
      <x:c r="D36" s="17" t="str">
        <x:v>J46 Jalan Ulu Pulai, Sec 2.0–2.3 (Warung Abah/Gerai Durian)</x:v>
      </x:c>
      <x:c r="E36" s="17" t="str">
        <x:v>S2025-031</x:v>
      </x:c>
      <x:c r="F36" s="17" t="str">
        <x:v>J46 Jalan Ulu Pulai Sec 2.0–2.3</x:v>
      </x:c>
      <x:c r="G36" s="17" t="str">
        <x:v>Flash-flood road disruption</x:v>
      </x:c>
      <x:c r="H36" s="17" t="str">
        <x:v>A</x:v>
      </x:c>
      <x:c r="I36" s="17" t="str">
        <x:v>SRC_R2025_NADMA_SITREP_20250322</x:v>
      </x:c>
      <x:c r="J36" s="17" t="str"/>
      <x:c r="K36" s="17" t="str">
        <x:v>Exact JKR incident date and road section</x:v>
      </x:c>
      <x:c r="L36" s="17" t="str">
        <x:v>JKR SITREP provides route/section geometry reference; lane status: Heavy vehicles only.</x:v>
      </x:c>
    </x:row>
    <x:row r="37">
      <x:c r="A37" s="17" t="str">
        <x:v>EVT-JB-2025-036</x:v>
      </x:c>
      <x:c r="B37" s="17" t="str">
        <x:v>2025-04-16</x:v>
      </x:c>
      <x:c r="C37" s="17" t="str">
        <x:v>DG-JB-20250416</x:v>
      </x:c>
      <x:c r="D37" s="17" t="str">
        <x:v>Lebuhraya Pasir Gudang near Taman Rinting interchange</x:v>
      </x:c>
      <x:c r="E37" s="17" t="str">
        <x:v>S2025-032</x:v>
      </x:c>
      <x:c r="F37" s="17" t="str">
        <x:v>Lebuhraya Pasir Gudang near Taman Rinting interchange</x:v>
      </x:c>
      <x:c r="G37" s="17" t="str">
        <x:v>Flash-flood road disruption</x:v>
      </x:c>
      <x:c r="H37" s="17" t="str">
        <x:v>A/B</x:v>
      </x:c>
      <x:c r="I37" s="17" t="str">
        <x:v>SRC_R2025_NADMA_20250416</x:v>
      </x:c>
      <x:c r="J37" s="17" t="str"/>
      <x:c r="K37" s="17" t="str">
        <x:v>Exact day</x:v>
      </x:c>
      <x:c r="L37" s="17" t="str">
        <x:v>About 0.5 m floodwater; traffic toward Permas Jaya congested for nearly 1 km.</x:v>
      </x:c>
    </x:row>
    <x:row r="38">
      <x:c r="A38" s="17" t="str">
        <x:v>EVT-JB-2025-037</x:v>
      </x:c>
      <x:c r="B38" s="17" t="str">
        <x:v>2025-09-11</x:v>
      </x:c>
      <x:c r="C38" s="17" t="str">
        <x:v>DG-JB-20250911</x:v>
      </x:c>
      <x:c r="D38" s="17" t="str">
        <x:v>Bangunan Lily, Hospital Sultanah Aminah</x:v>
      </x:c>
      <x:c r="E38" s="17" t="str">
        <x:v>S2025-033</x:v>
      </x:c>
      <x:c r="F38" s="17" t="str">
        <x:v>Bangunan Lily, Hospital Sultanah Aminah</x:v>
      </x:c>
      <x:c r="G38" s="17" t="str">
        <x:v>Flash flood / critical-facility inundation</x:v>
      </x:c>
      <x:c r="H38" s="17" t="str">
        <x:v>A/B</x:v>
      </x:c>
      <x:c r="I38" s="17" t="str">
        <x:v>SRC_R2025_BERNAMA_20250911</x:v>
      </x:c>
      <x:c r="J38" s="17" t="str">
        <x:v>SRC_R2025_SINAR_20250911</x:v>
      </x:c>
      <x:c r="K38" s="17" t="str">
        <x:v>Exact day</x:v>
      </x:c>
      <x:c r="L38" s="17" t="str">
        <x:v>Building-specific HSA event; do not substitute the whole HSA campus polygon as flood footprint.</x:v>
      </x:c>
    </x:row>
    <x:row r="39">
      <x:c r="A39" s="17" t="str">
        <x:v>EVT-JB-2025-038</x:v>
      </x:c>
      <x:c r="B39" s="17" t="str">
        <x:v>2025-12-12</x:v>
      </x:c>
      <x:c r="C39" s="17" t="str">
        <x:v>DG-JB-20251212</x:v>
      </x:c>
      <x:c r="D39" s="17" t="str">
        <x:v>Jalan Kolam Air</x:v>
      </x:c>
      <x:c r="E39" s="17" t="str">
        <x:v>S2025-034</x:v>
      </x:c>
      <x:c r="F39" s="17" t="str">
        <x:v>Jalan Kolam Ayer</x:v>
      </x:c>
      <x:c r="G39" s="17" t="str">
        <x:v>Flash flood / urban inundation</x:v>
      </x:c>
      <x:c r="H39" s="17" t="str">
        <x:v>B</x:v>
      </x:c>
      <x:c r="I39" s="17" t="str">
        <x:v>SRC_R2025_SINAR_20251212</x:v>
      </x:c>
      <x:c r="J39" s="17" t="str">
        <x:v>SRC_R2025_KOSMO_20251212</x:v>
      </x:c>
      <x:c r="K39" s="17" t="str">
        <x:v>Exact day</x:v>
      </x:c>
      <x:c r="L39" s="17" t="str">
        <x:v>Direct road flooding.</x:v>
      </x:c>
    </x:row>
    <x:row r="40">
      <x:c r="A40" s="17" t="str">
        <x:v>EVT-JB-2025-039</x:v>
      </x:c>
      <x:c r="B40" s="17" t="str">
        <x:v>2025-12-12</x:v>
      </x:c>
      <x:c r="C40" s="17" t="str">
        <x:v>DG-JB-20251212</x:v>
      </x:c>
      <x:c r="D40" s="17" t="str">
        <x:v>Nong Chik</x:v>
      </x:c>
      <x:c r="E40" s="17" t="str">
        <x:v>S2025-035</x:v>
      </x:c>
      <x:c r="F40" s="17" t="str">
        <x:v>Taman Nong Chik</x:v>
      </x:c>
      <x:c r="G40" s="17" t="str">
        <x:v>Flash flood / urban inundation</x:v>
      </x:c>
      <x:c r="H40" s="17" t="str">
        <x:v>B</x:v>
      </x:c>
      <x:c r="I40" s="17" t="str">
        <x:v>SRC_R2025_SINAR_20251212</x:v>
      </x:c>
      <x:c r="J40" s="17" t="str"/>
      <x:c r="K40" s="17" t="str">
        <x:v>Exact day</x:v>
      </x:c>
      <x:c r="L40" s="17" t="str">
        <x:v>Flooding reported around Nong Chik.</x:v>
      </x:c>
    </x:row>
    <x:row r="41">
      <x:c r="A41" s="17" t="str">
        <x:v>EVT-JB-2025-040</x:v>
      </x:c>
      <x:c r="B41" s="17" t="str">
        <x:v>2025-12-12</x:v>
      </x:c>
      <x:c r="C41" s="17" t="str">
        <x:v>DG-JB-20251212</x:v>
      </x:c>
      <x:c r="D41" s="17" t="str">
        <x:v>Jalan Sungai Chat</x:v>
      </x:c>
      <x:c r="E41" s="17" t="str">
        <x:v>S2025-036</x:v>
      </x:c>
      <x:c r="F41" s="17" t="str">
        <x:v>Jalan Sungai Chat</x:v>
      </x:c>
      <x:c r="G41" s="17" t="str">
        <x:v>Flash flood / urban inundation</x:v>
      </x:c>
      <x:c r="H41" s="17" t="str">
        <x:v>B</x:v>
      </x:c>
      <x:c r="I41" s="17" t="str">
        <x:v>SRC_R2025_SINAR_20251212</x:v>
      </x:c>
      <x:c r="J41" s="17" t="str"/>
      <x:c r="K41" s="17" t="str">
        <x:v>Exact day</x:v>
      </x:c>
      <x:c r="L41" s="17" t="str">
        <x:v>Direct road flooding.</x:v>
      </x:c>
    </x:row>
    <x:row r="42">
      <x:c r="A42" s="17" t="str">
        <x:v>EVT-JB-2025-041</x:v>
      </x:c>
      <x:c r="B42" s="17" t="str">
        <x:v>2025-12-12</x:v>
      </x:c>
      <x:c r="C42" s="17" t="str">
        <x:v>DG-JB-20251212</x:v>
      </x:c>
      <x:c r="D42" s="17" t="str">
        <x:v>Tasik Merdeka</x:v>
      </x:c>
      <x:c r="E42" s="17" t="str">
        <x:v>S2025-037</x:v>
      </x:c>
      <x:c r="F42" s="17" t="str">
        <x:v>Tasik Merdeka</x:v>
      </x:c>
      <x:c r="G42" s="17" t="str">
        <x:v>Flash flood / urban inundation</x:v>
      </x:c>
      <x:c r="H42" s="17" t="str">
        <x:v>B</x:v>
      </x:c>
      <x:c r="I42" s="17" t="str">
        <x:v>SRC_R2025_SINAR_20251212</x:v>
      </x:c>
      <x:c r="J42" s="17" t="str"/>
      <x:c r="K42" s="17" t="str">
        <x:v>Exact day</x:v>
      </x:c>
      <x:c r="L42" s="17" t="str">
        <x:v>Flooded low-lying area.</x:v>
      </x:c>
    </x:row>
    <x:row r="43">
      <x:c r="A43" s="17" t="str">
        <x:v>EVT-JB-2025-042</x:v>
      </x:c>
      <x:c r="B43" s="17" t="str">
        <x:v>2025-12-12</x:v>
      </x:c>
      <x:c r="C43" s="17" t="str">
        <x:v>DG-JB-20251212</x:v>
      </x:c>
      <x:c r="D43" s="17" t="str">
        <x:v>Kampung Mohd Amin / Jalan Md Amin</x:v>
      </x:c>
      <x:c r="E43" s="17" t="str">
        <x:v>S2025-038</x:v>
      </x:c>
      <x:c r="F43" s="17" t="str">
        <x:v>Kampung Mohd Amin / Jalan Md Amin context</x:v>
      </x:c>
      <x:c r="G43" s="17" t="str">
        <x:v>Flash flood / urban inundation</x:v>
      </x:c>
      <x:c r="H43" s="17" t="str">
        <x:v>B</x:v>
      </x:c>
      <x:c r="I43" s="17" t="str">
        <x:v>SRC_R2025_STAR_RESCUE_20251212</x:v>
      </x:c>
      <x:c r="J43" s="17" t="str">
        <x:v>SRC_R2025_MALAYSIAAKTIF_20251213</x:v>
      </x:c>
      <x:c r="K43" s="17" t="str">
        <x:v>Exact day</x:v>
      </x:c>
      <x:c r="L43" s="17" t="str">
        <x:v>Kindergarten and homes inundated; 34 rescued.</x:v>
      </x:c>
    </x:row>
    <x:row r="44">
      <x:c r="A44" s="17" t="str">
        <x:v>EVT-JB-2025-043</x:v>
      </x:c>
      <x:c r="B44" s="17" t="str">
        <x:v>2025-12-12</x:v>
      </x:c>
      <x:c r="C44" s="17" t="str">
        <x:v>DG-JB-20251212</x:v>
      </x:c>
      <x:c r="D44" s="17" t="str">
        <x:v>Kampung Pasir</x:v>
      </x:c>
      <x:c r="E44" s="17" t="str">
        <x:v>S2025-005</x:v>
      </x:c>
      <x:c r="F44" s="17" t="str">
        <x:v>Kampung Pasir</x:v>
      </x:c>
      <x:c r="G44" s="17" t="str">
        <x:v>Flash flood / urban inundation</x:v>
      </x:c>
      <x:c r="H44" s="17" t="str">
        <x:v>B</x:v>
      </x:c>
      <x:c r="I44" s="17" t="str">
        <x:v>SRC_R2025_AWANI_20251213</x:v>
      </x:c>
      <x:c r="J44" s="17" t="str"/>
      <x:c r="K44" s="17" t="str">
        <x:v>Exact day</x:v>
      </x:c>
      <x:c r="L44" s="17" t="str">
        <x:v>Separate baby rescue from flooded caregiver's house; incident occurred 12 Dec.</x:v>
      </x:c>
    </x:row>
    <x:row r="45">
      <x:c r="A45" s="17" t="str">
        <x:v>EVT-JB-2025-044</x:v>
      </x:c>
      <x:c r="B45" s="17" t="str">
        <x:v>2025-12-12</x:v>
      </x:c>
      <x:c r="C45" s="17" t="str">
        <x:v>DG-JB-20251212</x:v>
      </x:c>
      <x:c r="D45" s="17" t="str">
        <x:v>Jalan Wong Ah Fook</x:v>
      </x:c>
      <x:c r="E45" s="17" t="str">
        <x:v>S2025-039</x:v>
      </x:c>
      <x:c r="F45" s="17" t="str">
        <x:v>Jalan Wong Ah Fook</x:v>
      </x:c>
      <x:c r="G45" s="17" t="str">
        <x:v>Flash flood / urban inundation</x:v>
      </x:c>
      <x:c r="H45" s="17" t="str">
        <x:v>B</x:v>
      </x:c>
      <x:c r="I45" s="17" t="str">
        <x:v>SRC_R2025_KOSMO_20251212</x:v>
      </x:c>
      <x:c r="J45" s="17" t="str"/>
      <x:c r="K45" s="17" t="str">
        <x:v>Exact day</x:v>
      </x:c>
      <x:c r="L45" s="17" t="str">
        <x:v>Directly named among flooded/affected city roads.</x:v>
      </x:c>
    </x:row>
    <x:row r="46">
      <x:c r="A46" s="17" t="str">
        <x:v>EVT-JB-2025-045</x:v>
      </x:c>
      <x:c r="B46" s="17" t="str">
        <x:v>2025-12-12</x:v>
      </x:c>
      <x:c r="C46" s="17" t="str">
        <x:v>DG-JB-20251212</x:v>
      </x:c>
      <x:c r="D46" s="17" t="str">
        <x:v>Jalan Tun Abdul Razak</x:v>
      </x:c>
      <x:c r="E46" s="17" t="str">
        <x:v>S2025-040</x:v>
      </x:c>
      <x:c r="F46" s="17" t="str">
        <x:v>Jalan Tun Abdul Razak</x:v>
      </x:c>
      <x:c r="G46" s="17" t="str">
        <x:v>Flash flood / urban inundation</x:v>
      </x:c>
      <x:c r="H46" s="17" t="str">
        <x:v>B</x:v>
      </x:c>
      <x:c r="I46" s="17" t="str">
        <x:v>SRC_R2025_KOSMO_20251212</x:v>
      </x:c>
      <x:c r="J46" s="17" t="str"/>
      <x:c r="K46" s="17" t="str">
        <x:v>Exact day</x:v>
      </x:c>
      <x:c r="L46" s="17" t="str">
        <x:v>Directly named among flooded/affected city roads.</x:v>
      </x:c>
    </x:row>
    <x:row r="47">
      <x:c r="A47" s="17" t="str">
        <x:v>EVT-JB-2025-046</x:v>
      </x:c>
      <x:c r="B47" s="17" t="str">
        <x:v>2025-12-12</x:v>
      </x:c>
      <x:c r="C47" s="17" t="str">
        <x:v>DG-JB-20251212</x:v>
      </x:c>
      <x:c r="D47" s="17" t="str">
        <x:v>Taman Pelangi</x:v>
      </x:c>
      <x:c r="E47" s="17" t="str">
        <x:v>S2025-041</x:v>
      </x:c>
      <x:c r="F47" s="17" t="str">
        <x:v>Taman Pelangi</x:v>
      </x:c>
      <x:c r="G47" s="17" t="str">
        <x:v>Flash flood / urban inundation</x:v>
      </x:c>
      <x:c r="H47" s="17" t="str">
        <x:v>B</x:v>
      </x:c>
      <x:c r="I47" s="17" t="str">
        <x:v>SRC_R2025_KOSMO_20251212</x:v>
      </x:c>
      <x:c r="J47" s="17" t="str"/>
      <x:c r="K47" s="17" t="str">
        <x:v>Exact day</x:v>
      </x:c>
      <x:c r="L47" s="17" t="str">
        <x:v>Directly named among affected areas.</x:v>
      </x:c>
    </x:row>
    <x:row r="48">
      <x:c r="A48" s="17" t="str">
        <x:v>EVT-JB-2025-047</x:v>
      </x:c>
      <x:c r="B48" s="17" t="str">
        <x:v>2025-12-13</x:v>
      </x:c>
      <x:c r="C48" s="17" t="str">
        <x:v>DG-JB-20251213</x:v>
      </x:c>
      <x:c r="D48" s="17" t="str">
        <x:v>Kampung Mohd Amin</x:v>
      </x:c>
      <x:c r="E48" s="17" t="str">
        <x:v>S2025-038</x:v>
      </x:c>
      <x:c r="F48" s="17" t="str">
        <x:v>Kampung Mohd Amin / Jalan Md Amin context</x:v>
      </x:c>
      <x:c r="G48" s="17" t="str">
        <x:v>Flash-flood recurrence</x:v>
      </x:c>
      <x:c r="H48" s="17" t="str">
        <x:v>B</x:v>
      </x:c>
      <x:c r="I48" s="17" t="str">
        <x:v>SRC_R2025_BERNAMA_IMAGE_20251213</x:v>
      </x:c>
      <x:c r="J48" s="17" t="str"/>
      <x:c r="K48" s="17" t="str">
        <x:v>Exact day from Bernama documentary caption</x:v>
      </x:c>
      <x:c r="L48" s="17" t="str">
        <x:v>Bernama describes Kampung Mohd Amin flooding on 13 Dec and notes flash flooding for two consecutive days; counted as a separate recurrence after 12 Dec event.</x:v>
      </x:c>
    </x:row>
  </x:sheetData>
  <x:pageMargins left="0.7" right="0.7" top="0.75" bottom="0.75" header="0.3" footer="0.3"/>
</x:worksheet>
</file>

<file path=xl/worksheets/sheet37.xml><?xml version="1.0" encoding="utf-8"?>
<x:worksheet xmlns:x="http://schemas.openxmlformats.org/spreadsheetml/2006/main">
  <x:sheetFormatPr defaultRowHeight="15"/>
  <x:cols>
    <x:col min="1" max="1" width="29" hidden="0" customWidth="1"/>
    <x:col min="2" max="2" width="25" hidden="0" customWidth="1"/>
    <x:col min="3" max="3" width="25" hidden="0" customWidth="1"/>
    <x:col min="4" max="4" width="20" hidden="0" customWidth="1"/>
    <x:col min="5" max="5" width="92" hidden="0" customWidth="1"/>
  </x:cols>
  <x:sheetData>
    <x:row r="1">
      <x:c r="A1" s="54" t="str">
        <x:v>Dedup_Group_ID</x:v>
      </x:c>
      <x:c r="B1" s="54" t="str">
        <x:v>Episode_Date_or_Range</x:v>
      </x:c>
      <x:c r="C1" s="54" t="str">
        <x:v>Event_Type</x:v>
      </x:c>
      <x:c r="D1" s="54" t="str">
        <x:v>Event_Location_Rows</x:v>
      </x:c>
      <x:c r="E1" s="54" t="str">
        <x:v>Episode_Note</x:v>
      </x:c>
    </x:row>
    <x:row r="2">
      <x:c r="A2" s="17" t="str">
        <x:v>DG-JB-20250110-20250115</x:v>
      </x:c>
      <x:c r="B2" s="17" t="str">
        <x:v>2025-01-11 to 2025-01-15</x:v>
      </x:c>
      <x:c r="C2" s="17" t="str">
        <x:v>Monsoon flood</x:v>
      </x:c>
      <x:c r="D2" s="17" t="n">
        <x:v>5</x:v>
      </x:c>
      <x:c r="E2" s="17" t="str">
        <x:v>Johor Bahru became flood-affected on 11 Jan after rain from 10 Jan; one continuous January episode.</x:v>
      </x:c>
    </x:row>
    <x:row r="3">
      <x:c r="A3" s="17" t="str">
        <x:v>DG-JB-20250319-20250324</x:v>
      </x:c>
      <x:c r="B3" s="17" t="str">
        <x:v>2025-03-19 to 2025-03-24</x:v>
      </x:c>
      <x:c r="C3" s="17" t="str">
        <x:v>Major monsoon flood</x:v>
      </x:c>
      <x:c r="D3" s="17" t="n">
        <x:v>30</x:v>
      </x:c>
      <x:c r="E3" s="17" t="str">
        <x:v>Worst JB flood in roughly three decades according to MBJB mayor; communities, roads, schools and health facilities retained under one episode group.</x:v>
      </x:c>
    </x:row>
    <x:row r="4">
      <x:c r="A4" s="17" t="str">
        <x:v>DG-JB-20250416</x:v>
      </x:c>
      <x:c r="B4" s="17" t="str">
        <x:v>2025-04-16</x:v>
      </x:c>
      <x:c r="C4" s="17" t="str">
        <x:v>Flash flood</x:v>
      </x:c>
      <x:c r="D4" s="17" t="n">
        <x:v>1</x:v>
      </x:c>
      <x:c r="E4" s="17" t="str">
        <x:v>Lebuhraya Pasir Gudang near Taman Rinting interchange; ~0.5 m water and severe traffic congestion.</x:v>
      </x:c>
    </x:row>
    <x:row r="5">
      <x:c r="A5" s="17" t="str">
        <x:v>DG-JB-20250911</x:v>
      </x:c>
      <x:c r="B5" s="17" t="str">
        <x:v>2025-09-11</x:v>
      </x:c>
      <x:c r="C5" s="17" t="str">
        <x:v>Flash flood</x:v>
      </x:c>
      <x:c r="D5" s="17" t="n">
        <x:v>1</x:v>
      </x:c>
      <x:c r="E5" s="17" t="str">
        <x:v>Building Lily, HSA; building-specific drainage/low-level issue.</x:v>
      </x:c>
    </x:row>
    <x:row r="6">
      <x:c r="A6" s="17" t="str">
        <x:v>DG-JB-20251212</x:v>
      </x:c>
      <x:c r="B6" s="17" t="str">
        <x:v>2025-12-12</x:v>
      </x:c>
      <x:c r="C6" s="17" t="str">
        <x:v>Urban flash flood</x:v>
      </x:c>
      <x:c r="D6" s="17" t="n">
        <x:v>9</x:v>
      </x:c>
      <x:c r="E6" s="17" t="str">
        <x:v>City-centre/low-lying roads and residential areas; includes rescue at Kampung Mohd Amin and Kampung Pasir.</x:v>
      </x:c>
    </x:row>
    <x:row r="7">
      <x:c r="A7" s="17" t="str">
        <x:v>DG-JB-20251213</x:v>
      </x:c>
      <x:c r="B7" s="17" t="str">
        <x:v>2025-12-13</x:v>
      </x:c>
      <x:c r="C7" s="17" t="str">
        <x:v>Flash-flood recurrence</x:v>
      </x:c>
      <x:c r="D7" s="17" t="n">
        <x:v>1</x:v>
      </x:c>
      <x:c r="E7" s="17" t="str">
        <x:v>Kampung Mohd Amin documented again by Bernama on the following day; retained as separate recurrence after two consecutive flood days.</x:v>
      </x:c>
    </x:row>
  </x:sheetData>
  <x:pageMargins left="0.7" right="0.7" top="0.75" bottom="0.75" header="0.3" footer="0.3"/>
</x:worksheet>
</file>

<file path=xl/worksheets/sheet38.xml><?xml version="1.0" encoding="utf-8"?>
<x:worksheet xmlns:x="http://schemas.openxmlformats.org/spreadsheetml/2006/main">
  <x:sheetFormatPr defaultRowHeight="15"/>
  <x:cols>
    <x:col min="1" max="1" width="35" hidden="0" customWidth="1"/>
    <x:col min="2" max="2" width="58" hidden="0" customWidth="1"/>
    <x:col min="3" max="3" width="38" hidden="0" customWidth="1"/>
    <x:col min="4" max="4" width="17" hidden="0" customWidth="1"/>
    <x:col min="5" max="5" width="16" hidden="0" customWidth="1"/>
    <x:col min="6" max="6" width="31" hidden="0" customWidth="1"/>
    <x:col min="7" max="7" width="72" hidden="0" customWidth="1"/>
    <x:col min="8" max="8" width="82" hidden="0" customWidth="1"/>
  </x:cols>
  <x:sheetData>
    <x:row r="1">
      <x:c r="A1" s="54" t="str">
        <x:v>Source_ID</x:v>
      </x:c>
      <x:c r="B1" s="54" t="str">
        <x:v>Source_Title</x:v>
      </x:c>
      <x:c r="C1" s="54" t="str">
        <x:v>Publisher</x:v>
      </x:c>
      <x:c r="D1" s="54" t="str">
        <x:v>Publication_Date</x:v>
      </x:c>
      <x:c r="E1" s="54" t="str">
        <x:v>Reliability_Tier</x:v>
      </x:c>
      <x:c r="F1" s="54" t="str">
        <x:v>Use</x:v>
      </x:c>
      <x:c r="G1" s="54" t="str">
        <x:v>Source_URL</x:v>
      </x:c>
      <x:c r="H1" s="54" t="str">
        <x:v>Evidence_Note</x:v>
      </x:c>
    </x:row>
    <x:row r="2">
      <x:c r="A2" s="17" t="str">
        <x:v>SRC_R2025_UTUSAN_20250111</x:v>
      </x:c>
      <x:c r="B2" s="17" t="str">
        <x:v>300 keluarga terjejas banjir di Kangkar Tebrau</x:v>
      </x:c>
      <x:c r="C2" s="17" t="str">
        <x:v>Utusan Malaysia</x:v>
      </x:c>
      <x:c r="D2" s="17" t="str">
        <x:v>2025-01-11</x:v>
      </x:c>
      <x:c r="E2" s="17" t="str">
        <x:v>B</x:v>
      </x:c>
      <x:c r="F2" s="17" t="str">
        <x:v>Exact January event/location evidence</x:v>
      </x:c>
      <x:c r="G2" s="17" t="str">
        <x:v>https://www.utusan.com.my/berita/2025/01/300-keluarga-terjejas-banjir-di-kangkar-tebrau/</x:v>
      </x:c>
      <x:c r="H2" s="17" t="str">
        <x:v>Direct community, SK Kangkar Tebrau and mosque inundation evidence.</x:v>
      </x:c>
    </x:row>
    <x:row r="3">
      <x:c r="A3" s="17" t="str">
        <x:v>SRC_R2025_BERNAMA_20250111</x:v>
      </x:c>
      <x:c r="B3" s="17" t="str">
        <x:v>Banjir: Mangsa Di Johor Terus Meningkat, Perak Kekal, Malam Ini</x:v>
      </x:c>
      <x:c r="C3" s="17" t="str">
        <x:v>Bernama</x:v>
      </x:c>
      <x:c r="D3" s="17" t="str">
        <x:v>2025-01-11</x:v>
      </x:c>
      <x:c r="E3" s="17" t="str">
        <x:v>B</x:v>
      </x:c>
      <x:c r="F3" s="17" t="str">
        <x:v>Exact January location evidence</x:v>
      </x:c>
      <x:c r="G3" s="17" t="str">
        <x:v>https://bernama.com/bm/news.php?id=2381630</x:v>
      </x:c>
      <x:c r="H3" s="17" t="str">
        <x:v>Bernama field observation: road/houses flooded at Kampung Paya Kenangan.</x:v>
      </x:c>
    </x:row>
    <x:row r="4">
      <x:c r="A4" s="17" t="str">
        <x:v>SRC_R2025_NADMA_20250113</x:v>
      </x:c>
      <x:c r="B4" s="17" t="str">
        <x:v>Flood evacuees rise in Johor</x:v>
      </x:c>
      <x:c r="C4" s="17" t="str">
        <x:v>NADMA / JPBN</x:v>
      </x:c>
      <x:c r="D4" s="17" t="str">
        <x:v>2025-01-13</x:v>
      </x:c>
      <x:c r="E4" s="17" t="str">
        <x:v>A</x:v>
      </x:c>
      <x:c r="F4" s="17" t="str">
        <x:v>January episode summary</x:v>
      </x:c>
      <x:c r="G4" s="17" t="str">
        <x:v>https://www.nadma.gov.my/bi/media-en/news/2235-flood-evacuees-rise-in-johor</x:v>
      </x:c>
      <x:c r="H4" s="17" t="str">
        <x:v>Johor Bahru worst-hit areas: Kampung Kangkar Tebrau, Kampung Paya Kenangan and Kampung Pasir.</x:v>
      </x:c>
    </x:row>
    <x:row r="5">
      <x:c r="A5" s="17" t="str">
        <x:v>SRC_R2025_NST_NADMA_20250113</x:v>
      </x:c>
      <x:c r="B5" s="17" t="str">
        <x:v>KPWKM/NST media monitoring: Flood evacuees rise in Johor</x:v>
      </x:c>
      <x:c r="C5" s="17" t="str">
        <x:v>KPWKM / New Straits Times</x:v>
      </x:c>
      <x:c r="D5" s="17" t="str">
        <x:v>2025-01-13</x:v>
      </x:c>
      <x:c r="E5" s="17" t="str">
        <x:v>A/B</x:v>
      </x:c>
      <x:c r="F5" s="17" t="str">
        <x:v>January corroboration</x:v>
      </x:c>
      <x:c r="G5" s="17" t="str">
        <x:v>https://kpwkm.gov.my/uploads/content-downloads/file_20250116124207.pdf</x:v>
      </x:c>
      <x:c r="H5" s="17" t="str">
        <x:v>Official media-monitoring copy repeats the same three worst-hit Johor Bahru locations.</x:v>
      </x:c>
    </x:row>
    <x:row r="6">
      <x:c r="A6" s="17" t="str">
        <x:v>SRC_R2025_NADMA_20250320</x:v>
      </x:c>
      <x:c r="B6" s="17" t="str">
        <x:v>Banjir: Tiga PPS dibuka di Johor Bahru, 68 penduduk terjejas</x:v>
      </x:c>
      <x:c r="C6" s="17" t="str">
        <x:v>NADMA / JPBN</x:v>
      </x:c>
      <x:c r="D6" s="17" t="str">
        <x:v>2025-03-20</x:v>
      </x:c>
      <x:c r="E6" s="17" t="str">
        <x:v>A</x:v>
      </x:c>
      <x:c r="F6" s="17" t="str">
        <x:v>Exact March origin-community evidence</x:v>
      </x:c>
      <x:c r="G6" s="17" t="str">
        <x:v>https://www.nadma.gov.my/bm/media-2/berita/3257-banjir-tiga-pps-dibuka-di-johor-bahru-68-penduduk-terjejas</x:v>
      </x:c>
      <x:c r="H6" s="17" t="str">
        <x:v>Names Kangkar Tebrau, Ulu Pandan, Bunga Ros, Paya Kenangan and Pasir Tebrau as flood-affected origin communities.</x:v>
      </x:c>
    </x:row>
    <x:row r="7">
      <x:c r="A7" s="17" t="str">
        <x:v>SRC_R2025_NADMA_20250320_OPS</x:v>
      </x:c>
      <x:c r="B7" s="17" t="str">
        <x:v>Johor dilanda banjir, 3 PPS dibuka</x:v>
      </x:c>
      <x:c r="C7" s="17" t="str">
        <x:v>NADMA / JPBN / JBPM</x:v>
      </x:c>
      <x:c r="D7" s="17" t="str">
        <x:v>2025-03-20</x:v>
      </x:c>
      <x:c r="E7" s="17" t="str">
        <x:v>A</x:v>
      </x:c>
      <x:c r="F7" s="17" t="str">
        <x:v>March rescue/operations evidence</x:v>
      </x:c>
      <x:c r="G7" s="17" t="str">
        <x:v>https://www.nadma.gov.my/bm/media-2/berita/3259-johor-dilanda-banjir-3-pps-dibuka</x:v>
      </x:c>
      <x:c r="H7" s="17" t="str">
        <x:v>Rescue/evacuation operations explicitly at Kampung Laut Skudai, Kangkar Tebrau and Kampung Pasir.</x:v>
      </x:c>
    </x:row>
    <x:row r="8">
      <x:c r="A8" s="17" t="str">
        <x:v>SRC_R2025_NADMA_20250320_ROAD</x:v>
      </x:c>
      <x:c r="B8" s="17" t="str">
        <x:v>Floods: Several locations near JB report rising waters amid continuous rainfall</x:v>
      </x:c>
      <x:c r="C8" s="17" t="str">
        <x:v>NADMA carrying JBPM report</x:v>
      </x:c>
      <x:c r="D8" s="17" t="str">
        <x:v>2025-03-20</x:v>
      </x:c>
      <x:c r="E8" s="17" t="str">
        <x:v>A/B</x:v>
      </x:c>
      <x:c r="F8" s="17" t="str">
        <x:v>Exact road/community evidence</x:v>
      </x:c>
      <x:c r="G8" s="17" t="str">
        <x:v>https://www.nadma.gov.my/bi/media-en/news/3261-floods-several-locations-near-jb-report-rising-waters-amid-continuous-rainfall</x:v>
      </x:c>
      <x:c r="H8" s="17" t="str">
        <x:v>JBPM monitored Paya Kenangan, Pasir Tebrau, Kangkar Tebrau, Bunga Ros; rescued resident along Jalan Sukun at Kampung Pasir.</x:v>
      </x:c>
    </x:row>
    <x:row r="9">
      <x:c r="A9" s="17" t="str">
        <x:v>SRC_R2025_MAYOR_20250328</x:v>
      </x:c>
      <x:c r="B9" s="17" t="str">
        <x:v>Banjir terburuk dalam tempoh 30 tahun - Datuk Bandar MBJB</x:v>
      </x:c>
      <x:c r="C9" s="17" t="str">
        <x:v>NADMA / MBJB Mayor</x:v>
      </x:c>
      <x:c r="D9" s="17" t="str">
        <x:v>2025-03-28</x:v>
      </x:c>
      <x:c r="E9" s="17" t="str">
        <x:v>A</x:v>
      </x:c>
      <x:c r="F9" s="17" t="str">
        <x:v>Official retrospective affected-area evidence</x:v>
      </x:c>
      <x:c r="G9" s="17" t="str">
        <x:v>https://www.nadma.gov.my/bi/media-en/news/3415-banjir-terburuk-dalam-tempoh-30-tahun-datuk-bandar-mbjb</x:v>
      </x:c>
      <x:c r="H9" s="17" t="str">
        <x:v>MBJB says 27 areas affected; public article names Pandan, Kangkar Tebrau, Desa Mutiara, Tampoi Utama, Kampung Pasir, Seri Serdang, Melayu Pandan, Belantik and highlights Tampoi Indah.</x:v>
      </x:c>
    </x:row>
    <x:row r="10">
      <x:c r="A10" s="17" t="str">
        <x:v>SRC_R2025_NADMA_20250322_AID</x:v>
      </x:c>
      <x:c r="B10" s="17" t="str">
        <x:v>Econsave Hulur Bantuan Kepada Mangsa Banjir di Johor Bahru</x:v>
      </x:c>
      <x:c r="C10" s="17" t="str">
        <x:v>NADMA carrying Kosmo report</x:v>
      </x:c>
      <x:c r="D10" s="17" t="str">
        <x:v>2025-03-22</x:v>
      </x:c>
      <x:c r="E10" s="17" t="str">
        <x:v>B</x:v>
      </x:c>
      <x:c r="F10" s="17" t="str">
        <x:v>Post-flood impact evidence</x:v>
      </x:c>
      <x:c r="G10" s="17" t="str">
        <x:v>https://www.nadma.gov.my/bm/media-2/berita/3317-econsave-hulur-bantuan-kepada-mangsa-banjir-di-johor-bahru</x:v>
      </x:c>
      <x:c r="H10" s="17" t="str">
        <x:v>Cleanup at Surau Desa Mutiara and severely affected nearby homes corroborates Desa Mutiara impact.</x:v>
      </x:c>
    </x:row>
    <x:row r="11">
      <x:c r="A11" s="17" t="str">
        <x:v>SRC_R2025_NADMA_20250321_TAMPOI</x:v>
      </x:c>
      <x:c r="B11" s="17" t="str">
        <x:v>43 guru, murid terkandas sekolah dinaiki air</x:v>
      </x:c>
      <x:c r="C11" s="17" t="str">
        <x:v>NADMA / JBPM</x:v>
      </x:c>
      <x:c r="D11" s="17" t="str">
        <x:v>2025-03-21</x:v>
      </x:c>
      <x:c r="E11" s="17" t="str">
        <x:v>A/B</x:v>
      </x:c>
      <x:c r="F11" s="17" t="str">
        <x:v>Exact facility inundation evidence</x:v>
      </x:c>
      <x:c r="G11" s="17" t="str">
        <x:v>https://www.nadma.gov.my/bi/media-en/news/3306-43-guru-murid-terkandas-sekolah-dinaiki-air</x:v>
      </x:c>
      <x:c r="H11" s="17" t="str">
        <x:v>SK Taman Tampoi Utama directly inundated; teachers and pupils trapped.</x:v>
      </x:c>
    </x:row>
    <x:row r="12">
      <x:c r="A12" s="17" t="str">
        <x:v>SRC_R2025_NADMA_20250325_TAMPOI</x:v>
      </x:c>
      <x:c r="B12" s="17" t="str">
        <x:v>Berulang-alik lebih 30 kali selamatkan murid terkandas akibat banjir</x:v>
      </x:c>
      <x:c r="C12" s="17" t="str">
        <x:v>NADMA</x:v>
      </x:c>
      <x:c r="D12" s="17" t="str">
        <x:v>2025-03-25</x:v>
      </x:c>
      <x:c r="E12" s="17" t="str">
        <x:v>B</x:v>
      </x:c>
      <x:c r="F12" s="17" t="str">
        <x:v>Tampoi flood corroboration</x:v>
      </x:c>
      <x:c r="G12" s="17" t="str">
        <x:v>https://www.nadma.gov.my/bm/media-2/berita/3380-berulang-alik-lebih-30-kali-selamatkan-murid-terkandas-akibat-banjir</x:v>
      </x:c>
      <x:c r="H12" s="17" t="str">
        <x:v>Confirms severe flood around Taman Tampoi Indah and SK Taman Tampoi Utama.</x:v>
      </x:c>
    </x:row>
    <x:row r="13">
      <x:c r="A13" s="17" t="str">
        <x:v>SRC_R2025_BERNAMA_SCHOOLS_20250320</x:v>
      </x:c>
      <x:c r="B13" s="17" t="str">
        <x:v>20 Sekolah Terjejas Akibat Banjir Di Johor</x:v>
      </x:c>
      <x:c r="C13" s="17" t="str">
        <x:v>Bernama</x:v>
      </x:c>
      <x:c r="D13" s="17" t="str">
        <x:v>2025-03-20</x:v>
      </x:c>
      <x:c r="E13" s="17" t="str">
        <x:v>A/B</x:v>
      </x:c>
      <x:c r="F13" s="17" t="str">
        <x:v>Exact facility-impact evidence</x:v>
      </x:c>
      <x:c r="G13" s="17" t="str">
        <x:v>https://www.bernama.com/bm/news.php?id=2404303</x:v>
      </x:c>
      <x:c r="H13" s="17" t="str">
        <x:v>SK Kangkar Tebrau and SK Kampung Maju Jaya in Johor Bahru fully inundated.</x:v>
      </x:c>
    </x:row>
    <x:row r="14">
      <x:c r="A14" s="17" t="str">
        <x:v>SRC_R2025_NADMA_SITREP_20250322</x:v>
      </x:c>
      <x:c r="B14" s="17" t="str">
        <x:v>Laporan Harian Bencana #19, 22 Mac 2025</x:v>
      </x:c>
      <x:c r="C14" s="17" t="str">
        <x:v>NADMA / JKR / KKM</x:v>
      </x:c>
      <x:c r="D14" s="17" t="str">
        <x:v>2025-03-22</x:v>
      </x:c>
      <x:c r="E14" s="17" t="str">
        <x:v>A</x:v>
      </x:c>
      <x:c r="F14" s="17" t="str">
        <x:v>Official road and health-facility impact evidence</x:v>
      </x:c>
      <x:c r="G14" s="17" t="str">
        <x:v>https://www.nadma.gov.my/images/2025/SITREP/SITREP_19_-_22_Mac_2025.pdf</x:v>
      </x:c>
      <x:c r="H14" s="17" t="str">
        <x:v>Provides 8 Johor Bahru JKR flood-affected road sections and 3 Johor Bahru health facilities affected as of 21 Mar.</x:v>
      </x:c>
    </x:row>
    <x:row r="15">
      <x:c r="A15" s="17" t="str">
        <x:v>SRC_R2025_DAP_20250324</x:v>
      </x:c>
      <x:c r="B15" s="17" t="str">
        <x:v>Unit Tindak DAP Johor bertindak pantas membantu mangsa banjir</x:v>
      </x:c>
      <x:c r="C15" s="17" t="str">
        <x:v>DAP Johor field team</x:v>
      </x:c>
      <x:c r="D15" s="17" t="str">
        <x:v>2025-03-24</x:v>
      </x:c>
      <x:c r="E15" s="17" t="str">
        <x:v>C</x:v>
      </x:c>
      <x:c r="F15" s="17" t="str">
        <x:v>Lower-tier field observation</x:v>
      </x:c>
      <x:c r="G15" s="17" t="str">
        <x:v>https://dapmalaysia.org/unit-tindak-dap-johor-bertindak-pantas-membantu-mangsa-banjir/</x:v>
      </x:c>
      <x:c r="H15" s="17" t="str">
        <x:v>Field observation identifies Perling among seriously affected areas; electricity cut after flood rose to around four feet.</x:v>
      </x:c>
    </x:row>
    <x:row r="16">
      <x:c r="A16" s="17" t="str">
        <x:v>SRC_R2025_NADMA_20250416</x:v>
      </x:c>
      <x:c r="B16" s="17" t="str">
        <x:v>Banjir kilat sebabkan Lebuhraya Pasir Gudang sesak</x:v>
      </x:c>
      <x:c r="C16" s="17" t="str">
        <x:v>NADMA carrying Utusan report</x:v>
      </x:c>
      <x:c r="D16" s="17" t="str">
        <x:v>2025-04-16</x:v>
      </x:c>
      <x:c r="E16" s="17" t="str">
        <x:v>A/B</x:v>
      </x:c>
      <x:c r="F16" s="17" t="str">
        <x:v>Exact road flash-flood evidence</x:v>
      </x:c>
      <x:c r="G16" s="17" t="str">
        <x:v>https://www.nadma.gov.my/bm/media-2/berita/3928-banjir-kilat-sebabkan-lebuhraya-pasir-gudang-sesak</x:v>
      </x:c>
      <x:c r="H16" s="17" t="str">
        <x:v>~0.5 m water near Taman Rinting interchange; traffic toward Permas Jaya severely congested.</x:v>
      </x:c>
    </x:row>
    <x:row r="17">
      <x:c r="A17" s="17" t="str">
        <x:v>SRC_R2025_BERNAMA_20250911</x:v>
      </x:c>
      <x:c r="B17" s="17" t="str">
        <x:v>Bangunan Lily HSA Dilanda Banjir Kilat, JPS Kenal Pasti Punca - Exco</x:v>
      </x:c>
      <x:c r="C17" s="17" t="str">
        <x:v>Bernama / Johor Exco / JPS</x:v>
      </x:c>
      <x:c r="D17" s="17" t="str">
        <x:v>2025-09-11</x:v>
      </x:c>
      <x:c r="E17" s="17" t="str">
        <x:v>A/B</x:v>
      </x:c>
      <x:c r="F17" s="17" t="str">
        <x:v>Exact critical-facility flash-flood evidence</x:v>
      </x:c>
      <x:c r="G17" s="17" t="str">
        <x:v>https://bernama.com/bm/news.php?id=2466592</x:v>
      </x:c>
      <x:c r="H17" s="17" t="str">
        <x:v>Building Lily at HSA flooded around 4 pm; building-specific event.</x:v>
      </x:c>
    </x:row>
    <x:row r="18">
      <x:c r="A18" s="17" t="str">
        <x:v>SRC_R2025_SINAR_20250911</x:v>
      </x:c>
      <x:c r="B18" s="17" t="str">
        <x:v>Banjir kilat landa bangunan Lili, Hospital Sultanah Aminah</x:v>
      </x:c>
      <x:c r="C18" s="17" t="str">
        <x:v>Sinar Harian</x:v>
      </x:c>
      <x:c r="D18" s="17" t="str">
        <x:v>2025-09-11</x:v>
      </x:c>
      <x:c r="E18" s="17" t="str">
        <x:v>B</x:v>
      </x:c>
      <x:c r="F18" s="17" t="str">
        <x:v>Critical-facility corroboration</x:v>
      </x:c>
      <x:c r="G18" s="17" t="str">
        <x:v>https://www.sinarharian.com.my/article/747616/edisi/johor/banjir-kilat-landa-bangunan-lili-hospital-sultanah-aminah</x:v>
      </x:c>
      <x:c r="H18" s="17" t="str">
        <x:v>Corroborates HSA Building Lily inundation after prolonged heavy rain.</x:v>
      </x:c>
    </x:row>
    <x:row r="19">
      <x:c r="A19" s="17" t="str">
        <x:v>SRC_R2025_SINAR_20251212</x:v>
      </x:c>
      <x:c r="B19" s="17" t="str">
        <x:v>Banjir kilat, bumbung pentas runtuh, pokok tumbang di Johor Bahru</x:v>
      </x:c>
      <x:c r="C19" s="17" t="str">
        <x:v>Sinar Harian</x:v>
      </x:c>
      <x:c r="D19" s="17" t="str">
        <x:v>2025-12-12</x:v>
      </x:c>
      <x:c r="E19" s="17" t="str">
        <x:v>B</x:v>
      </x:c>
      <x:c r="F19" s="17" t="str">
        <x:v>Exact urban flash-flood locations</x:v>
      </x:c>
      <x:c r="G19" s="17" t="str">
        <x:v>https://www.sinarharian.com.my/article/760321/edisi/johor/banjir-kilat-bumbung-pentas-runtuh-pokok-tumbang-di-johor-bahru</x:v>
      </x:c>
      <x:c r="H19" s="17" t="str">
        <x:v>Names Jalan Kolam Air, Nong Chik, Jalan Sungai Chat and Tasik Merdeka as flooded around 3:50 pm.</x:v>
      </x:c>
    </x:row>
    <x:row r="20">
      <x:c r="A20" s="17" t="str">
        <x:v>SRC_R2025_KOSMO_20251212</x:v>
      </x:c>
      <x:c r="B20" s="17" t="str">
        <x:v>Hujan lebat lebih 2 jam, Johor Bahru dilanda banjir kilat</x:v>
      </x:c>
      <x:c r="C20" s="17" t="str">
        <x:v>Kosmo</x:v>
      </x:c>
      <x:c r="D20" s="17" t="str">
        <x:v>2025-12-12</x:v>
      </x:c>
      <x:c r="E20" s="17" t="str">
        <x:v>B</x:v>
      </x:c>
      <x:c r="F20" s="17" t="str">
        <x:v>Additional urban locations</x:v>
      </x:c>
      <x:c r="G20" s="17" t="str">
        <x:v>https://www.kosmo.com.my/2025/12/12/video-hujan-lebat-lebih-2-jam-johor-bahru-dilanda-banjir-kilat/</x:v>
      </x:c>
      <x:c r="H20" s="17" t="str">
        <x:v>Names city centre, Jalan Wong Ah Fook, Jalan Tun Abdul Razak and Taman Pelangi.</x:v>
      </x:c>
    </x:row>
    <x:row r="21">
      <x:c r="A21" s="17" t="str">
        <x:v>SRC_R2025_STAR_RESCUE_20251212</x:v>
      </x:c>
      <x:c r="B21" s="17" t="str">
        <x:v>JB floods: 34 rescued from private kindergarten in Larkin</x:v>
      </x:c>
      <x:c r="C21" s="17" t="str">
        <x:v>The Star / JBPM</x:v>
      </x:c>
      <x:c r="D21" s="17" t="str">
        <x:v>2025-12-12</x:v>
      </x:c>
      <x:c r="E21" s="17" t="str">
        <x:v>B</x:v>
      </x:c>
      <x:c r="F21" s="17" t="str">
        <x:v>Exact rescue/location evidence</x:v>
      </x:c>
      <x:c r="G21" s="17" t="str">
        <x:v>https://www.thestar.com.my/news/nation/2025/12/12/jb-floods-34-rescued-from-private-kindergarten-in-larkin</x:v>
      </x:c>
      <x:c r="H21" s="17" t="str">
        <x:v>34 people evacuated from flooded kindergarten in Jalan Md Amin/Kampung Mohd Amin context.</x:v>
      </x:c>
    </x:row>
    <x:row r="22">
      <x:c r="A22" s="17" t="str">
        <x:v>SRC_R2025_MALAYSIAAKTIF_20251213</x:v>
      </x:c>
      <x:c r="B22" s="17" t="str">
        <x:v>Banjir Kilat Landa Kampung Mohd Amin</x:v>
      </x:c>
      <x:c r="C22" s="17" t="str">
        <x:v>MalaysiaAktif / JBPM</x:v>
      </x:c>
      <x:c r="D22" s="17" t="str">
        <x:v>2025-12-13</x:v>
      </x:c>
      <x:c r="E22" s="17" t="str">
        <x:v>B</x:v>
      </x:c>
      <x:c r="F22" s="17" t="str">
        <x:v>12 Dec event corroboration</x:v>
      </x:c>
      <x:c r="G22" s="17" t="str">
        <x:v>https://malaysiaaktif.my/2025/12/banjir-kilat-landa-kampung-mohd-amin/</x:v>
      </x:c>
      <x:c r="H22" s="17" t="str">
        <x:v>Report published 13 Dec explicitly says rescue/flood occurred the previous afternoon; homes and kindergarten inundated.</x:v>
      </x:c>
    </x:row>
    <x:row r="23">
      <x:c r="A23" s="17" t="str">
        <x:v>SRC_R2025_AWANI_20251213</x:v>
      </x:c>
      <x:c r="B23" s="17" t="str">
        <x:v>Banjir: 19 bayi antara 35 mangsa diselamatkan bomba</x:v>
      </x:c>
      <x:c r="C23" s="17" t="str">
        <x:v>Astro Awani carrying Bernama/JBPM</x:v>
      </x:c>
      <x:c r="D23" s="17" t="str">
        <x:v>2025-12-13</x:v>
      </x:c>
      <x:c r="E23" s="17" t="str">
        <x:v>B</x:v>
      </x:c>
      <x:c r="F23" s="17" t="str">
        <x:v>12 Dec rescue evidence</x:v>
      </x:c>
      <x:c r="G23" s="17" t="str">
        <x:v>https://www.astroawani.com/berita-malaysia/banjir-19-bayi-antara-35-mangsa-diselamatkan-bomba-551556/</x:v>
      </x:c>
      <x:c r="H23" s="17" t="str">
        <x:v>Also records rescue of a baby from a flooded caregiver's house at Kampung Pasir on 12 Dec.</x:v>
      </x:c>
    </x:row>
    <x:row r="24">
      <x:c r="A24" s="17" t="str">
        <x:v>SRC_R2025_BERNAMA_IMAGE_20251213</x:v>
      </x:c>
      <x:c r="B24" s="17" t="str">
        <x:v>JB11_13122025_BANJIR_KILAT</x:v>
      </x:c>
      <x:c r="C24" s="17" t="str">
        <x:v>Bernama Images</x:v>
      </x:c>
      <x:c r="D24" s="17" t="str">
        <x:v>2025-12-13</x:v>
      </x:c>
      <x:c r="E24" s="17" t="str">
        <x:v>B</x:v>
      </x:c>
      <x:c r="F24" s="17" t="str">
        <x:v>Documentary recurrence evidence</x:v>
      </x:c>
      <x:c r="G24" s="17" t="str">
        <x:v>https://imagesapps.bernama.com/images/2322/jb11-13122025-banjir-kilat</x:v>
      </x:c>
      <x:c r="H24" s="17" t="str">
        <x:v>Caption states Kampung Mohd Amin was flooded 'today' and flash flooding occurred for two consecutive days.</x:v>
      </x:c>
    </x:row>
    <x:row r="25">
      <x:c r="A25" s="17" t="str">
        <x:v>SRC_R2025_RMP_HOTSPOTS_20251204</x:v>
      </x:c>
      <x:c r="B25" s="17" t="str">
        <x:v>874 flood-risk locations identified statewide</x:v>
      </x:c>
      <x:c r="C25" s="17" t="str">
        <x:v>PDRM Johor</x:v>
      </x:c>
      <x:c r="D25" s="17" t="str">
        <x:v>2025-12-04</x:v>
      </x:c>
      <x:c r="E25" s="17" t="str">
        <x:v>A</x:v>
      </x:c>
      <x:c r="F25" s="17" t="str">
        <x:v>Risk context only</x:v>
      </x:c>
      <x:c r="G25" s="17" t="str">
        <x:v>https://www.rmp.gov.my/news-detail/2025/12/05/keratan-akhbar-pilihan-ada-874-lokasi-berisiko-banjir-04122025</x:v>
      </x:c>
      <x:c r="H25" s="17" t="str">
        <x:v>Johor Bahru had 51 identified flood-risk locations; not converted into dated events.</x:v>
      </x:c>
    </x:row>
  </x:sheetData>
  <x:pageMargins left="0.7" right="0.7" top="0.75" bottom="0.75" header="0.3" footer="0.3"/>
</x:worksheet>
</file>

<file path=xl/worksheets/sheet39.xml><?xml version="1.0" encoding="utf-8"?>
<x:worksheet xmlns:x="http://schemas.openxmlformats.org/spreadsheetml/2006/main">
  <x:sheetFormatPr defaultRowHeight="15"/>
  <x:cols>
    <x:col min="1" max="1" width="16" hidden="0" customWidth="1"/>
    <x:col min="2" max="2" width="58" hidden="0" customWidth="1"/>
    <x:col min="3" max="3" width="24" hidden="0" customWidth="1"/>
    <x:col min="4" max="4" width="16" hidden="0" customWidth="1"/>
    <x:col min="5" max="5" width="17" hidden="0" customWidth="1"/>
    <x:col min="6" max="6" width="17" hidden="0" customWidth="1"/>
    <x:col min="7" max="7" width="52" hidden="0" customWidth="1"/>
    <x:col min="8" max="8" width="45" hidden="0" customWidth="1"/>
    <x:col min="9" max="9" width="31" hidden="0" customWidth="1"/>
    <x:col min="10" max="10" width="72" hidden="0" customWidth="1"/>
    <x:col min="11" max="11" width="72" hidden="0" customWidth="1"/>
    <x:col min="12" max="12" width="17" hidden="0" customWidth="1"/>
  </x:cols>
  <x:sheetData>
    <x:row r="1">
      <x:c r="A1" s="54" t="str">
        <x:v>Spatial_Object_Key</x:v>
      </x:c>
      <x:c r="B1" s="54" t="str">
        <x:v>Canonical_Name</x:v>
      </x:c>
      <x:c r="C1" s="54" t="str">
        <x:v>Object_Type</x:v>
      </x:c>
      <x:c r="D1" s="54" t="str">
        <x:v>Point_GIS_Ready</x:v>
      </x:c>
      <x:c r="E1" s="54" t="str">
        <x:v>Longitude_WGS84</x:v>
      </x:c>
      <x:c r="F1" s="54" t="str">
        <x:v>Latitude_WGS84</x:v>
      </x:c>
      <x:c r="G1" s="54" t="str">
        <x:v>Point_Source</x:v>
      </x:c>
      <x:c r="H1" s="54" t="str">
        <x:v>Geometry_Status</x:v>
      </x:c>
      <x:c r="I1" s="54" t="str">
        <x:v>Polygon_ID</x:v>
      </x:c>
      <x:c r="J1" s="54" t="str">
        <x:v>Key_Conflict_or_Gap</x:v>
      </x:c>
      <x:c r="K1" s="54" t="str">
        <x:v>Next_Spatial_Action</x:v>
      </x:c>
      <x:c r="L1" s="54" t="str">
        <x:v>Event_Count_2025</x:v>
      </x:c>
    </x:row>
    <x:row r="2">
      <x:c r="A2" s="17" t="str">
        <x:v>S2025-001</x:v>
      </x:c>
      <x:c r="B2" s="17" t="str">
        <x:v>Kampung Kangkar Tebrau</x:v>
      </x:c>
      <x:c r="C2" s="17" t="str">
        <x:v>COMMUNITY/AREA</x:v>
      </x:c>
      <x:c r="D2" s="24" t="b">
        <x:v>1</x:v>
      </x:c>
      <x:c r="E2" s="17" t="n">
        <x:v>103.75709827</x:v>
      </x:c>
      <x:c r="F2" s="17" t="n">
        <x:v>1.53184902</x:v>
      </x:c>
      <x:c r="G2" s="17" t="str">
        <x:v>Official MyGeoName / frozen R005-R018 lineage</x:v>
      </x:c>
      <x:c r="H2" s="17" t="str">
        <x:v>REUSED_CLOSED</x:v>
      </x:c>
      <x:c r="I2" s="17" t="str">
        <x:v>PG2017-KG-KANGKAR-TEBRAU</x:v>
      </x:c>
      <x:c r="J2" s="17" t="str">
        <x:v>Exact named community analysis polygon already frozen; not an observed event inundation footprint.</x:v>
      </x:c>
      <x:c r="K2" s="17" t="str">
        <x:v>Reuse only as parent-community analysis context.</x:v>
      </x:c>
      <x:c r="L2" s="17" t="n">
        <x:f>COUNTIF('35_2025_Event_Master'!$E$2:$E$48,A2)</x:f>
        <x:v>2</x:v>
      </x:c>
    </x:row>
    <x:row r="3">
      <x:c r="A3" s="17" t="str">
        <x:v>S2025-002</x:v>
      </x:c>
      <x:c r="B3" s="17" t="str">
        <x:v>Kampung Paya Kenangan</x:v>
      </x:c>
      <x:c r="C3" s="17" t="str">
        <x:v>COMMUNITY/AREA</x:v>
      </x:c>
      <x:c r="D3" s="24" t="b">
        <x:v>1</x:v>
      </x:c>
      <x:c r="E3" s="17" t="n">
        <x:v>103.74961954</x:v>
      </x:c>
      <x:c r="F3" s="17" t="n">
        <x:v>1.5403203</x:v>
      </x:c>
      <x:c r="G3" s="17" t="str">
        <x:v>Official MyGeoName / R016</x:v>
      </x:c>
      <x:c r="H3" s="17" t="str">
        <x:v>POINT_READY; POLYGON_OPEN</x:v>
      </x:c>
      <x:c r="I3" s="17" t="str"/>
      <x:c r="J3" s="17" t="str">
        <x:v>Representative point is defensible; exact closed event/community geometry is not frozen.</x:v>
      </x:c>
      <x:c r="K3" s="17" t="str">
        <x:v>Seek exact named closed community/residential boundary.</x:v>
      </x:c>
      <x:c r="L3" s="17" t="n">
        <x:f>COUNTIF('35_2025_Event_Master'!$E$2:$E$48,A3)</x:f>
        <x:v>2</x:v>
      </x:c>
    </x:row>
    <x:row r="4">
      <x:c r="A4" s="17" t="str">
        <x:v>S2025-003</x:v>
      </x:c>
      <x:c r="B4" s="17" t="str">
        <x:v>SK Kangkar Tebrau</x:v>
      </x:c>
      <x:c r="C4" s="17" t="str">
        <x:v>CRITICAL FACILITY</x:v>
      </x:c>
      <x:c r="D4" s="24" t="b">
        <x:v>0</x:v>
      </x:c>
      <x:c r="E4" s="17"/>
      <x:c r="F4" s="17"/>
      <x:c r="G4" s="17" t="str"/>
      <x:c r="H4" s="17" t="str">
        <x:v>FACILITY_POINT/POLYGON_OPEN</x:v>
      </x:c>
      <x:c r="I4" s="17" t="str"/>
      <x:c r="J4" s="17" t="str">
        <x:v>Facility impact is verified; exact building/flood polygon is not frozen.</x:v>
      </x:c>
      <x:c r="K4" s="17" t="str">
        <x:v>Resolve exact facility/building footprint only from defensible geometry.</x:v>
      </x:c>
      <x:c r="L4" s="17" t="n">
        <x:f>COUNTIF('35_2025_Event_Master'!$E$2:$E$48,A4)</x:f>
        <x:v>2</x:v>
      </x:c>
    </x:row>
    <x:row r="5">
      <x:c r="A5" s="17" t="str">
        <x:v>S2025-004</x:v>
      </x:c>
      <x:c r="B5" s="17" t="str">
        <x:v>Masjid Kampung Kangkar Tebrau</x:v>
      </x:c>
      <x:c r="C5" s="17" t="str">
        <x:v>CRITICAL FACILITY</x:v>
      </x:c>
      <x:c r="D5" s="24" t="b">
        <x:v>0</x:v>
      </x:c>
      <x:c r="E5" s="17"/>
      <x:c r="F5" s="17"/>
      <x:c r="G5" s="17" t="str"/>
      <x:c r="H5" s="17" t="str">
        <x:v>FACILITY_POINT/POLYGON_OPEN</x:v>
      </x:c>
      <x:c r="I5" s="17" t="str"/>
      <x:c r="J5" s="17" t="str">
        <x:v>Facility impact is verified; exact building/flood polygon is not frozen.</x:v>
      </x:c>
      <x:c r="K5" s="17" t="str">
        <x:v>Resolve exact facility/building footprint only from defensible geometry.</x:v>
      </x:c>
      <x:c r="L5" s="17" t="n">
        <x:f>COUNTIF('35_2025_Event_Master'!$E$2:$E$48,A5)</x:f>
        <x:v>1</x:v>
      </x:c>
    </x:row>
    <x:row r="6">
      <x:c r="A6" s="17" t="str">
        <x:v>S2025-005</x:v>
      </x:c>
      <x:c r="B6" s="17" t="str">
        <x:v>Kampung Pasir</x:v>
      </x:c>
      <x:c r="C6" s="17" t="str">
        <x:v>COMMUNITY/AREA</x:v>
      </x:c>
      <x:c r="D6" s="24" t="b">
        <x:v>1</x:v>
      </x:c>
      <x:c r="E6" s="17" t="n">
        <x:v>103.6969651</x:v>
      </x:c>
      <x:c r="F6" s="17" t="n">
        <x:v>1.4955303</x:v>
      </x:c>
      <x:c r="G6" s="17" t="str">
        <x:v>Frozen HF14 reference point</x:v>
      </x:c>
      <x:c r="H6" s="17" t="str">
        <x:v>POINT_READY; POLYGON_OPEN</x:v>
      </x:c>
      <x:c r="I6" s="17" t="str"/>
      <x:c r="J6" s="17" t="str">
        <x:v>Representative point is defensible; exact closed event/community geometry is not frozen.</x:v>
      </x:c>
      <x:c r="K6" s="17" t="str">
        <x:v>Seek exact named closed community/residential boundary.</x:v>
      </x:c>
      <x:c r="L6" s="17" t="n">
        <x:f>COUNTIF('35_2025_Event_Master'!$E$2:$E$48,A6)</x:f>
        <x:v>3</x:v>
      </x:c>
    </x:row>
    <x:row r="7">
      <x:c r="A7" s="17" t="str">
        <x:v>S2025-006</x:v>
      </x:c>
      <x:c r="B7" s="17" t="str">
        <x:v>Kampung Ulu Pandan</x:v>
      </x:c>
      <x:c r="C7" s="17" t="str">
        <x:v>COMMUNITY/AREA</x:v>
      </x:c>
      <x:c r="D7" s="24" t="b">
        <x:v>1</x:v>
      </x:c>
      <x:c r="E7" s="17" t="n">
        <x:v>103.7683272</x:v>
      </x:c>
      <x:c r="F7" s="17" t="n">
        <x:v>1.5345501</x:v>
      </x:c>
      <x:c r="G7" s="17" t="str">
        <x:v>Frozen HF42 reference point</x:v>
      </x:c>
      <x:c r="H7" s="17" t="str">
        <x:v>POINT_READY; POLYGON_OPEN</x:v>
      </x:c>
      <x:c r="I7" s="17" t="str"/>
      <x:c r="J7" s="17" t="str">
        <x:v>Representative point is defensible; exact closed event/community geometry is not frozen.</x:v>
      </x:c>
      <x:c r="K7" s="17" t="str">
        <x:v>Seek exact named closed community/residential boundary.</x:v>
      </x:c>
      <x:c r="L7" s="17" t="n">
        <x:f>COUNTIF('35_2025_Event_Master'!$E$2:$E$48,A7)</x:f>
        <x:v>1</x:v>
      </x:c>
    </x:row>
    <x:row r="8">
      <x:c r="A8" s="17" t="str">
        <x:v>S2025-007</x:v>
      </x:c>
      <x:c r="B8" s="17" t="str">
        <x:v>Kampung Bunga Ros</x:v>
      </x:c>
      <x:c r="C8" s="17" t="str">
        <x:v>COMMUNITY/AREA</x:v>
      </x:c>
      <x:c r="D8" s="24" t="b">
        <x:v>1</x:v>
      </x:c>
      <x:c r="E8" s="17" t="n">
        <x:v>103.75965347</x:v>
      </x:c>
      <x:c r="F8" s="17" t="n">
        <x:v>1.53411714</x:v>
      </x:c>
      <x:c r="G8" s="17" t="str">
        <x:v>Official MyGeoName point retained in R016</x:v>
      </x:c>
      <x:c r="H8" s="17" t="str">
        <x:v>POINT_READY; POLYGON_OPEN</x:v>
      </x:c>
      <x:c r="I8" s="17" t="str"/>
      <x:c r="J8" s="17" t="str">
        <x:v>Representative point is defensible; exact closed event/community geometry is not frozen.</x:v>
      </x:c>
      <x:c r="K8" s="17" t="str">
        <x:v>Seek exact named closed community/residential boundary.</x:v>
      </x:c>
      <x:c r="L8" s="17" t="n">
        <x:f>COUNTIF('35_2025_Event_Master'!$E$2:$E$48,A8)</x:f>
        <x:v>1</x:v>
      </x:c>
    </x:row>
    <x:row r="9">
      <x:c r="A9" s="17" t="str">
        <x:v>S2025-008</x:v>
      </x:c>
      <x:c r="B9" s="17" t="str">
        <x:v>Kampung Pasir Tebrau</x:v>
      </x:c>
      <x:c r="C9" s="17" t="str">
        <x:v>COMMUNITY/AREA</x:v>
      </x:c>
      <x:c r="D9" s="24" t="b">
        <x:v>1</x:v>
      </x:c>
      <x:c r="E9" s="17" t="n">
        <x:v>103.74288131</x:v>
      </x:c>
      <x:c r="F9" s="17" t="n">
        <x:v>1.54457461</x:v>
      </x:c>
      <x:c r="G9" s="17" t="str">
        <x:v>Official MyGeoName / R016</x:v>
      </x:c>
      <x:c r="H9" s="17" t="str">
        <x:v>POINT_READY; POLYGON_OPEN</x:v>
      </x:c>
      <x:c r="I9" s="17" t="str"/>
      <x:c r="J9" s="17" t="str">
        <x:v>Representative point is defensible; exact closed event/community geometry is not frozen.</x:v>
      </x:c>
      <x:c r="K9" s="17" t="str">
        <x:v>Seek exact named closed community/residential boundary.</x:v>
      </x:c>
      <x:c r="L9" s="17" t="n">
        <x:f>COUNTIF('35_2025_Event_Master'!$E$2:$E$48,A9)</x:f>
        <x:v>1</x:v>
      </x:c>
    </x:row>
    <x:row r="10">
      <x:c r="A10" s="17" t="str">
        <x:v>S2025-009</x:v>
      </x:c>
      <x:c r="B10" s="17" t="str">
        <x:v>Kampung Laut Skudai</x:v>
      </x:c>
      <x:c r="C10" s="17" t="str">
        <x:v>COMMUNITY/AREA</x:v>
      </x:c>
      <x:c r="D10" s="24" t="b">
        <x:v>1</x:v>
      </x:c>
      <x:c r="E10" s="17" t="n">
        <x:v>103.6605</x:v>
      </x:c>
      <x:c r="F10" s="17" t="n">
        <x:v>1.5453</x:v>
      </x:c>
      <x:c r="G10" s="17" t="str">
        <x:v>Audited locality reference from R014/R016</x:v>
      </x:c>
      <x:c r="H10" s="17" t="str">
        <x:v>POINT_READY; POLYGON_OPEN</x:v>
      </x:c>
      <x:c r="I10" s="17" t="str"/>
      <x:c r="J10" s="17" t="str">
        <x:v>Representative point is defensible; exact closed event/community geometry is not frozen.</x:v>
      </x:c>
      <x:c r="K10" s="17" t="str">
        <x:v>Seek exact named closed community/residential boundary.</x:v>
      </x:c>
      <x:c r="L10" s="17" t="n">
        <x:f>COUNTIF('35_2025_Event_Master'!$E$2:$E$48,A10)</x:f>
        <x:v>1</x:v>
      </x:c>
    </x:row>
    <x:row r="11">
      <x:c r="A11" s="17" t="str">
        <x:v>S2025-010</x:v>
      </x:c>
      <x:c r="B11" s="17" t="str">
        <x:v>Pandan</x:v>
      </x:c>
      <x:c r="C11" s="17" t="str">
        <x:v>AREA/RESIDENTIAL</x:v>
      </x:c>
      <x:c r="D11" s="24" t="b">
        <x:v>1</x:v>
      </x:c>
      <x:c r="E11" s="17" t="n">
        <x:v>103.7639473</x:v>
      </x:c>
      <x:c r="F11" s="17" t="n">
        <x:v>1.5218297</x:v>
      </x:c>
      <x:c r="G11" s="17" t="str">
        <x:v>Frozen HF43 reference point</x:v>
      </x:c>
      <x:c r="H11" s="17" t="str">
        <x:v>POINT_READY; POLYGON_OPEN</x:v>
      </x:c>
      <x:c r="I11" s="17" t="str"/>
      <x:c r="J11" s="17" t="str">
        <x:v>Representative point is defensible; exact closed event/community geometry is not frozen.</x:v>
      </x:c>
      <x:c r="K11" s="17" t="str">
        <x:v>Seek exact named closed community/residential boundary.</x:v>
      </x:c>
      <x:c r="L11" s="17" t="n">
        <x:f>COUNTIF('35_2025_Event_Master'!$E$2:$E$48,A11)</x:f>
        <x:v>1</x:v>
      </x:c>
    </x:row>
    <x:row r="12">
      <x:c r="A12" s="17" t="str">
        <x:v>S2025-011</x:v>
      </x:c>
      <x:c r="B12" s="17" t="str">
        <x:v>Taman Desa Mutiara</x:v>
      </x:c>
      <x:c r="C12" s="17" t="str">
        <x:v>AREA/RESIDENTIAL</x:v>
      </x:c>
      <x:c r="D12" s="24" t="b">
        <x:v>1</x:v>
      </x:c>
      <x:c r="E12" s="17" t="n">
        <x:v>103.747256167436</x:v>
      </x:c>
      <x:c r="F12" s="17" t="n">
        <x:v>1.5406298</x:v>
      </x:c>
      <x:c r="G12" s="17" t="str">
        <x:v>Frozen HF45 reference point</x:v>
      </x:c>
      <x:c r="H12" s="17" t="str">
        <x:v>POINT_READY; POLYGON_OPEN</x:v>
      </x:c>
      <x:c r="I12" s="17" t="str"/>
      <x:c r="J12" s="17" t="str">
        <x:v>Representative point is defensible; exact closed event/community geometry is not frozen.</x:v>
      </x:c>
      <x:c r="K12" s="17" t="str">
        <x:v>Seek exact named closed community/residential boundary.</x:v>
      </x:c>
      <x:c r="L12" s="17" t="n">
        <x:f>COUNTIF('35_2025_Event_Master'!$E$2:$E$48,A12)</x:f>
        <x:v>1</x:v>
      </x:c>
    </x:row>
    <x:row r="13">
      <x:c r="A13" s="17" t="str">
        <x:v>S2025-012</x:v>
      </x:c>
      <x:c r="B13" s="17" t="str">
        <x:v>Taman Tampoi Utama</x:v>
      </x:c>
      <x:c r="C13" s="17" t="str">
        <x:v>AREA/RESIDENTIAL</x:v>
      </x:c>
      <x:c r="D13" s="24" t="b">
        <x:v>1</x:v>
      </x:c>
      <x:c r="E13" s="17" t="n">
        <x:v>103.6859554</x:v>
      </x:c>
      <x:c r="F13" s="17" t="n">
        <x:v>1.502518</x:v>
      </x:c>
      <x:c r="G13" s="17" t="str">
        <x:v>Frozen HF40 reference point</x:v>
      </x:c>
      <x:c r="H13" s="17" t="str">
        <x:v>POINT_READY; POLYGON_OPEN</x:v>
      </x:c>
      <x:c r="I13" s="17" t="str"/>
      <x:c r="J13" s="17" t="str">
        <x:v>Representative point is defensible; exact closed event/community geometry is not frozen.</x:v>
      </x:c>
      <x:c r="K13" s="17" t="str">
        <x:v>Seek exact named closed community/residential boundary.</x:v>
      </x:c>
      <x:c r="L13" s="17" t="n">
        <x:f>COUNTIF('35_2025_Event_Master'!$E$2:$E$48,A13)</x:f>
        <x:v>1</x:v>
      </x:c>
    </x:row>
    <x:row r="14">
      <x:c r="A14" s="17" t="str">
        <x:v>S2025-013</x:v>
      </x:c>
      <x:c r="B14" s="17" t="str">
        <x:v>Kampung Seri Serdang</x:v>
      </x:c>
      <x:c r="C14" s="17" t="str">
        <x:v>COMMUNITY/AREA</x:v>
      </x:c>
      <x:c r="D14" s="24" t="b">
        <x:v>1</x:v>
      </x:c>
      <x:c r="E14" s="17" t="n">
        <x:v>103.6919335</x:v>
      </x:c>
      <x:c r="F14" s="17" t="n">
        <x:v>1.5017487</x:v>
      </x:c>
      <x:c r="G14" s="17" t="str">
        <x:v>Frozen HF15 / Kampung Sri Serdang reference</x:v>
      </x:c>
      <x:c r="H14" s="17" t="str">
        <x:v>POINT_READY; POLYGON_OPEN</x:v>
      </x:c>
      <x:c r="I14" s="17" t="str"/>
      <x:c r="J14" s="17" t="str">
        <x:v>Representative point is defensible; exact closed event/community geometry is not frozen.</x:v>
      </x:c>
      <x:c r="K14" s="17" t="str">
        <x:v>Seek exact named closed community/residential boundary.</x:v>
      </x:c>
      <x:c r="L14" s="17" t="n">
        <x:f>COUNTIF('35_2025_Event_Master'!$E$2:$E$48,A14)</x:f>
        <x:v>1</x:v>
      </x:c>
    </x:row>
    <x:row r="15">
      <x:c r="A15" s="17" t="str">
        <x:v>S2025-014</x:v>
      </x:c>
      <x:c r="B15" s="17" t="str">
        <x:v>Kampung Melayu Pandan</x:v>
      </x:c>
      <x:c r="C15" s="17" t="str">
        <x:v>COMMUNITY/AREA</x:v>
      </x:c>
      <x:c r="D15" s="24" t="b">
        <x:v>1</x:v>
      </x:c>
      <x:c r="E15" s="17" t="n">
        <x:v>103.773858346421</x:v>
      </x:c>
      <x:c r="F15" s="17" t="n">
        <x:v>1.52264915</x:v>
      </x:c>
      <x:c r="G15" s="17" t="str">
        <x:v>Frozen HF12 reference point</x:v>
      </x:c>
      <x:c r="H15" s="17" t="str">
        <x:v>POINT_READY; POLYGON_OPEN</x:v>
      </x:c>
      <x:c r="I15" s="17" t="str"/>
      <x:c r="J15" s="17" t="str">
        <x:v>Representative point is defensible; exact closed event/community geometry is not frozen.</x:v>
      </x:c>
      <x:c r="K15" s="17" t="str">
        <x:v>Seek exact named closed community/residential boundary.</x:v>
      </x:c>
      <x:c r="L15" s="17" t="n">
        <x:f>COUNTIF('35_2025_Event_Master'!$E$2:$E$48,A15)</x:f>
        <x:v>1</x:v>
      </x:c>
    </x:row>
    <x:row r="16">
      <x:c r="A16" s="17" t="str">
        <x:v>S2025-015</x:v>
      </x:c>
      <x:c r="B16" s="17" t="str">
        <x:v>Kampung Belantik</x:v>
      </x:c>
      <x:c r="C16" s="17" t="str">
        <x:v>COMMUNITY/AREA</x:v>
      </x:c>
      <x:c r="D16" s="24" t="b">
        <x:v>0</x:v>
      </x:c>
      <x:c r="E16" s="17"/>
      <x:c r="F16" s="17"/>
      <x:c r="G16" s="17" t="str"/>
      <x:c r="H16" s="17" t="str">
        <x:v>IDENTITY_VALID; POINT_OPEN; POLYGON_OPEN</x:v>
      </x:c>
      <x:c r="I16" s="17" t="str"/>
      <x:c r="J16" s="17" t="str">
        <x:v>Mayor explicitly names Kampung Belantik, but earlier combined Belantik/Bendahara evidence must not be silently converted to Bendahara coordinates.</x:v>
      </x:c>
      <x:c r="K16" s="17" t="str">
        <x:v>Resolve Kampung Belantik identity independently.</x:v>
      </x:c>
      <x:c r="L16" s="17" t="n">
        <x:f>COUNTIF('35_2025_Event_Master'!$E$2:$E$48,A16)</x:f>
        <x:v>1</x:v>
      </x:c>
    </x:row>
    <x:row r="17">
      <x:c r="A17" s="17" t="str">
        <x:v>S2025-016</x:v>
      </x:c>
      <x:c r="B17" s="17" t="str">
        <x:v>Taman Tampoi Indah</x:v>
      </x:c>
      <x:c r="C17" s="17" t="str">
        <x:v>AREA/RESIDENTIAL</x:v>
      </x:c>
      <x:c r="D17" s="24" t="b">
        <x:v>1</x:v>
      </x:c>
      <x:c r="E17" s="17" t="n">
        <x:v>103.6818886</x:v>
      </x:c>
      <x:c r="F17" s="17" t="n">
        <x:v>1.5104756</x:v>
      </x:c>
      <x:c r="G17" s="17" t="str">
        <x:v>Frozen HF16 reference point</x:v>
      </x:c>
      <x:c r="H17" s="17" t="str">
        <x:v>POINT_READY; POLYGON_OPEN</x:v>
      </x:c>
      <x:c r="I17" s="17" t="str"/>
      <x:c r="J17" s="17" t="str">
        <x:v>Representative point is defensible; exact closed event/community geometry is not frozen.</x:v>
      </x:c>
      <x:c r="K17" s="17" t="str">
        <x:v>Seek exact named closed community/residential boundary.</x:v>
      </x:c>
      <x:c r="L17" s="17" t="n">
        <x:f>COUNTIF('35_2025_Event_Master'!$E$2:$E$48,A17)</x:f>
        <x:v>1</x:v>
      </x:c>
    </x:row>
    <x:row r="18">
      <x:c r="A18" s="17" t="str">
        <x:v>S2025-017</x:v>
      </x:c>
      <x:c r="B18" s="17" t="str">
        <x:v>Perling</x:v>
      </x:c>
      <x:c r="C18" s="17" t="str">
        <x:v>AREA/RESIDENTIAL</x:v>
      </x:c>
      <x:c r="D18" s="24" t="b">
        <x:v>0</x:v>
      </x:c>
      <x:c r="E18" s="17"/>
      <x:c r="F18" s="17"/>
      <x:c r="G18" s="17" t="str"/>
      <x:c r="H18" s="17" t="str">
        <x:v>LOWER_TIER_EVENT_EVIDENCE; POINT_OPEN; POLYGON_OPEN</x:v>
      </x:c>
      <x:c r="I18" s="17" t="str"/>
      <x:c r="J18" s="17" t="str">
        <x:v>Field observation confirms severe flooding/electricity isolation, but source tier is lower than official MBJB list.</x:v>
      </x:c>
      <x:c r="K18" s="17" t="str">
        <x:v>Retain event; seek official incident/geospatial confirmation.</x:v>
      </x:c>
      <x:c r="L18" s="17" t="n">
        <x:f>COUNTIF('35_2025_Event_Master'!$E$2:$E$48,A18)</x:f>
        <x:v>1</x:v>
      </x:c>
    </x:row>
    <x:row r="19">
      <x:c r="A19" s="17" t="str">
        <x:v>S2025-018</x:v>
      </x:c>
      <x:c r="B19" s="17" t="str">
        <x:v>Jalan Sukun, Kampung Pasir</x:v>
      </x:c>
      <x:c r="C19" s="17" t="str">
        <x:v>ROAD/ROAD SEGMENT</x:v>
      </x:c>
      <x:c r="D19" s="24" t="b">
        <x:v>0</x:v>
      </x:c>
      <x:c r="E19" s="17"/>
      <x:c r="F19" s="17"/>
      <x:c r="G19" s="17" t="str"/>
      <x:c r="H19" s="17" t="str">
        <x:v>ROAD_SEGMENT_OPEN</x:v>
      </x:c>
      <x:c r="I19" s="17" t="str"/>
      <x:c r="J19" s="17" t="str">
        <x:v>Road is event-valid; exact flooded start/end segment is not defensibly frozen.</x:v>
      </x:c>
      <x:c r="K19" s="17" t="str">
        <x:v>Recover exact flooded segment or route-chainage geometry before road GIS closure.</x:v>
      </x:c>
      <x:c r="L19" s="17" t="n">
        <x:f>COUNTIF('35_2025_Event_Master'!$E$2:$E$48,A19)</x:f>
        <x:v>1</x:v>
      </x:c>
    </x:row>
    <x:row r="20">
      <x:c r="A20" s="17" t="str">
        <x:v>S2025-019</x:v>
      </x:c>
      <x:c r="B20" s="17" t="str">
        <x:v>SK Kampung Maju Jaya</x:v>
      </x:c>
      <x:c r="C20" s="17" t="str">
        <x:v>CRITICAL FACILITY</x:v>
      </x:c>
      <x:c r="D20" s="24" t="b">
        <x:v>1</x:v>
      </x:c>
      <x:c r="E20" s="17" t="n">
        <x:v>103.718275204555</x:v>
      </x:c>
      <x:c r="F20" s="17" t="n">
        <x:v>1.5804887</x:v>
      </x:c>
      <x:c r="G20" s="17" t="str">
        <x:v>Frozen HF44 facility point</x:v>
      </x:c>
      <x:c r="H20" s="17" t="str">
        <x:v>POINT_READY; FACILITY_POLYGON_OPEN</x:v>
      </x:c>
      <x:c r="I20" s="17" t="str"/>
      <x:c r="J20" s="17" t="str">
        <x:v>Facility impact is verified; exact building/flood polygon is not frozen.</x:v>
      </x:c>
      <x:c r="K20" s="17" t="str">
        <x:v>Resolve exact facility/building footprint only from defensible geometry.</x:v>
      </x:c>
      <x:c r="L20" s="17" t="n">
        <x:f>COUNTIF('35_2025_Event_Master'!$E$2:$E$48,A20)</x:f>
        <x:v>1</x:v>
      </x:c>
    </x:row>
    <x:row r="21">
      <x:c r="A21" s="17" t="str">
        <x:v>S2025-020</x:v>
      </x:c>
      <x:c r="B21" s="17" t="str">
        <x:v>SK Taman Tampoi Utama</x:v>
      </x:c>
      <x:c r="C21" s="17" t="str">
        <x:v>CRITICAL FACILITY</x:v>
      </x:c>
      <x:c r="D21" s="24" t="b">
        <x:v>0</x:v>
      </x:c>
      <x:c r="E21" s="17"/>
      <x:c r="F21" s="17"/>
      <x:c r="G21" s="17" t="str"/>
      <x:c r="H21" s="17" t="str">
        <x:v>FACILITY_POINT/POLYGON_OPEN</x:v>
      </x:c>
      <x:c r="I21" s="17" t="str"/>
      <x:c r="J21" s="17" t="str">
        <x:v>Facility impact is verified; exact building/flood polygon is not frozen.</x:v>
      </x:c>
      <x:c r="K21" s="17" t="str">
        <x:v>Resolve exact facility/building footprint only from defensible geometry.</x:v>
      </x:c>
      <x:c r="L21" s="17" t="n">
        <x:f>COUNTIF('35_2025_Event_Master'!$E$2:$E$48,A21)</x:f>
        <x:v>1</x:v>
      </x:c>
    </x:row>
    <x:row r="22">
      <x:c r="A22" s="17" t="str">
        <x:v>S2025-021</x:v>
      </x:c>
      <x:c r="B22" s="17" t="str">
        <x:v>KD Kangkar Tebrau</x:v>
      </x:c>
      <x:c r="C22" s="17" t="str">
        <x:v>CRITICAL FACILITY</x:v>
      </x:c>
      <x:c r="D22" s="24" t="b">
        <x:v>0</x:v>
      </x:c>
      <x:c r="E22" s="17"/>
      <x:c r="F22" s="17"/>
      <x:c r="G22" s="17" t="str"/>
      <x:c r="H22" s="17" t="str">
        <x:v>FACILITY_POINT/POLYGON_OPEN</x:v>
      </x:c>
      <x:c r="I22" s="17" t="str"/>
      <x:c r="J22" s="17" t="str">
        <x:v>Facility impact is verified; exact building/flood polygon is not frozen.</x:v>
      </x:c>
      <x:c r="K22" s="17" t="str">
        <x:v>Resolve exact facility/building footprint only from defensible geometry.</x:v>
      </x:c>
      <x:c r="L22" s="17" t="n">
        <x:f>COUNTIF('35_2025_Event_Master'!$E$2:$E$48,A22)</x:f>
        <x:v>1</x:v>
      </x:c>
    </x:row>
    <x:row r="23">
      <x:c r="A23" s="17" t="str">
        <x:v>S2025-022</x:v>
      </x:c>
      <x:c r="B23" s="17" t="str">
        <x:v>KD Maju Jaya</x:v>
      </x:c>
      <x:c r="C23" s="17" t="str">
        <x:v>CRITICAL FACILITY</x:v>
      </x:c>
      <x:c r="D23" s="24" t="b">
        <x:v>0</x:v>
      </x:c>
      <x:c r="E23" s="17"/>
      <x:c r="F23" s="17"/>
      <x:c r="G23" s="17" t="str"/>
      <x:c r="H23" s="17" t="str">
        <x:v>FACILITY_POINT/POLYGON_OPEN</x:v>
      </x:c>
      <x:c r="I23" s="17" t="str"/>
      <x:c r="J23" s="17" t="str">
        <x:v>Facility impact is verified; exact building/flood polygon is not frozen.</x:v>
      </x:c>
      <x:c r="K23" s="17" t="str">
        <x:v>Resolve exact facility/building footprint only from defensible geometry.</x:v>
      </x:c>
      <x:c r="L23" s="17" t="n">
        <x:f>COUNTIF('35_2025_Event_Master'!$E$2:$E$48,A23)</x:f>
        <x:v>1</x:v>
      </x:c>
    </x:row>
    <x:row r="24">
      <x:c r="A24" s="17" t="str">
        <x:v>S2025-023</x:v>
      </x:c>
      <x:c r="B24" s="17" t="str">
        <x:v>KD Plentong</x:v>
      </x:c>
      <x:c r="C24" s="17" t="str">
        <x:v>CRITICAL FACILITY</x:v>
      </x:c>
      <x:c r="D24" s="24" t="b">
        <x:v>0</x:v>
      </x:c>
      <x:c r="E24" s="17"/>
      <x:c r="F24" s="17"/>
      <x:c r="G24" s="17" t="str"/>
      <x:c r="H24" s="17" t="str">
        <x:v>FACILITY_POINT/POLYGON_OPEN</x:v>
      </x:c>
      <x:c r="I24" s="17" t="str"/>
      <x:c r="J24" s="17" t="str">
        <x:v>Facility impact is verified; exact building/flood polygon is not frozen.</x:v>
      </x:c>
      <x:c r="K24" s="17" t="str">
        <x:v>Resolve exact facility/building footprint only from defensible geometry.</x:v>
      </x:c>
      <x:c r="L24" s="17" t="n">
        <x:f>COUNTIF('35_2025_Event_Master'!$E$2:$E$48,A24)</x:f>
        <x:v>1</x:v>
      </x:c>
    </x:row>
    <x:row r="25">
      <x:c r="A25" s="17" t="str">
        <x:v>S2025-024</x:v>
      </x:c>
      <x:c r="B25" s="17" t="str">
        <x:v>FT003 Johor Bahru–Endau Sec 21.0–21.8</x:v>
      </x:c>
      <x:c r="C25" s="17" t="str">
        <x:v>ROAD/ROAD SEGMENT</x:v>
      </x:c>
      <x:c r="D25" s="24" t="b">
        <x:v>0</x:v>
      </x:c>
      <x:c r="E25" s="17"/>
      <x:c r="F25" s="17"/>
      <x:c r="G25" s="17" t="str"/>
      <x:c r="H25" s="17" t="str">
        <x:v>JKR_SECTION_READY; WKT_PENDING</x:v>
      </x:c>
      <x:c r="I25" s="17" t="str"/>
      <x:c r="J25" s="17" t="str">
        <x:v>JKR supplies route and section limits, but WKT/road-centreline clipping is not yet reconstructed in this workbook.</x:v>
      </x:c>
      <x:c r="K25" s="17" t="str">
        <x:v>Clip the authoritative road network by JKR section chainage; do not buffer arbitrarily.</x:v>
      </x:c>
      <x:c r="L25" s="17" t="n">
        <x:f>COUNTIF('35_2025_Event_Master'!$E$2:$E$48,A25)</x:f>
        <x:v>1</x:v>
      </x:c>
    </x:row>
    <x:row r="26">
      <x:c r="A26" s="17" t="str">
        <x:v>S2025-025</x:v>
      </x:c>
      <x:c r="B26" s="17" t="str">
        <x:v>FT003 Jalan Johor Bahru–Kota Tinggi Sec 9.1–10.0</x:v>
      </x:c>
      <x:c r="C26" s="17" t="str">
        <x:v>ROAD/ROAD SEGMENT</x:v>
      </x:c>
      <x:c r="D26" s="24" t="b">
        <x:v>0</x:v>
      </x:c>
      <x:c r="E26" s="17"/>
      <x:c r="F26" s="17"/>
      <x:c r="G26" s="17" t="str"/>
      <x:c r="H26" s="17" t="str">
        <x:v>JKR_SECTION_READY; WKT_PENDING</x:v>
      </x:c>
      <x:c r="I26" s="17" t="str"/>
      <x:c r="J26" s="17" t="str">
        <x:v>JKR supplies route and section limits, but WKT/road-centreline clipping is not yet reconstructed in this workbook.</x:v>
      </x:c>
      <x:c r="K26" s="17" t="str">
        <x:v>Clip the authoritative road network by JKR section chainage; do not buffer arbitrarily.</x:v>
      </x:c>
      <x:c r="L26" s="17" t="n">
        <x:f>COUNTIF('35_2025_Event_Master'!$E$2:$E$48,A26)</x:f>
        <x:v>1</x:v>
      </x:c>
    </x:row>
    <x:row r="27">
      <x:c r="A27" s="17" t="str">
        <x:v>S2025-026</x:v>
      </x:c>
      <x:c r="B27" s="17" t="str">
        <x:v>FT01 Jalan Johor Bahru–Senai Sec 19.6–20.0</x:v>
      </x:c>
      <x:c r="C27" s="17" t="str">
        <x:v>ROAD/ROAD SEGMENT</x:v>
      </x:c>
      <x:c r="D27" s="24" t="b">
        <x:v>0</x:v>
      </x:c>
      <x:c r="E27" s="17"/>
      <x:c r="F27" s="17"/>
      <x:c r="G27" s="17" t="str"/>
      <x:c r="H27" s="17" t="str">
        <x:v>JKR_SECTION_READY; WKT_PENDING</x:v>
      </x:c>
      <x:c r="I27" s="17" t="str"/>
      <x:c r="J27" s="17" t="str">
        <x:v>JKR supplies route and section limits, but WKT/road-centreline clipping is not yet reconstructed in this workbook.</x:v>
      </x:c>
      <x:c r="K27" s="17" t="str">
        <x:v>Clip the authoritative road network by JKR section chainage; do not buffer arbitrarily.</x:v>
      </x:c>
      <x:c r="L27" s="17" t="n">
        <x:f>COUNTIF('35_2025_Event_Master'!$E$2:$E$48,A27)</x:f>
        <x:v>1</x:v>
      </x:c>
    </x:row>
    <x:row r="28">
      <x:c r="A28" s="17" t="str">
        <x:v>S2025-027</x:v>
      </x:c>
      <x:c r="B28" s="17" t="str">
        <x:v>FT017 Lebuhraya Pasir Gudang Sec 10.20–10.70</x:v>
      </x:c>
      <x:c r="C28" s="17" t="str">
        <x:v>ROAD/ROAD SEGMENT</x:v>
      </x:c>
      <x:c r="D28" s="24" t="b">
        <x:v>0</x:v>
      </x:c>
      <x:c r="E28" s="17"/>
      <x:c r="F28" s="17"/>
      <x:c r="G28" s="17" t="str"/>
      <x:c r="H28" s="17" t="str">
        <x:v>JKR_SECTION_READY; WKT_PENDING</x:v>
      </x:c>
      <x:c r="I28" s="17" t="str"/>
      <x:c r="J28" s="17" t="str">
        <x:v>JKR supplies route and section limits, but WKT/road-centreline clipping is not yet reconstructed in this workbook.</x:v>
      </x:c>
      <x:c r="K28" s="17" t="str">
        <x:v>Clip the authoritative road network by JKR section chainage; do not buffer arbitrarily.</x:v>
      </x:c>
      <x:c r="L28" s="17" t="n">
        <x:f>COUNTIF('35_2025_Event_Master'!$E$2:$E$48,A28)</x:f>
        <x:v>1</x:v>
      </x:c>
    </x:row>
    <x:row r="29">
      <x:c r="A29" s="17" t="str">
        <x:v>S2025-028</x:v>
      </x:c>
      <x:c r="B29" s="17" t="str">
        <x:v>FT017 Lebuhraya Pasir Gudang Sec 21.0–21.3</x:v>
      </x:c>
      <x:c r="C29" s="17" t="str">
        <x:v>ROAD/ROAD SEGMENT</x:v>
      </x:c>
      <x:c r="D29" s="24" t="b">
        <x:v>0</x:v>
      </x:c>
      <x:c r="E29" s="17"/>
      <x:c r="F29" s="17"/>
      <x:c r="G29" s="17" t="str"/>
      <x:c r="H29" s="17" t="str">
        <x:v>JKR_SECTION_READY; WKT_PENDING</x:v>
      </x:c>
      <x:c r="I29" s="17" t="str"/>
      <x:c r="J29" s="17" t="str">
        <x:v>JKR supplies route and section limits, but WKT/road-centreline clipping is not yet reconstructed in this workbook.</x:v>
      </x:c>
      <x:c r="K29" s="17" t="str">
        <x:v>Clip the authoritative road network by JKR section chainage; do not buffer arbitrarily.</x:v>
      </x:c>
      <x:c r="L29" s="17" t="n">
        <x:f>COUNTIF('35_2025_Event_Master'!$E$2:$E$48,A29)</x:f>
        <x:v>1</x:v>
      </x:c>
    </x:row>
    <x:row r="30">
      <x:c r="A30" s="17" t="str">
        <x:v>S2025-029</x:v>
      </x:c>
      <x:c r="B30" s="17" t="str">
        <x:v>J105 Jalan Maju Jaya–Seelong Sec 5.0–5.5</x:v>
      </x:c>
      <x:c r="C30" s="17" t="str">
        <x:v>ROAD/ROAD SEGMENT</x:v>
      </x:c>
      <x:c r="D30" s="24" t="b">
        <x:v>0</x:v>
      </x:c>
      <x:c r="E30" s="17"/>
      <x:c r="F30" s="17"/>
      <x:c r="G30" s="17" t="str"/>
      <x:c r="H30" s="17" t="str">
        <x:v>JKR_SECTION_READY; WKT_PENDING</x:v>
      </x:c>
      <x:c r="I30" s="17" t="str"/>
      <x:c r="J30" s="17" t="str">
        <x:v>JKR supplies route and section limits, but WKT/road-centreline clipping is not yet reconstructed in this workbook.</x:v>
      </x:c>
      <x:c r="K30" s="17" t="str">
        <x:v>Clip the authoritative road network by JKR section chainage; do not buffer arbitrarily.</x:v>
      </x:c>
      <x:c r="L30" s="17" t="n">
        <x:f>COUNTIF('35_2025_Event_Master'!$E$2:$E$48,A30)</x:f>
        <x:v>1</x:v>
      </x:c>
    </x:row>
    <x:row r="31">
      <x:c r="A31" s="17" t="str">
        <x:v>S2025-030</x:v>
      </x:c>
      <x:c r="B31" s="17" t="str">
        <x:v>J105 Jalan Maju Jaya–Seelong Sec 7.0–7.5</x:v>
      </x:c>
      <x:c r="C31" s="17" t="str">
        <x:v>ROAD/ROAD SEGMENT</x:v>
      </x:c>
      <x:c r="D31" s="24" t="b">
        <x:v>0</x:v>
      </x:c>
      <x:c r="E31" s="17"/>
      <x:c r="F31" s="17"/>
      <x:c r="G31" s="17" t="str"/>
      <x:c r="H31" s="17" t="str">
        <x:v>JKR_SECTION_READY; WKT_PENDING</x:v>
      </x:c>
      <x:c r="I31" s="17" t="str"/>
      <x:c r="J31" s="17" t="str">
        <x:v>JKR supplies route and section limits, but WKT/road-centreline clipping is not yet reconstructed in this workbook.</x:v>
      </x:c>
      <x:c r="K31" s="17" t="str">
        <x:v>Clip the authoritative road network by JKR section chainage; do not buffer arbitrarily.</x:v>
      </x:c>
      <x:c r="L31" s="17" t="n">
        <x:f>COUNTIF('35_2025_Event_Master'!$E$2:$E$48,A31)</x:f>
        <x:v>1</x:v>
      </x:c>
    </x:row>
    <x:row r="32">
      <x:c r="A32" s="17" t="str">
        <x:v>S2025-031</x:v>
      </x:c>
      <x:c r="B32" s="17" t="str">
        <x:v>J46 Jalan Ulu Pulai Sec 2.0–2.3</x:v>
      </x:c>
      <x:c r="C32" s="17" t="str">
        <x:v>ROAD/ROAD SEGMENT</x:v>
      </x:c>
      <x:c r="D32" s="24" t="b">
        <x:v>0</x:v>
      </x:c>
      <x:c r="E32" s="17"/>
      <x:c r="F32" s="17"/>
      <x:c r="G32" s="17" t="str"/>
      <x:c r="H32" s="17" t="str">
        <x:v>JKR_SECTION_READY; WKT_PENDING</x:v>
      </x:c>
      <x:c r="I32" s="17" t="str"/>
      <x:c r="J32" s="17" t="str">
        <x:v>JKR supplies route and section limits, but WKT/road-centreline clipping is not yet reconstructed in this workbook.</x:v>
      </x:c>
      <x:c r="K32" s="17" t="str">
        <x:v>Clip the authoritative road network by JKR section chainage; do not buffer arbitrarily.</x:v>
      </x:c>
      <x:c r="L32" s="17" t="n">
        <x:f>COUNTIF('35_2025_Event_Master'!$E$2:$E$48,A32)</x:f>
        <x:v>1</x:v>
      </x:c>
    </x:row>
    <x:row r="33">
      <x:c r="A33" s="17" t="str">
        <x:v>S2025-032</x:v>
      </x:c>
      <x:c r="B33" s="17" t="str">
        <x:v>Lebuhraya Pasir Gudang near Taman Rinting interchange</x:v>
      </x:c>
      <x:c r="C33" s="17" t="str">
        <x:v>ROAD/ROAD SEGMENT</x:v>
      </x:c>
      <x:c r="D33" s="24" t="b">
        <x:v>0</x:v>
      </x:c>
      <x:c r="E33" s="17"/>
      <x:c r="F33" s="17"/>
      <x:c r="G33" s="17" t="str"/>
      <x:c r="H33" s="17" t="str">
        <x:v>ROAD_SEGMENT_OPEN</x:v>
      </x:c>
      <x:c r="I33" s="17" t="str"/>
      <x:c r="J33" s="17" t="str">
        <x:v>Road is event-valid; exact flooded start/end segment is not defensibly frozen.</x:v>
      </x:c>
      <x:c r="K33" s="17" t="str">
        <x:v>Recover exact flooded segment or route-chainage geometry before road GIS closure.</x:v>
      </x:c>
      <x:c r="L33" s="17" t="n">
        <x:f>COUNTIF('35_2025_Event_Master'!$E$2:$E$48,A33)</x:f>
        <x:v>1</x:v>
      </x:c>
    </x:row>
    <x:row r="34">
      <x:c r="A34" s="17" t="str">
        <x:v>S2025-033</x:v>
      </x:c>
      <x:c r="B34" s="17" t="str">
        <x:v>Bangunan Lily, Hospital Sultanah Aminah</x:v>
      </x:c>
      <x:c r="C34" s="17" t="str">
        <x:v>CRITICAL FACILITY</x:v>
      </x:c>
      <x:c r="D34" s="24" t="b">
        <x:v>0</x:v>
      </x:c>
      <x:c r="E34" s="17"/>
      <x:c r="F34" s="17"/>
      <x:c r="G34" s="17" t="str"/>
      <x:c r="H34" s="17" t="str">
        <x:v>BUILDING_SPECIFIC; PARENT_HSA_REFERENCE_ONLY; POLYGON_OPEN</x:v>
      </x:c>
      <x:c r="I34" s="17" t="str"/>
      <x:c r="J34" s="17" t="str">
        <x:v>HSA campus polygon exists, but it must not be substituted for the flooded Lily building footprint.</x:v>
      </x:c>
      <x:c r="K34" s="17" t="str">
        <x:v>Resolve exact Building Lily footprint before polygon closure.</x:v>
      </x:c>
      <x:c r="L34" s="17" t="n">
        <x:f>COUNTIF('35_2025_Event_Master'!$E$2:$E$48,A34)</x:f>
        <x:v>1</x:v>
      </x:c>
    </x:row>
    <x:row r="35">
      <x:c r="A35" s="17" t="str">
        <x:v>S2025-034</x:v>
      </x:c>
      <x:c r="B35" s="17" t="str">
        <x:v>Jalan Kolam Ayer</x:v>
      </x:c>
      <x:c r="C35" s="17" t="str">
        <x:v>ROAD/ROAD SEGMENT</x:v>
      </x:c>
      <x:c r="D35" s="24" t="b">
        <x:v>1</x:v>
      </x:c>
      <x:c r="E35" s="17" t="n">
        <x:v>103.7220526</x:v>
      </x:c>
      <x:c r="F35" s="17" t="n">
        <x:v>1.4823854</x:v>
      </x:c>
      <x:c r="G35" s="17" t="str">
        <x:v>Frozen HF02 reference point</x:v>
      </x:c>
      <x:c r="H35" s="17" t="str">
        <x:v>POINT_REFERENCE; ROAD_SEGMENT_OPEN</x:v>
      </x:c>
      <x:c r="I35" s="17" t="str"/>
      <x:c r="J35" s="17" t="str">
        <x:v>Road is event-valid; exact flooded start/end segment is not defensibly frozen.</x:v>
      </x:c>
      <x:c r="K35" s="17" t="str">
        <x:v>Recover exact flooded segment or route-chainage geometry before road GIS closure.</x:v>
      </x:c>
      <x:c r="L35" s="17" t="n">
        <x:f>COUNTIF('35_2025_Event_Master'!$E$2:$E$48,A35)</x:f>
        <x:v>1</x:v>
      </x:c>
    </x:row>
    <x:row r="36">
      <x:c r="A36" s="17" t="str">
        <x:v>S2025-035</x:v>
      </x:c>
      <x:c r="B36" s="17" t="str">
        <x:v>Taman Nong Chik</x:v>
      </x:c>
      <x:c r="C36" s="17" t="str">
        <x:v>AREA/RESIDENTIAL</x:v>
      </x:c>
      <x:c r="D36" s="24" t="b">
        <x:v>1</x:v>
      </x:c>
      <x:c r="E36" s="17" t="n">
        <x:v>103.7395647</x:v>
      </x:c>
      <x:c r="F36" s="17" t="n">
        <x:v>1.4765564</x:v>
      </x:c>
      <x:c r="G36" s="17" t="str">
        <x:v>Frozen HF35 reference point</x:v>
      </x:c>
      <x:c r="H36" s="17" t="str">
        <x:v>POINT_READY; POLYGON_OPEN</x:v>
      </x:c>
      <x:c r="I36" s="17" t="str"/>
      <x:c r="J36" s="17" t="str">
        <x:v>Representative point is defensible; exact closed event/community geometry is not frozen.</x:v>
      </x:c>
      <x:c r="K36" s="17" t="str">
        <x:v>Seek exact named closed community/residential boundary.</x:v>
      </x:c>
      <x:c r="L36" s="17" t="n">
        <x:f>COUNTIF('35_2025_Event_Master'!$E$2:$E$48,A36)</x:f>
        <x:v>1</x:v>
      </x:c>
    </x:row>
    <x:row r="37">
      <x:c r="A37" s="17" t="str">
        <x:v>S2025-036</x:v>
      </x:c>
      <x:c r="B37" s="17" t="str">
        <x:v>Jalan Sungai Chat</x:v>
      </x:c>
      <x:c r="C37" s="17" t="str">
        <x:v>ROAD/ROAD SEGMENT</x:v>
      </x:c>
      <x:c r="D37" s="24" t="b">
        <x:v>1</x:v>
      </x:c>
      <x:c r="E37" s="17" t="n">
        <x:v>103.7385575</x:v>
      </x:c>
      <x:c r="F37" s="17" t="n">
        <x:v>1.4609922</x:v>
      </x:c>
      <x:c r="G37" s="17" t="str">
        <x:v>Frozen HF04 reference point</x:v>
      </x:c>
      <x:c r="H37" s="17" t="str">
        <x:v>POINT_REFERENCE; ROAD_SEGMENT_OPEN</x:v>
      </x:c>
      <x:c r="I37" s="17" t="str"/>
      <x:c r="J37" s="17" t="str">
        <x:v>Road is event-valid; exact flooded start/end segment is not defensibly frozen.</x:v>
      </x:c>
      <x:c r="K37" s="17" t="str">
        <x:v>Recover exact flooded segment or route-chainage geometry before road GIS closure.</x:v>
      </x:c>
      <x:c r="L37" s="17" t="n">
        <x:f>COUNTIF('35_2025_Event_Master'!$E$2:$E$48,A37)</x:f>
        <x:v>1</x:v>
      </x:c>
    </x:row>
    <x:row r="38">
      <x:c r="A38" s="17" t="str">
        <x:v>S2025-037</x:v>
      </x:c>
      <x:c r="B38" s="17" t="str">
        <x:v>Tasik Merdeka</x:v>
      </x:c>
      <x:c r="C38" s="17" t="str">
        <x:v>AREA/RESIDENTIAL</x:v>
      </x:c>
      <x:c r="D38" s="24" t="b">
        <x:v>0</x:v>
      </x:c>
      <x:c r="E38" s="17"/>
      <x:c r="F38" s="17"/>
      <x:c r="G38" s="17" t="str"/>
      <x:c r="H38" s="17" t="str">
        <x:v>POINT_OPEN; POLYGON_OPEN</x:v>
      </x:c>
      <x:c r="I38" s="17" t="str"/>
      <x:c r="J38" s="17" t="str">
        <x:v>Event identity is valid but no strict traceable point/boundary is frozen.</x:v>
      </x:c>
      <x:c r="K38" s="17" t="str">
        <x:v>Resolve official geospatial point/boundary; do not fabricate geometry.</x:v>
      </x:c>
      <x:c r="L38" s="17" t="n">
        <x:f>COUNTIF('35_2025_Event_Master'!$E$2:$E$48,A38)</x:f>
        <x:v>1</x:v>
      </x:c>
    </x:row>
    <x:row r="39">
      <x:c r="A39" s="17" t="str">
        <x:v>S2025-038</x:v>
      </x:c>
      <x:c r="B39" s="17" t="str">
        <x:v>Kampung Mohd Amin / Jalan Md Amin context</x:v>
      </x:c>
      <x:c r="C39" s="17" t="str">
        <x:v>COMMUNITY/AREA</x:v>
      </x:c>
      <x:c r="D39" s="24" t="b">
        <x:v>1</x:v>
      </x:c>
      <x:c r="E39" s="17" t="n">
        <x:v>103.7354126</x:v>
      </x:c>
      <x:c r="F39" s="17" t="n">
        <x:v>1.4673637</x:v>
      </x:c>
      <x:c r="G39" s="17" t="str">
        <x:v>Frozen canonical Kampung Mohd Amin reference</x:v>
      </x:c>
      <x:c r="H39" s="17" t="str">
        <x:v>POINT_READY; POLYGON_OPEN</x:v>
      </x:c>
      <x:c r="I39" s="17" t="str"/>
      <x:c r="J39" s="17" t="str">
        <x:v>Representative point is defensible; exact closed event/community geometry is not frozen.</x:v>
      </x:c>
      <x:c r="K39" s="17" t="str">
        <x:v>Seek exact named closed community/residential boundary.</x:v>
      </x:c>
      <x:c r="L39" s="17" t="n">
        <x:f>COUNTIF('35_2025_Event_Master'!$E$2:$E$48,A39)</x:f>
        <x:v>2</x:v>
      </x:c>
    </x:row>
    <x:row r="40">
      <x:c r="A40" s="17" t="str">
        <x:v>S2025-039</x:v>
      </x:c>
      <x:c r="B40" s="17" t="str">
        <x:v>Jalan Wong Ah Fook</x:v>
      </x:c>
      <x:c r="C40" s="17" t="str">
        <x:v>ROAD/ROAD SEGMENT</x:v>
      </x:c>
      <x:c r="D40" s="24" t="b">
        <x:v>1</x:v>
      </x:c>
      <x:c r="E40" s="17" t="n">
        <x:v>103.7656178</x:v>
      </x:c>
      <x:c r="F40" s="17" t="n">
        <x:v>1.4576093</x:v>
      </x:c>
      <x:c r="G40" s="17" t="str">
        <x:v>Frozen HF32 reference point</x:v>
      </x:c>
      <x:c r="H40" s="17" t="str">
        <x:v>POINT_REFERENCE; ROAD_SEGMENT_OPEN</x:v>
      </x:c>
      <x:c r="I40" s="17" t="str"/>
      <x:c r="J40" s="17" t="str">
        <x:v>Road is event-valid; exact flooded start/end segment is not defensibly frozen.</x:v>
      </x:c>
      <x:c r="K40" s="17" t="str">
        <x:v>Recover exact flooded segment or route-chainage geometry before road GIS closure.</x:v>
      </x:c>
      <x:c r="L40" s="17" t="n">
        <x:f>COUNTIF('35_2025_Event_Master'!$E$2:$E$48,A40)</x:f>
        <x:v>1</x:v>
      </x:c>
    </x:row>
    <x:row r="41">
      <x:c r="A41" s="17" t="str">
        <x:v>S2025-040</x:v>
      </x:c>
      <x:c r="B41" s="17" t="str">
        <x:v>Jalan Tun Abdul Razak</x:v>
      </x:c>
      <x:c r="C41" s="17" t="str">
        <x:v>ROAD/ROAD SEGMENT</x:v>
      </x:c>
      <x:c r="D41" s="24" t="b">
        <x:v>1</x:v>
      </x:c>
      <x:c r="E41" s="17" t="n">
        <x:v>103.7527329</x:v>
      </x:c>
      <x:c r="F41" s="17" t="n">
        <x:v>1.4803791</x:v>
      </x:c>
      <x:c r="G41" s="17" t="str">
        <x:v>Frozen HF06 reference point</x:v>
      </x:c>
      <x:c r="H41" s="17" t="str">
        <x:v>POINT_REFERENCE; ROAD_SEGMENT_OPEN</x:v>
      </x:c>
      <x:c r="I41" s="17" t="str"/>
      <x:c r="J41" s="17" t="str">
        <x:v>Road is event-valid; exact flooded start/end segment is not defensibly frozen.</x:v>
      </x:c>
      <x:c r="K41" s="17" t="str">
        <x:v>Recover exact flooded segment or route-chainage geometry before road GIS closure.</x:v>
      </x:c>
      <x:c r="L41" s="17" t="n">
        <x:f>COUNTIF('35_2025_Event_Master'!$E$2:$E$48,A41)</x:f>
        <x:v>1</x:v>
      </x:c>
    </x:row>
    <x:row r="42">
      <x:c r="A42" s="17" t="str">
        <x:v>S2025-041</x:v>
      </x:c>
      <x:c r="B42" s="17" t="str">
        <x:v>Taman Pelangi</x:v>
      </x:c>
      <x:c r="C42" s="17" t="str">
        <x:v>AREA/RESIDENTIAL</x:v>
      </x:c>
      <x:c r="D42" s="24" t="b">
        <x:v>0</x:v>
      </x:c>
      <x:c r="E42" s="17"/>
      <x:c r="F42" s="17"/>
      <x:c r="G42" s="17" t="str"/>
      <x:c r="H42" s="17" t="str">
        <x:v>POINT_OPEN; POLYGON_OPEN</x:v>
      </x:c>
      <x:c r="I42" s="17" t="str"/>
      <x:c r="J42" s="17" t="str">
        <x:v>Established news explicitly names Taman Pelangi; exact inundated subarea/boundary not frozen.</x:v>
      </x:c>
      <x:c r="K42" s="17" t="str">
        <x:v>Resolve neighbourhood boundary/affected road geometry.</x:v>
      </x:c>
      <x:c r="L42" s="17" t="n">
        <x:f>COUNTIF('35_2025_Event_Master'!$E$2:$E$48,A42)</x:f>
        <x:v>1</x:v>
      </x:c>
    </x:row>
  </x:sheetData>
  <x:pageMargins left="0.7" right="0.7" top="0.75" bottom="0.75" header="0.3" footer="0.3"/>
</x:worksheet>
</file>

<file path=xl/worksheets/sheet40.xml><?xml version="1.0" encoding="utf-8"?>
<x:worksheet xmlns:x="http://schemas.openxmlformats.org/spreadsheetml/2006/main">
  <x:sheetFormatPr defaultRowHeight="15"/>
  <x:cols>
    <x:col min="1" max="1" width="40" hidden="0" customWidth="1"/>
    <x:col min="2" max="2" width="27" hidden="0" customWidth="1"/>
    <x:col min="3" max="3" width="58" hidden="0" customWidth="1"/>
    <x:col min="4" max="4" width="42" hidden="0" customWidth="1"/>
    <x:col min="5" max="5" width="34" hidden="0" customWidth="1"/>
    <x:col min="6" max="6" width="88" hidden="0" customWidth="1"/>
  </x:cols>
  <x:sheetData>
    <x:row r="1">
      <x:c r="A1" s="54" t="str">
        <x:v>Candidate_ID</x:v>
      </x:c>
      <x:c r="B1" s="54" t="str">
        <x:v>Time_Context</x:v>
      </x:c>
      <x:c r="C1" s="54" t="str">
        <x:v>Location_Label</x:v>
      </x:c>
      <x:c r="D1" s="54" t="str">
        <x:v>Resolution_Status</x:v>
      </x:c>
      <x:c r="E1" s="54" t="str">
        <x:v>Primary_Source_ID</x:v>
      </x:c>
      <x:c r="F1" s="54" t="str">
        <x:v>Decision_Note</x:v>
      </x:c>
    </x:row>
    <x:row r="2">
      <x:c r="A2" s="17" t="str">
        <x:v>CAND-2025-MAR-MBJB-UNNAMED</x:v>
      </x:c>
      <x:c r="B2" s="17" t="str">
        <x:v>2025-03-19 to 2025-03-24</x:v>
      </x:c>
      <x:c r="C2" s="17" t="str">
        <x:v>18 unnamed remainder of MBJB's 27 affected areas</x:v>
      </x:c>
      <x:c r="D2" s="17" t="str">
        <x:v>NAMES_NOT_PUBLICLY_EXPOSED</x:v>
      </x:c>
      <x:c r="E2" s="17" t="str">
        <x:v>SRC_R2025_MAYOR_20250328</x:v>
      </x:c>
      <x:c r="F2" s="17" t="str">
        <x:v>Mayor states 27 affected MBJB areas, but the public article names only a subset. Do not invent the remaining names.</x:v>
      </x:c>
    </x:row>
    <x:row r="3">
      <x:c r="A3" s="17" t="str">
        <x:v>CAND-2025-MAR-BUKIT-MUTIARA-PPS</x:v>
      </x:c>
      <x:c r="B3" s="17" t="str">
        <x:v>2025-03-19</x:v>
      </x:c>
      <x:c r="C3" s="17" t="str">
        <x:v>SK Bukit Mutiara</x:v>
      </x:c>
      <x:c r="D3" s="17" t="str">
        <x:v>PPS_SITE_NOT_AUTOMATIC_ORIGIN</x:v>
      </x:c>
      <x:c r="E3" s="17" t="str">
        <x:v>SRC_R2025_NADMA_20250320</x:v>
      </x:c>
      <x:c r="F3" s="17" t="str">
        <x:v>PPS housed victims from Kangkar Tebrau/Paya Kenangan/Pasir Tebrau; do not count Bukit Mutiara as an inundated origin without direct evidence.</x:v>
      </x:c>
    </x:row>
    <x:row r="4">
      <x:c r="A4" s="17" t="str">
        <x:v>CAND-2025-MAR-KUO-KUANG-PPS</x:v>
      </x:c>
      <x:c r="B4" s="17" t="str">
        <x:v>2025-03-19</x:v>
      </x:c>
      <x:c r="C4" s="17" t="str">
        <x:v>SJKC Kuo Kuang</x:v>
      </x:c>
      <x:c r="D4" s="17" t="str">
        <x:v>PPS_SITE_NOT_AUTOMATIC_ORIGIN</x:v>
      </x:c>
      <x:c r="E4" s="17" t="str">
        <x:v>SRC_R2025_NADMA_20250320</x:v>
      </x:c>
      <x:c r="F4" s="17" t="str">
        <x:v>PPS status alone is not proof that the school/community itself was inundated.</x:v>
      </x:c>
    </x:row>
    <x:row r="5">
      <x:c r="A5" s="17" t="str">
        <x:v>CAND-2025-MAR-PERIGI-ACHEH</x:v>
      </x:c>
      <x:c r="B5" s="17" t="str">
        <x:v>2025-03-20</x:v>
      </x:c>
      <x:c r="C5" s="17" t="str">
        <x:v>SK Perigi Acheh</x:v>
      </x:c>
      <x:c r="D5" s="17" t="str">
        <x:v>SECONDARY_ACCESS_IMPACT</x:v>
      </x:c>
      <x:c r="E5" s="17" t="str">
        <x:v>SRC_R2025_BERNAMA_SCHOOLS_20250320</x:v>
      </x:c>
      <x:c r="F5" s="17" t="str">
        <x:v>School reported cut off, not explicitly inundated; retained as access-impact candidate, not direct flood-location row.</x:v>
      </x:c>
    </x:row>
    <x:row r="6">
      <x:c r="A6" s="17" t="str">
        <x:v>CAND-2025-MAR-PPR-UNNAMED</x:v>
      </x:c>
      <x:c r="B6" s="17" t="str">
        <x:v>2025-03-19 to 2025-03-24</x:v>
      </x:c>
      <x:c r="C6" s="17" t="str">
        <x:v>Unspecified PPR locations under MBJB</x:v>
      </x:c>
      <x:c r="D6" s="17" t="str">
        <x:v>LOCATION_NAMES_UNRESOLVED</x:v>
      </x:c>
      <x:c r="E6" s="17" t="str">
        <x:v>SRC_R2025_MAYOR_20250328</x:v>
      </x:c>
      <x:c r="F6" s="17" t="str">
        <x:v>Mayor says affected locations included PPR schemes but public article does not name each scheme.</x:v>
      </x:c>
    </x:row>
    <x:row r="7">
      <x:c r="A7" s="17" t="str">
        <x:v>CAND-2025-JAN-KAMPUNG-LAUT-RIVER</x:v>
      </x:c>
      <x:c r="B7" s="17" t="str">
        <x:v>2025-01-13</x:v>
      </x:c>
      <x:c r="C7" s="17" t="str">
        <x:v>Kampung Laut / Sungai Skudai monitoring point</x:v>
      </x:c>
      <x:c r="D7" s="17" t="str">
        <x:v>RIVER_LEVEL_NOT_DIRECT_EVENT</x:v>
      </x:c>
      <x:c r="E7" s="17" t="str">
        <x:v>SRC_R2025_NADMA_20250113</x:v>
      </x:c>
      <x:c r="F7" s="17" t="str">
        <x:v>Alert-level river reading does not by itself prove a new event-location at Kampung Laut in the January episode.</x:v>
      </x:c>
    </x:row>
    <x:row r="8">
      <x:c r="A8" s="17" t="str">
        <x:v>CAND-2025-HOTSPOT-51</x:v>
      </x:c>
      <x:c r="B8" s="17" t="str">
        <x:v>2025 risk context</x:v>
      </x:c>
      <x:c r="C8" s="17" t="str">
        <x:v>51 Johor Bahru flood-risk locations</x:v>
      </x:c>
      <x:c r="D8" s="17" t="str">
        <x:v>RISK_LIST_NOT_EVENT_LIST</x:v>
      </x:c>
      <x:c r="E8" s="17" t="str">
        <x:v>SRC_R2025_RMP_HOTSPOTS_20251204</x:v>
      </x:c>
      <x:c r="F8" s="17" t="str">
        <x:v>Preparedness/hotspot list is contextual evidence only; no dated Event_IDs created.</x:v>
      </x:c>
    </x:row>
    <x:row r="9">
      <x:c r="A9" s="17" t="str">
        <x:v>CAND-2025-DEC13-OTHER-JB</x:v>
      </x:c>
      <x:c r="B9" s="17" t="str">
        <x:v>2025-12-13</x:v>
      </x:c>
      <x:c r="C9" s="17" t="str">
        <x:v>Other Johor Bahru locations possibly affected on second consecutive day</x:v>
      </x:c>
      <x:c r="D9" s="17" t="str">
        <x:v>LOCATION_UNRESOLVED</x:v>
      </x:c>
      <x:c r="E9" s="17" t="str">
        <x:v>SRC_R2025_BERNAMA_IMAGE_20251213</x:v>
      </x:c>
      <x:c r="F9" s="17" t="str">
        <x:v>Bernama confirms two consecutive flood days at Kampung Mohd Amin, but does not provide a defensible full second-day city location list.</x:v>
      </x:c>
    </x:row>
  </x:sheetData>
  <x:pageMargins left="0.7" right="0.7" top="0.75" bottom="0.75" header="0.3" footer="0.3"/>
</x:worksheet>
</file>

<file path=xl/worksheets/sheet41.xml><?xml version="1.0" encoding="utf-8"?>
<x:worksheet xmlns:x="http://schemas.openxmlformats.org/spreadsheetml/2006/main">
  <x:sheetFormatPr defaultRowHeight="15"/>
  <x:cols>
    <x:col min="1" max="1" width="16" hidden="0" customWidth="1"/>
    <x:col min="2" max="2" width="58" hidden="0" customWidth="1"/>
    <x:col min="3" max="3" width="24" hidden="0" customWidth="1"/>
    <x:col min="4" max="4" width="45" hidden="0" customWidth="1"/>
    <x:col min="5" max="5" width="74" hidden="0" customWidth="1"/>
    <x:col min="6" max="6" width="74" hidden="0" customWidth="1"/>
    <x:col min="7" max="7" width="48" hidden="0" customWidth="1"/>
  </x:cols>
  <x:sheetData>
    <x:row r="1">
      <x:c r="A1" s="54" t="str">
        <x:v>Spatial_Object_Key</x:v>
      </x:c>
      <x:c r="B1" s="54" t="str">
        <x:v>Canonical_Name</x:v>
      </x:c>
      <x:c r="C1" s="54" t="str">
        <x:v>Object_Type</x:v>
      </x:c>
      <x:c r="D1" s="54" t="str">
        <x:v>Current_Status</x:v>
      </x:c>
      <x:c r="E1" s="54" t="str">
        <x:v>Key_Conflict_or_Gap</x:v>
      </x:c>
      <x:c r="F1" s="54" t="str">
        <x:v>Next_Spatial_Action</x:v>
      </x:c>
      <x:c r="G1" s="54" t="str">
        <x:v>Decision</x:v>
      </x:c>
    </x:row>
    <x:row r="2">
      <x:c r="A2" s="17" t="str">
        <x:v>S2025-002</x:v>
      </x:c>
      <x:c r="B2" s="17" t="str">
        <x:v>Kampung Paya Kenangan</x:v>
      </x:c>
      <x:c r="C2" s="17" t="str">
        <x:v>COMMUNITY/AREA</x:v>
      </x:c>
      <x:c r="D2" s="17" t="str">
        <x:v>POINT_READY; POLYGON_OPEN</x:v>
      </x:c>
      <x:c r="E2" s="17" t="str">
        <x:v>Representative point is defensible; exact closed event/community geometry is not frozen.</x:v>
      </x:c>
      <x:c r="F2" s="17" t="str">
        <x:v>Seek exact named closed community/residential boundary.</x:v>
      </x:c>
      <x:c r="G2" s="17" t="str">
        <x:v>OPEN - retain evidence; no fabricated closure</x:v>
      </x:c>
    </x:row>
    <x:row r="3">
      <x:c r="A3" s="17" t="str">
        <x:v>S2025-003</x:v>
      </x:c>
      <x:c r="B3" s="17" t="str">
        <x:v>SK Kangkar Tebrau</x:v>
      </x:c>
      <x:c r="C3" s="17" t="str">
        <x:v>CRITICAL FACILITY</x:v>
      </x:c>
      <x:c r="D3" s="17" t="str">
        <x:v>FACILITY_POINT/POLYGON_OPEN</x:v>
      </x:c>
      <x:c r="E3" s="17" t="str">
        <x:v>Facility impact is verified; exact building/flood polygon is not frozen.</x:v>
      </x:c>
      <x:c r="F3" s="17" t="str">
        <x:v>Resolve exact facility/building footprint only from defensible geometry.</x:v>
      </x:c>
      <x:c r="G3" s="17" t="str">
        <x:v>OPEN - retain evidence; no fabricated closure</x:v>
      </x:c>
    </x:row>
    <x:row r="4">
      <x:c r="A4" s="17" t="str">
        <x:v>S2025-004</x:v>
      </x:c>
      <x:c r="B4" s="17" t="str">
        <x:v>Masjid Kampung Kangkar Tebrau</x:v>
      </x:c>
      <x:c r="C4" s="17" t="str">
        <x:v>CRITICAL FACILITY</x:v>
      </x:c>
      <x:c r="D4" s="17" t="str">
        <x:v>FACILITY_POINT/POLYGON_OPEN</x:v>
      </x:c>
      <x:c r="E4" s="17" t="str">
        <x:v>Facility impact is verified; exact building/flood polygon is not frozen.</x:v>
      </x:c>
      <x:c r="F4" s="17" t="str">
        <x:v>Resolve exact facility/building footprint only from defensible geometry.</x:v>
      </x:c>
      <x:c r="G4" s="17" t="str">
        <x:v>OPEN - retain evidence; no fabricated closure</x:v>
      </x:c>
    </x:row>
    <x:row r="5">
      <x:c r="A5" s="17" t="str">
        <x:v>S2025-005</x:v>
      </x:c>
      <x:c r="B5" s="17" t="str">
        <x:v>Kampung Pasir</x:v>
      </x:c>
      <x:c r="C5" s="17" t="str">
        <x:v>COMMUNITY/AREA</x:v>
      </x:c>
      <x:c r="D5" s="17" t="str">
        <x:v>POINT_READY; POLYGON_OPEN</x:v>
      </x:c>
      <x:c r="E5" s="17" t="str">
        <x:v>Representative point is defensible; exact closed event/community geometry is not frozen.</x:v>
      </x:c>
      <x:c r="F5" s="17" t="str">
        <x:v>Seek exact named closed community/residential boundary.</x:v>
      </x:c>
      <x:c r="G5" s="17" t="str">
        <x:v>OPEN - retain evidence; no fabricated closure</x:v>
      </x:c>
    </x:row>
    <x:row r="6">
      <x:c r="A6" s="17" t="str">
        <x:v>S2025-006</x:v>
      </x:c>
      <x:c r="B6" s="17" t="str">
        <x:v>Kampung Ulu Pandan</x:v>
      </x:c>
      <x:c r="C6" s="17" t="str">
        <x:v>COMMUNITY/AREA</x:v>
      </x:c>
      <x:c r="D6" s="17" t="str">
        <x:v>POINT_READY; POLYGON_OPEN</x:v>
      </x:c>
      <x:c r="E6" s="17" t="str">
        <x:v>Representative point is defensible; exact closed event/community geometry is not frozen.</x:v>
      </x:c>
      <x:c r="F6" s="17" t="str">
        <x:v>Seek exact named closed community/residential boundary.</x:v>
      </x:c>
      <x:c r="G6" s="17" t="str">
        <x:v>OPEN - retain evidence; no fabricated closure</x:v>
      </x:c>
    </x:row>
    <x:row r="7">
      <x:c r="A7" s="17" t="str">
        <x:v>S2025-007</x:v>
      </x:c>
      <x:c r="B7" s="17" t="str">
        <x:v>Kampung Bunga Ros</x:v>
      </x:c>
      <x:c r="C7" s="17" t="str">
        <x:v>COMMUNITY/AREA</x:v>
      </x:c>
      <x:c r="D7" s="17" t="str">
        <x:v>POINT_READY; POLYGON_OPEN</x:v>
      </x:c>
      <x:c r="E7" s="17" t="str">
        <x:v>Representative point is defensible; exact closed event/community geometry is not frozen.</x:v>
      </x:c>
      <x:c r="F7" s="17" t="str">
        <x:v>Seek exact named closed community/residential boundary.</x:v>
      </x:c>
      <x:c r="G7" s="17" t="str">
        <x:v>OPEN - retain evidence; no fabricated closure</x:v>
      </x:c>
    </x:row>
    <x:row r="8">
      <x:c r="A8" s="17" t="str">
        <x:v>S2025-008</x:v>
      </x:c>
      <x:c r="B8" s="17" t="str">
        <x:v>Kampung Pasir Tebrau</x:v>
      </x:c>
      <x:c r="C8" s="17" t="str">
        <x:v>COMMUNITY/AREA</x:v>
      </x:c>
      <x:c r="D8" s="17" t="str">
        <x:v>POINT_READY; POLYGON_OPEN</x:v>
      </x:c>
      <x:c r="E8" s="17" t="str">
        <x:v>Representative point is defensible; exact closed event/community geometry is not frozen.</x:v>
      </x:c>
      <x:c r="F8" s="17" t="str">
        <x:v>Seek exact named closed community/residential boundary.</x:v>
      </x:c>
      <x:c r="G8" s="17" t="str">
        <x:v>OPEN - retain evidence; no fabricated closure</x:v>
      </x:c>
    </x:row>
    <x:row r="9">
      <x:c r="A9" s="17" t="str">
        <x:v>S2025-009</x:v>
      </x:c>
      <x:c r="B9" s="17" t="str">
        <x:v>Kampung Laut Skudai</x:v>
      </x:c>
      <x:c r="C9" s="17" t="str">
        <x:v>COMMUNITY/AREA</x:v>
      </x:c>
      <x:c r="D9" s="17" t="str">
        <x:v>POINT_READY; POLYGON_OPEN</x:v>
      </x:c>
      <x:c r="E9" s="17" t="str">
        <x:v>Representative point is defensible; exact closed event/community geometry is not frozen.</x:v>
      </x:c>
      <x:c r="F9" s="17" t="str">
        <x:v>Seek exact named closed community/residential boundary.</x:v>
      </x:c>
      <x:c r="G9" s="17" t="str">
        <x:v>OPEN - retain evidence; no fabricated closure</x:v>
      </x:c>
    </x:row>
    <x:row r="10">
      <x:c r="A10" s="17" t="str">
        <x:v>S2025-010</x:v>
      </x:c>
      <x:c r="B10" s="17" t="str">
        <x:v>Pandan</x:v>
      </x:c>
      <x:c r="C10" s="17" t="str">
        <x:v>AREA/RESIDENTIAL</x:v>
      </x:c>
      <x:c r="D10" s="17" t="str">
        <x:v>POINT_READY; POLYGON_OPEN</x:v>
      </x:c>
      <x:c r="E10" s="17" t="str">
        <x:v>Representative point is defensible; exact closed event/community geometry is not frozen.</x:v>
      </x:c>
      <x:c r="F10" s="17" t="str">
        <x:v>Seek exact named closed community/residential boundary.</x:v>
      </x:c>
      <x:c r="G10" s="17" t="str">
        <x:v>OPEN - retain evidence; no fabricated closure</x:v>
      </x:c>
    </x:row>
    <x:row r="11">
      <x:c r="A11" s="17" t="str">
        <x:v>S2025-011</x:v>
      </x:c>
      <x:c r="B11" s="17" t="str">
        <x:v>Taman Desa Mutiara</x:v>
      </x:c>
      <x:c r="C11" s="17" t="str">
        <x:v>AREA/RESIDENTIAL</x:v>
      </x:c>
      <x:c r="D11" s="17" t="str">
        <x:v>POINT_READY; POLYGON_OPEN</x:v>
      </x:c>
      <x:c r="E11" s="17" t="str">
        <x:v>Representative point is defensible; exact closed event/community geometry is not frozen.</x:v>
      </x:c>
      <x:c r="F11" s="17" t="str">
        <x:v>Seek exact named closed community/residential boundary.</x:v>
      </x:c>
      <x:c r="G11" s="17" t="str">
        <x:v>OPEN - retain evidence; no fabricated closure</x:v>
      </x:c>
    </x:row>
    <x:row r="12">
      <x:c r="A12" s="17" t="str">
        <x:v>S2025-012</x:v>
      </x:c>
      <x:c r="B12" s="17" t="str">
        <x:v>Taman Tampoi Utama</x:v>
      </x:c>
      <x:c r="C12" s="17" t="str">
        <x:v>AREA/RESIDENTIAL</x:v>
      </x:c>
      <x:c r="D12" s="17" t="str">
        <x:v>POINT_READY; POLYGON_OPEN</x:v>
      </x:c>
      <x:c r="E12" s="17" t="str">
        <x:v>Representative point is defensible; exact closed event/community geometry is not frozen.</x:v>
      </x:c>
      <x:c r="F12" s="17" t="str">
        <x:v>Seek exact named closed community/residential boundary.</x:v>
      </x:c>
      <x:c r="G12" s="17" t="str">
        <x:v>OPEN - retain evidence; no fabricated closure</x:v>
      </x:c>
    </x:row>
    <x:row r="13">
      <x:c r="A13" s="17" t="str">
        <x:v>S2025-013</x:v>
      </x:c>
      <x:c r="B13" s="17" t="str">
        <x:v>Kampung Seri Serdang</x:v>
      </x:c>
      <x:c r="C13" s="17" t="str">
        <x:v>COMMUNITY/AREA</x:v>
      </x:c>
      <x:c r="D13" s="17" t="str">
        <x:v>POINT_READY; POLYGON_OPEN</x:v>
      </x:c>
      <x:c r="E13" s="17" t="str">
        <x:v>Representative point is defensible; exact closed event/community geometry is not frozen.</x:v>
      </x:c>
      <x:c r="F13" s="17" t="str">
        <x:v>Seek exact named closed community/residential boundary.</x:v>
      </x:c>
      <x:c r="G13" s="17" t="str">
        <x:v>OPEN - retain evidence; no fabricated closure</x:v>
      </x:c>
    </x:row>
    <x:row r="14">
      <x:c r="A14" s="17" t="str">
        <x:v>S2025-014</x:v>
      </x:c>
      <x:c r="B14" s="17" t="str">
        <x:v>Kampung Melayu Pandan</x:v>
      </x:c>
      <x:c r="C14" s="17" t="str">
        <x:v>COMMUNITY/AREA</x:v>
      </x:c>
      <x:c r="D14" s="17" t="str">
        <x:v>POINT_READY; POLYGON_OPEN</x:v>
      </x:c>
      <x:c r="E14" s="17" t="str">
        <x:v>Representative point is defensible; exact closed event/community geometry is not frozen.</x:v>
      </x:c>
      <x:c r="F14" s="17" t="str">
        <x:v>Seek exact named closed community/residential boundary.</x:v>
      </x:c>
      <x:c r="G14" s="17" t="str">
        <x:v>OPEN - retain evidence; no fabricated closure</x:v>
      </x:c>
    </x:row>
    <x:row r="15">
      <x:c r="A15" s="17" t="str">
        <x:v>S2025-015</x:v>
      </x:c>
      <x:c r="B15" s="17" t="str">
        <x:v>Kampung Belantik</x:v>
      </x:c>
      <x:c r="C15" s="17" t="str">
        <x:v>COMMUNITY/AREA</x:v>
      </x:c>
      <x:c r="D15" s="17" t="str">
        <x:v>IDENTITY_VALID; POINT_OPEN; POLYGON_OPEN</x:v>
      </x:c>
      <x:c r="E15" s="17" t="str">
        <x:v>Mayor explicitly names Kampung Belantik, but earlier combined Belantik/Bendahara evidence must not be silently converted to Bendahara coordinates.</x:v>
      </x:c>
      <x:c r="F15" s="17" t="str">
        <x:v>Resolve Kampung Belantik identity independently.</x:v>
      </x:c>
      <x:c r="G15" s="17" t="str">
        <x:v>OPEN - retain evidence; no fabricated closure</x:v>
      </x:c>
    </x:row>
    <x:row r="16">
      <x:c r="A16" s="17" t="str">
        <x:v>S2025-016</x:v>
      </x:c>
      <x:c r="B16" s="17" t="str">
        <x:v>Taman Tampoi Indah</x:v>
      </x:c>
      <x:c r="C16" s="17" t="str">
        <x:v>AREA/RESIDENTIAL</x:v>
      </x:c>
      <x:c r="D16" s="17" t="str">
        <x:v>POINT_READY; POLYGON_OPEN</x:v>
      </x:c>
      <x:c r="E16" s="17" t="str">
        <x:v>Representative point is defensible; exact closed event/community geometry is not frozen.</x:v>
      </x:c>
      <x:c r="F16" s="17" t="str">
        <x:v>Seek exact named closed community/residential boundary.</x:v>
      </x:c>
      <x:c r="G16" s="17" t="str">
        <x:v>OPEN - retain evidence; no fabricated closure</x:v>
      </x:c>
    </x:row>
    <x:row r="17">
      <x:c r="A17" s="17" t="str">
        <x:v>S2025-017</x:v>
      </x:c>
      <x:c r="B17" s="17" t="str">
        <x:v>Perling</x:v>
      </x:c>
      <x:c r="C17" s="17" t="str">
        <x:v>AREA/RESIDENTIAL</x:v>
      </x:c>
      <x:c r="D17" s="17" t="str">
        <x:v>LOWER_TIER_EVENT_EVIDENCE; POINT_OPEN; POLYGON_OPEN</x:v>
      </x:c>
      <x:c r="E17" s="17" t="str">
        <x:v>Field observation confirms severe flooding/electricity isolation, but source tier is lower than official MBJB list.</x:v>
      </x:c>
      <x:c r="F17" s="17" t="str">
        <x:v>Retain event; seek official incident/geospatial confirmation.</x:v>
      </x:c>
      <x:c r="G17" s="17" t="str">
        <x:v>OPEN - retain evidence; no fabricated closure</x:v>
      </x:c>
    </x:row>
    <x:row r="18">
      <x:c r="A18" s="17" t="str">
        <x:v>S2025-018</x:v>
      </x:c>
      <x:c r="B18" s="17" t="str">
        <x:v>Jalan Sukun, Kampung Pasir</x:v>
      </x:c>
      <x:c r="C18" s="17" t="str">
        <x:v>ROAD/ROAD SEGMENT</x:v>
      </x:c>
      <x:c r="D18" s="17" t="str">
        <x:v>ROAD_SEGMENT_OPEN</x:v>
      </x:c>
      <x:c r="E18" s="17" t="str">
        <x:v>Road is event-valid; exact flooded start/end segment is not defensibly frozen.</x:v>
      </x:c>
      <x:c r="F18" s="17" t="str">
        <x:v>Recover exact flooded segment or route-chainage geometry before road GIS closure.</x:v>
      </x:c>
      <x:c r="G18" s="17" t="str">
        <x:v>OPEN - retain evidence; no fabricated closure</x:v>
      </x:c>
    </x:row>
    <x:row r="19">
      <x:c r="A19" s="17" t="str">
        <x:v>S2025-019</x:v>
      </x:c>
      <x:c r="B19" s="17" t="str">
        <x:v>SK Kampung Maju Jaya</x:v>
      </x:c>
      <x:c r="C19" s="17" t="str">
        <x:v>CRITICAL FACILITY</x:v>
      </x:c>
      <x:c r="D19" s="17" t="str">
        <x:v>POINT_READY; FACILITY_POLYGON_OPEN</x:v>
      </x:c>
      <x:c r="E19" s="17" t="str">
        <x:v>Facility impact is verified; exact building/flood polygon is not frozen.</x:v>
      </x:c>
      <x:c r="F19" s="17" t="str">
        <x:v>Resolve exact facility/building footprint only from defensible geometry.</x:v>
      </x:c>
      <x:c r="G19" s="17" t="str">
        <x:v>OPEN - retain evidence; no fabricated closure</x:v>
      </x:c>
    </x:row>
    <x:row r="20">
      <x:c r="A20" s="17" t="str">
        <x:v>S2025-020</x:v>
      </x:c>
      <x:c r="B20" s="17" t="str">
        <x:v>SK Taman Tampoi Utama</x:v>
      </x:c>
      <x:c r="C20" s="17" t="str">
        <x:v>CRITICAL FACILITY</x:v>
      </x:c>
      <x:c r="D20" s="17" t="str">
        <x:v>FACILITY_POINT/POLYGON_OPEN</x:v>
      </x:c>
      <x:c r="E20" s="17" t="str">
        <x:v>Facility impact is verified; exact building/flood polygon is not frozen.</x:v>
      </x:c>
      <x:c r="F20" s="17" t="str">
        <x:v>Resolve exact facility/building footprint only from defensible geometry.</x:v>
      </x:c>
      <x:c r="G20" s="17" t="str">
        <x:v>OPEN - retain evidence; no fabricated closure</x:v>
      </x:c>
    </x:row>
    <x:row r="21">
      <x:c r="A21" s="17" t="str">
        <x:v>S2025-021</x:v>
      </x:c>
      <x:c r="B21" s="17" t="str">
        <x:v>KD Kangkar Tebrau</x:v>
      </x:c>
      <x:c r="C21" s="17" t="str">
        <x:v>CRITICAL FACILITY</x:v>
      </x:c>
      <x:c r="D21" s="17" t="str">
        <x:v>FACILITY_POINT/POLYGON_OPEN</x:v>
      </x:c>
      <x:c r="E21" s="17" t="str">
        <x:v>Facility impact is verified; exact building/flood polygon is not frozen.</x:v>
      </x:c>
      <x:c r="F21" s="17" t="str">
        <x:v>Resolve exact facility/building footprint only from defensible geometry.</x:v>
      </x:c>
      <x:c r="G21" s="17" t="str">
        <x:v>OPEN - retain evidence; no fabricated closure</x:v>
      </x:c>
    </x:row>
    <x:row r="22">
      <x:c r="A22" s="17" t="str">
        <x:v>S2025-022</x:v>
      </x:c>
      <x:c r="B22" s="17" t="str">
        <x:v>KD Maju Jaya</x:v>
      </x:c>
      <x:c r="C22" s="17" t="str">
        <x:v>CRITICAL FACILITY</x:v>
      </x:c>
      <x:c r="D22" s="17" t="str">
        <x:v>FACILITY_POINT/POLYGON_OPEN</x:v>
      </x:c>
      <x:c r="E22" s="17" t="str">
        <x:v>Facility impact is verified; exact building/flood polygon is not frozen.</x:v>
      </x:c>
      <x:c r="F22" s="17" t="str">
        <x:v>Resolve exact facility/building footprint only from defensible geometry.</x:v>
      </x:c>
      <x:c r="G22" s="17" t="str">
        <x:v>OPEN - retain evidence; no fabricated closure</x:v>
      </x:c>
    </x:row>
    <x:row r="23">
      <x:c r="A23" s="17" t="str">
        <x:v>S2025-023</x:v>
      </x:c>
      <x:c r="B23" s="17" t="str">
        <x:v>KD Plentong</x:v>
      </x:c>
      <x:c r="C23" s="17" t="str">
        <x:v>CRITICAL FACILITY</x:v>
      </x:c>
      <x:c r="D23" s="17" t="str">
        <x:v>FACILITY_POINT/POLYGON_OPEN</x:v>
      </x:c>
      <x:c r="E23" s="17" t="str">
        <x:v>Facility impact is verified; exact building/flood polygon is not frozen.</x:v>
      </x:c>
      <x:c r="F23" s="17" t="str">
        <x:v>Resolve exact facility/building footprint only from defensible geometry.</x:v>
      </x:c>
      <x:c r="G23" s="17" t="str">
        <x:v>OPEN - retain evidence; no fabricated closure</x:v>
      </x:c>
    </x:row>
    <x:row r="24">
      <x:c r="A24" s="17" t="str">
        <x:v>S2025-024</x:v>
      </x:c>
      <x:c r="B24" s="17" t="str">
        <x:v>FT003 Johor Bahru–Endau Sec 21.0–21.8</x:v>
      </x:c>
      <x:c r="C24" s="17" t="str">
        <x:v>ROAD/ROAD SEGMENT</x:v>
      </x:c>
      <x:c r="D24" s="17" t="str">
        <x:v>JKR_SECTION_READY; WKT_PENDING</x:v>
      </x:c>
      <x:c r="E24" s="17" t="str">
        <x:v>JKR supplies route and section limits, but WKT/road-centreline clipping is not yet reconstructed in this workbook.</x:v>
      </x:c>
      <x:c r="F24" s="17" t="str">
        <x:v>Clip the authoritative road network by JKR section chainage; do not buffer arbitrarily.</x:v>
      </x:c>
      <x:c r="G24" s="17" t="str">
        <x:v>OPEN - retain evidence; no fabricated closure</x:v>
      </x:c>
    </x:row>
    <x:row r="25">
      <x:c r="A25" s="17" t="str">
        <x:v>S2025-025</x:v>
      </x:c>
      <x:c r="B25" s="17" t="str">
        <x:v>FT003 Jalan Johor Bahru–Kota Tinggi Sec 9.1–10.0</x:v>
      </x:c>
      <x:c r="C25" s="17" t="str">
        <x:v>ROAD/ROAD SEGMENT</x:v>
      </x:c>
      <x:c r="D25" s="17" t="str">
        <x:v>JKR_SECTION_READY; WKT_PENDING</x:v>
      </x:c>
      <x:c r="E25" s="17" t="str">
        <x:v>JKR supplies route and section limits, but WKT/road-centreline clipping is not yet reconstructed in this workbook.</x:v>
      </x:c>
      <x:c r="F25" s="17" t="str">
        <x:v>Clip the authoritative road network by JKR section chainage; do not buffer arbitrarily.</x:v>
      </x:c>
      <x:c r="G25" s="17" t="str">
        <x:v>OPEN - retain evidence; no fabricated closure</x:v>
      </x:c>
    </x:row>
    <x:row r="26">
      <x:c r="A26" s="17" t="str">
        <x:v>S2025-026</x:v>
      </x:c>
      <x:c r="B26" s="17" t="str">
        <x:v>FT01 Jalan Johor Bahru–Senai Sec 19.6–20.0</x:v>
      </x:c>
      <x:c r="C26" s="17" t="str">
        <x:v>ROAD/ROAD SEGMENT</x:v>
      </x:c>
      <x:c r="D26" s="17" t="str">
        <x:v>JKR_SECTION_READY; WKT_PENDING</x:v>
      </x:c>
      <x:c r="E26" s="17" t="str">
        <x:v>JKR supplies route and section limits, but WKT/road-centreline clipping is not yet reconstructed in this workbook.</x:v>
      </x:c>
      <x:c r="F26" s="17" t="str">
        <x:v>Clip the authoritative road network by JKR section chainage; do not buffer arbitrarily.</x:v>
      </x:c>
      <x:c r="G26" s="17" t="str">
        <x:v>OPEN - retain evidence; no fabricated closure</x:v>
      </x:c>
    </x:row>
    <x:row r="27">
      <x:c r="A27" s="17" t="str">
        <x:v>S2025-027</x:v>
      </x:c>
      <x:c r="B27" s="17" t="str">
        <x:v>FT017 Lebuhraya Pasir Gudang Sec 10.20–10.70</x:v>
      </x:c>
      <x:c r="C27" s="17" t="str">
        <x:v>ROAD/ROAD SEGMENT</x:v>
      </x:c>
      <x:c r="D27" s="17" t="str">
        <x:v>JKR_SECTION_READY; WKT_PENDING</x:v>
      </x:c>
      <x:c r="E27" s="17" t="str">
        <x:v>JKR supplies route and section limits, but WKT/road-centreline clipping is not yet reconstructed in this workbook.</x:v>
      </x:c>
      <x:c r="F27" s="17" t="str">
        <x:v>Clip the authoritative road network by JKR section chainage; do not buffer arbitrarily.</x:v>
      </x:c>
      <x:c r="G27" s="17" t="str">
        <x:v>OPEN - retain evidence; no fabricated closure</x:v>
      </x:c>
    </x:row>
    <x:row r="28">
      <x:c r="A28" s="17" t="str">
        <x:v>S2025-028</x:v>
      </x:c>
      <x:c r="B28" s="17" t="str">
        <x:v>FT017 Lebuhraya Pasir Gudang Sec 21.0–21.3</x:v>
      </x:c>
      <x:c r="C28" s="17" t="str">
        <x:v>ROAD/ROAD SEGMENT</x:v>
      </x:c>
      <x:c r="D28" s="17" t="str">
        <x:v>JKR_SECTION_READY; WKT_PENDING</x:v>
      </x:c>
      <x:c r="E28" s="17" t="str">
        <x:v>JKR supplies route and section limits, but WKT/road-centreline clipping is not yet reconstructed in this workbook.</x:v>
      </x:c>
      <x:c r="F28" s="17" t="str">
        <x:v>Clip the authoritative road network by JKR section chainage; do not buffer arbitrarily.</x:v>
      </x:c>
      <x:c r="G28" s="17" t="str">
        <x:v>OPEN - retain evidence; no fabricated closure</x:v>
      </x:c>
    </x:row>
    <x:row r="29">
      <x:c r="A29" s="17" t="str">
        <x:v>S2025-029</x:v>
      </x:c>
      <x:c r="B29" s="17" t="str">
        <x:v>J105 Jalan Maju Jaya–Seelong Sec 5.0–5.5</x:v>
      </x:c>
      <x:c r="C29" s="17" t="str">
        <x:v>ROAD/ROAD SEGMENT</x:v>
      </x:c>
      <x:c r="D29" s="17" t="str">
        <x:v>JKR_SECTION_READY; WKT_PENDING</x:v>
      </x:c>
      <x:c r="E29" s="17" t="str">
        <x:v>JKR supplies route and section limits, but WKT/road-centreline clipping is not yet reconstructed in this workbook.</x:v>
      </x:c>
      <x:c r="F29" s="17" t="str">
        <x:v>Clip the authoritative road network by JKR section chainage; do not buffer arbitrarily.</x:v>
      </x:c>
      <x:c r="G29" s="17" t="str">
        <x:v>OPEN - retain evidence; no fabricated closure</x:v>
      </x:c>
    </x:row>
    <x:row r="30">
      <x:c r="A30" s="17" t="str">
        <x:v>S2025-030</x:v>
      </x:c>
      <x:c r="B30" s="17" t="str">
        <x:v>J105 Jalan Maju Jaya–Seelong Sec 7.0–7.5</x:v>
      </x:c>
      <x:c r="C30" s="17" t="str">
        <x:v>ROAD/ROAD SEGMENT</x:v>
      </x:c>
      <x:c r="D30" s="17" t="str">
        <x:v>JKR_SECTION_READY; WKT_PENDING</x:v>
      </x:c>
      <x:c r="E30" s="17" t="str">
        <x:v>JKR supplies route and section limits, but WKT/road-centreline clipping is not yet reconstructed in this workbook.</x:v>
      </x:c>
      <x:c r="F30" s="17" t="str">
        <x:v>Clip the authoritative road network by JKR section chainage; do not buffer arbitrarily.</x:v>
      </x:c>
      <x:c r="G30" s="17" t="str">
        <x:v>OPEN - retain evidence; no fabricated closure</x:v>
      </x:c>
    </x:row>
    <x:row r="31">
      <x:c r="A31" s="17" t="str">
        <x:v>S2025-031</x:v>
      </x:c>
      <x:c r="B31" s="17" t="str">
        <x:v>J46 Jalan Ulu Pulai Sec 2.0–2.3</x:v>
      </x:c>
      <x:c r="C31" s="17" t="str">
        <x:v>ROAD/ROAD SEGMENT</x:v>
      </x:c>
      <x:c r="D31" s="17" t="str">
        <x:v>JKR_SECTION_READY; WKT_PENDING</x:v>
      </x:c>
      <x:c r="E31" s="17" t="str">
        <x:v>JKR supplies route and section limits, but WKT/road-centreline clipping is not yet reconstructed in this workbook.</x:v>
      </x:c>
      <x:c r="F31" s="17" t="str">
        <x:v>Clip the authoritative road network by JKR section chainage; do not buffer arbitrarily.</x:v>
      </x:c>
      <x:c r="G31" s="17" t="str">
        <x:v>OPEN - retain evidence; no fabricated closure</x:v>
      </x:c>
    </x:row>
    <x:row r="32">
      <x:c r="A32" s="17" t="str">
        <x:v>S2025-032</x:v>
      </x:c>
      <x:c r="B32" s="17" t="str">
        <x:v>Lebuhraya Pasir Gudang near Taman Rinting interchange</x:v>
      </x:c>
      <x:c r="C32" s="17" t="str">
        <x:v>ROAD/ROAD SEGMENT</x:v>
      </x:c>
      <x:c r="D32" s="17" t="str">
        <x:v>ROAD_SEGMENT_OPEN</x:v>
      </x:c>
      <x:c r="E32" s="17" t="str">
        <x:v>Road is event-valid; exact flooded start/end segment is not defensibly frozen.</x:v>
      </x:c>
      <x:c r="F32" s="17" t="str">
        <x:v>Recover exact flooded segment or route-chainage geometry before road GIS closure.</x:v>
      </x:c>
      <x:c r="G32" s="17" t="str">
        <x:v>OPEN - retain evidence; no fabricated closure</x:v>
      </x:c>
    </x:row>
    <x:row r="33">
      <x:c r="A33" s="17" t="str">
        <x:v>S2025-033</x:v>
      </x:c>
      <x:c r="B33" s="17" t="str">
        <x:v>Bangunan Lily, Hospital Sultanah Aminah</x:v>
      </x:c>
      <x:c r="C33" s="17" t="str">
        <x:v>CRITICAL FACILITY</x:v>
      </x:c>
      <x:c r="D33" s="17" t="str">
        <x:v>BUILDING_SPECIFIC; PARENT_HSA_REFERENCE_ONLY; POLYGON_OPEN</x:v>
      </x:c>
      <x:c r="E33" s="17" t="str">
        <x:v>HSA campus polygon exists, but it must not be substituted for the flooded Lily building footprint.</x:v>
      </x:c>
      <x:c r="F33" s="17" t="str">
        <x:v>Resolve exact Building Lily footprint before polygon closure.</x:v>
      </x:c>
      <x:c r="G33" s="17" t="str">
        <x:v>OPEN - retain evidence; no fabricated closure</x:v>
      </x:c>
    </x:row>
    <x:row r="34">
      <x:c r="A34" s="17" t="str">
        <x:v>S2025-034</x:v>
      </x:c>
      <x:c r="B34" s="17" t="str">
        <x:v>Jalan Kolam Ayer</x:v>
      </x:c>
      <x:c r="C34" s="17" t="str">
        <x:v>ROAD/ROAD SEGMENT</x:v>
      </x:c>
      <x:c r="D34" s="17" t="str">
        <x:v>POINT_REFERENCE; ROAD_SEGMENT_OPEN</x:v>
      </x:c>
      <x:c r="E34" s="17" t="str">
        <x:v>Road is event-valid; exact flooded start/end segment is not defensibly frozen.</x:v>
      </x:c>
      <x:c r="F34" s="17" t="str">
        <x:v>Recover exact flooded segment or route-chainage geometry before road GIS closure.</x:v>
      </x:c>
      <x:c r="G34" s="17" t="str">
        <x:v>OPEN - retain evidence; no fabricated closure</x:v>
      </x:c>
    </x:row>
    <x:row r="35">
      <x:c r="A35" s="17" t="str">
        <x:v>S2025-035</x:v>
      </x:c>
      <x:c r="B35" s="17" t="str">
        <x:v>Taman Nong Chik</x:v>
      </x:c>
      <x:c r="C35" s="17" t="str">
        <x:v>AREA/RESIDENTIAL</x:v>
      </x:c>
      <x:c r="D35" s="17" t="str">
        <x:v>POINT_READY; POLYGON_OPEN</x:v>
      </x:c>
      <x:c r="E35" s="17" t="str">
        <x:v>Representative point is defensible; exact closed event/community geometry is not frozen.</x:v>
      </x:c>
      <x:c r="F35" s="17" t="str">
        <x:v>Seek exact named closed community/residential boundary.</x:v>
      </x:c>
      <x:c r="G35" s="17" t="str">
        <x:v>OPEN - retain evidence; no fabricated closure</x:v>
      </x:c>
    </x:row>
    <x:row r="36">
      <x:c r="A36" s="17" t="str">
        <x:v>S2025-036</x:v>
      </x:c>
      <x:c r="B36" s="17" t="str">
        <x:v>Jalan Sungai Chat</x:v>
      </x:c>
      <x:c r="C36" s="17" t="str">
        <x:v>ROAD/ROAD SEGMENT</x:v>
      </x:c>
      <x:c r="D36" s="17" t="str">
        <x:v>POINT_REFERENCE; ROAD_SEGMENT_OPEN</x:v>
      </x:c>
      <x:c r="E36" s="17" t="str">
        <x:v>Road is event-valid; exact flooded start/end segment is not defensibly frozen.</x:v>
      </x:c>
      <x:c r="F36" s="17" t="str">
        <x:v>Recover exact flooded segment or route-chainage geometry before road GIS closure.</x:v>
      </x:c>
      <x:c r="G36" s="17" t="str">
        <x:v>OPEN - retain evidence; no fabricated closure</x:v>
      </x:c>
    </x:row>
    <x:row r="37">
      <x:c r="A37" s="17" t="str">
        <x:v>S2025-037</x:v>
      </x:c>
      <x:c r="B37" s="17" t="str">
        <x:v>Tasik Merdeka</x:v>
      </x:c>
      <x:c r="C37" s="17" t="str">
        <x:v>AREA/RESIDENTIAL</x:v>
      </x:c>
      <x:c r="D37" s="17" t="str">
        <x:v>POINT_OPEN; POLYGON_OPEN</x:v>
      </x:c>
      <x:c r="E37" s="17" t="str">
        <x:v>Event identity is valid but no strict traceable point/boundary is frozen.</x:v>
      </x:c>
      <x:c r="F37" s="17" t="str">
        <x:v>Resolve official geospatial point/boundary; do not fabricate geometry.</x:v>
      </x:c>
      <x:c r="G37" s="17" t="str">
        <x:v>OPEN - retain evidence; no fabricated closure</x:v>
      </x:c>
    </x:row>
    <x:row r="38">
      <x:c r="A38" s="17" t="str">
        <x:v>S2025-038</x:v>
      </x:c>
      <x:c r="B38" s="17" t="str">
        <x:v>Kampung Mohd Amin / Jalan Md Amin context</x:v>
      </x:c>
      <x:c r="C38" s="17" t="str">
        <x:v>COMMUNITY/AREA</x:v>
      </x:c>
      <x:c r="D38" s="17" t="str">
        <x:v>POINT_READY; POLYGON_OPEN</x:v>
      </x:c>
      <x:c r="E38" s="17" t="str">
        <x:v>Representative point is defensible; exact closed event/community geometry is not frozen.</x:v>
      </x:c>
      <x:c r="F38" s="17" t="str">
        <x:v>Seek exact named closed community/residential boundary.</x:v>
      </x:c>
      <x:c r="G38" s="17" t="str">
        <x:v>OPEN - retain evidence; no fabricated closure</x:v>
      </x:c>
    </x:row>
    <x:row r="39">
      <x:c r="A39" s="17" t="str">
        <x:v>S2025-039</x:v>
      </x:c>
      <x:c r="B39" s="17" t="str">
        <x:v>Jalan Wong Ah Fook</x:v>
      </x:c>
      <x:c r="C39" s="17" t="str">
        <x:v>ROAD/ROAD SEGMENT</x:v>
      </x:c>
      <x:c r="D39" s="17" t="str">
        <x:v>POINT_REFERENCE; ROAD_SEGMENT_OPEN</x:v>
      </x:c>
      <x:c r="E39" s="17" t="str">
        <x:v>Road is event-valid; exact flooded start/end segment is not defensibly frozen.</x:v>
      </x:c>
      <x:c r="F39" s="17" t="str">
        <x:v>Recover exact flooded segment or route-chainage geometry before road GIS closure.</x:v>
      </x:c>
      <x:c r="G39" s="17" t="str">
        <x:v>OPEN - retain evidence; no fabricated closure</x:v>
      </x:c>
    </x:row>
    <x:row r="40">
      <x:c r="A40" s="17" t="str">
        <x:v>S2025-040</x:v>
      </x:c>
      <x:c r="B40" s="17" t="str">
        <x:v>Jalan Tun Abdul Razak</x:v>
      </x:c>
      <x:c r="C40" s="17" t="str">
        <x:v>ROAD/ROAD SEGMENT</x:v>
      </x:c>
      <x:c r="D40" s="17" t="str">
        <x:v>POINT_REFERENCE; ROAD_SEGMENT_OPEN</x:v>
      </x:c>
      <x:c r="E40" s="17" t="str">
        <x:v>Road is event-valid; exact flooded start/end segment is not defensibly frozen.</x:v>
      </x:c>
      <x:c r="F40" s="17" t="str">
        <x:v>Recover exact flooded segment or route-chainage geometry before road GIS closure.</x:v>
      </x:c>
      <x:c r="G40" s="17" t="str">
        <x:v>OPEN - retain evidence; no fabricated closure</x:v>
      </x:c>
    </x:row>
    <x:row r="41">
      <x:c r="A41" s="17" t="str">
        <x:v>S2025-041</x:v>
      </x:c>
      <x:c r="B41" s="17" t="str">
        <x:v>Taman Pelangi</x:v>
      </x:c>
      <x:c r="C41" s="17" t="str">
        <x:v>AREA/RESIDENTIAL</x:v>
      </x:c>
      <x:c r="D41" s="17" t="str">
        <x:v>POINT_OPEN; POLYGON_OPEN</x:v>
      </x:c>
      <x:c r="E41" s="17" t="str">
        <x:v>Established news explicitly names Taman Pelangi; exact inundated subarea/boundary not frozen.</x:v>
      </x:c>
      <x:c r="F41" s="17" t="str">
        <x:v>Resolve neighbourhood boundary/affected road geometry.</x:v>
      </x:c>
      <x:c r="G41" s="17" t="str">
        <x:v>OPEN - retain evidence; no fabricated closure</x:v>
      </x:c>
    </x:row>
  </x:sheetData>
  <x:pageMargins left="0.7" right="0.7" top="0.75" bottom="0.75" header="0.3" footer="0.3"/>
</x:worksheet>
</file>

<file path=xl/worksheets/sheet42.xml><?xml version="1.0" encoding="utf-8"?>
<x:worksheet xmlns:x="http://schemas.openxmlformats.org/spreadsheetml/2006/main">
  <x:sheetFormatPr defaultRowHeight="15"/>
  <x:cols>
    <x:col min="1" max="1" width="46" hidden="0" customWidth="1"/>
    <x:col min="2" max="2" width="25" hidden="0" customWidth="1"/>
    <x:col min="3" max="3" width="14" hidden="0" customWidth="1"/>
    <x:col min="4" max="4" width="14" hidden="0" customWidth="1"/>
  </x:cols>
  <x:sheetData>
    <x:row r="1">
      <x:c r="A1" s="52" t="str">
        <x:v>Metric</x:v>
      </x:c>
      <x:c r="B1" s="52" t="str">
        <x:v>Formula / Value</x:v>
      </x:c>
      <x:c r="C1" s="52" t="str">
        <x:v>Expected</x:v>
      </x:c>
      <x:c r="D1" s="52" t="str">
        <x:v>Status</x:v>
      </x:c>
    </x:row>
    <x:row r="2">
      <x:c r="A2" s="9" t="str">
        <x:v>2025 event-location rows</x:v>
      </x:c>
      <x:c r="B2" s="9" t="n">
        <x:f>COUNTA('35_2025_Event_Master'!A2:A48)</x:f>
        <x:v>47</x:v>
      </x:c>
      <x:c r="C2" s="9" t="n">
        <x:v>47</x:v>
      </x:c>
      <x:c r="D2" s="9" t="str">
        <x:f>IF(B2=C2,"PASS","CHECK")</x:f>
        <x:v>PASS</x:v>
      </x:c>
    </x:row>
    <x:row r="3">
      <x:c r="A3" s="9" t="str">
        <x:v>2025 episode groups</x:v>
      </x:c>
      <x:c r="B3" s="9" t="n">
        <x:f>COUNTA('36_2025_Episodes'!A2:A7)</x:f>
        <x:v>6</x:v>
      </x:c>
      <x:c r="C3" s="9" t="n">
        <x:v>6</x:v>
      </x:c>
      <x:c r="D3" s="9" t="str">
        <x:f>IF(B3=C3,"PASS","CHECK")</x:f>
        <x:v>PASS</x:v>
      </x:c>
    </x:row>
    <x:row r="4">
      <x:c r="A4" s="9" t="str">
        <x:v>2025 unique spatial objects</x:v>
      </x:c>
      <x:c r="B4" s="9" t="n">
        <x:f>COUNTA('38_2025_Spatial_Resolution'!A2:A42)</x:f>
        <x:v>41</x:v>
      </x:c>
      <x:c r="C4" s="9" t="n">
        <x:v>41</x:v>
      </x:c>
      <x:c r="D4" s="9" t="str">
        <x:f>IF(B4=C4,"PASS","CHECK")</x:f>
        <x:v>PASS</x:v>
      </x:c>
    </x:row>
    <x:row r="5">
      <x:c r="A5" s="9" t="str">
        <x:v>Strict Point-GIS-ready objects</x:v>
      </x:c>
      <x:c r="B5" s="9" t="n">
        <x:f>SUMPRODUCT(--('38_2025_Spatial_Resolution'!D2:D42=TRUE))</x:f>
        <x:v>20</x:v>
      </x:c>
      <x:c r="C5" s="9" t="n">
        <x:v>20</x:v>
      </x:c>
      <x:c r="D5" s="9" t="str">
        <x:f>IF(B5=C5,"PASS","CHECK")</x:f>
        <x:v>PASS</x:v>
      </x:c>
    </x:row>
    <x:row r="6">
      <x:c r="A6" s="9" t="str">
        <x:v>Open spatial objects</x:v>
      </x:c>
      <x:c r="B6" s="9" t="n">
        <x:f>COUNTA('40_2025_Open_Objects'!A2:A41)</x:f>
        <x:v>40</x:v>
      </x:c>
      <x:c r="C6" s="9" t="n">
        <x:v>40</x:v>
      </x:c>
      <x:c r="D6" s="9" t="str">
        <x:f>IF(B6=C6,"PASS","CHECK")</x:f>
        <x:v>PASS</x:v>
      </x:c>
    </x:row>
    <x:row r="7">
      <x:c r="A7" s="9" t="str">
        <x:v>Unresolved/non-counted evidence rows</x:v>
      </x:c>
      <x:c r="B7" s="9" t="n">
        <x:f>COUNTA('39_2025_Unresolved_Candidates'!A2:A9)</x:f>
        <x:v>8</x:v>
      </x:c>
      <x:c r="C7" s="9" t="n">
        <x:v>8</x:v>
      </x:c>
      <x:c r="D7" s="9" t="str">
        <x:f>IF(B7=C7,"PASS","CHECK")</x:f>
        <x:v>PASS</x:v>
      </x:c>
    </x:row>
    <x:row r="8">
      <x:c r="A8" s="9" t="str">
        <x:v>Missing Spatial_Object_Key refs</x:v>
      </x:c>
      <x:c r="B8" s="9" t="n">
        <x:f>COUNTIF('35_2025_Event_Master'!E2:E48,"")</x:f>
        <x:v>0</x:v>
      </x:c>
      <x:c r="C8" s="9" t="n">
        <x:v>0</x:v>
      </x:c>
      <x:c r="D8" s="9" t="str">
        <x:f>IF(B8=C8,"PASS","CHECK")</x:f>
        <x:v>PASS</x:v>
      </x:c>
    </x:row>
    <x:row r="9">
      <x:c r="A9" s="9" t="str">
        <x:v>Cumulative event rows through 2025</x:v>
      </x:c>
      <x:c r="B9" s="9" t="n">
        <x:f>276+B2</x:f>
        <x:v>323</x:v>
      </x:c>
      <x:c r="C9" s="9" t="n">
        <x:v>323</x:v>
      </x:c>
      <x:c r="D9" s="9" t="str">
        <x:f>IF(B9=C9,"PASS","CHECK")</x:f>
        <x:v>PASS</x:v>
      </x:c>
    </x:row>
    <x:row r="10">
      <x:c r="A10" s="9" t="str">
        <x:v>2026 records included</x:v>
      </x:c>
      <x:c r="B10" s="9" t="n">
        <x:v>0</x:v>
      </x:c>
      <x:c r="C10" s="9" t="n">
        <x:v>0</x:v>
      </x:c>
      <x:c r="D10" s="9" t="str">
        <x:f>IF(B10=C10,"PASS","CHECK")</x:f>
        <x:v>PASS</x:v>
      </x:c>
    </x:row>
  </x:sheetData>
  <x:pageMargins left="0.7" right="0.7" top="0.75" bottom="0.75" header="0.3" footer="0.3"/>
</x:worksheet>
</file>

<file path=xl/worksheets/sheet43.xml><?xml version="1.0" encoding="utf-8"?>
<x:worksheet xmlns:x="http://schemas.openxmlformats.org/spreadsheetml/2006/main">
  <x:sheetFormatPr defaultRowHeight="15"/>
  <x:cols>
    <x:col min="1" max="1" width="31" hidden="0" customWidth="1"/>
    <x:col min="2" max="2" width="42" hidden="0" customWidth="1"/>
    <x:col min="3" max="3" width="18" hidden="0" customWidth="1"/>
    <x:col min="4" max="4" width="48" hidden="0" customWidth="1"/>
    <x:col min="5" max="5" width="28" hidden="0" customWidth="1"/>
    <x:col min="6" max="6" width="70" hidden="0" customWidth="1"/>
    <x:col min="7" max="7" width="68" hidden="0" customWidth="1"/>
  </x:cols>
  <x:sheetData>
    <x:row r="1">
      <x:c r="A1" s="54" t="str">
        <x:v>Polygon_ID</x:v>
      </x:c>
      <x:c r="B1" s="54" t="str">
        <x:v>Object_Name</x:v>
      </x:c>
      <x:c r="C1" s="54" t="str">
        <x:v>Closure_Status</x:v>
      </x:c>
      <x:c r="D1" s="54" t="str">
        <x:v>Geometry_Source</x:v>
      </x:c>
      <x:c r="E1" s="54" t="str">
        <x:v>2025_Event_Use</x:v>
      </x:c>
      <x:c r="F1" s="54" t="str">
        <x:v>Interpretation</x:v>
      </x:c>
      <x:c r="G1" s="54" t="str">
        <x:v>Decision</x:v>
      </x:c>
    </x:row>
    <x:row r="2">
      <x:c r="A2" s="17" t="str">
        <x:v>PG2017-KG-KANGKAR-TEBRAU</x:v>
      </x:c>
      <x:c r="B2" s="17" t="str">
        <x:v>Kampung Kangkar Tebrau</x:v>
      </x:c>
      <x:c r="C2" s="17" t="str">
        <x:v>REUSED_CLOSED</x:v>
      </x:c>
      <x:c r="D2" s="17" t="str">
        <x:v>Frozen R005/R014/R018 lineage; OSM way 657910839</x:v>
      </x:c>
      <x:c r="E2" s="17" t="str">
        <x:v>2025-01-11; 2025-03-19</x:v>
      </x:c>
      <x:c r="F2" s="17" t="str">
        <x:v>Parent-community analysis boundary only; NOT an observed inundation footprint.</x:v>
      </x:c>
      <x:c r="G2" s="17" t="str">
        <x:v>Reuse only for explicit Kampung Kangkar Tebrau community event rows.</x:v>
      </x:c>
    </x:row>
  </x:sheetData>
  <x:pageMargins left="0.7" right="0.7" top="0.75" bottom="0.75" header="0.3" footer="0.3"/>
</x:worksheet>
</file>

<file path=xl/worksheets/sheet44.xml><?xml version="1.0" encoding="utf-8"?>
<x:worksheet xmlns:x="http://schemas.openxmlformats.org/spreadsheetml/2006/main">
  <x:sheetFormatPr defaultRowHeight="15"/>
  <x:cols>
    <x:col min="1" max="1" width="44" hidden="0" customWidth="1"/>
    <x:col min="2" max="2" width="25" hidden="0" customWidth="1"/>
    <x:col min="3" max="3" width="14" hidden="0" customWidth="1"/>
    <x:col min="4" max="4" width="14" hidden="0" customWidth="1"/>
    <x:col min="5" max="5" width="72" hidden="0" customWidth="1"/>
  </x:cols>
  <x:sheetData>
    <x:row r="1">
      <x:c r="A1" s="52" t="str">
        <x:v>Metric</x:v>
      </x:c>
      <x:c r="B1" s="52" t="str">
        <x:v>Formula / Value</x:v>
      </x:c>
      <x:c r="C1" s="52" t="str">
        <x:v>Expected</x:v>
      </x:c>
      <x:c r="D1" s="52" t="str">
        <x:v>Status</x:v>
      </x:c>
      <x:c r="E1" s="52" t="str">
        <x:v>Interpretation</x:v>
      </x:c>
    </x:row>
    <x:row r="2">
      <x:c r="A2" s="9" t="str">
        <x:v>2025 new closed polygons</x:v>
      </x:c>
      <x:c r="B2" s="9" t="n">
        <x:v>0</x:v>
      </x:c>
      <x:c r="C2" s="9" t="n">
        <x:v>0</x:v>
      </x:c>
      <x:c r="D2" s="9" t="str">
        <x:f>IF(B2=C2,"PASS","CHECK")</x:f>
        <x:v>PASS</x:v>
      </x:c>
      <x:c r="E2" s="9" t="str">
        <x:v>No exact new named closed geometry defensibly frozen.</x:v>
      </x:c>
    </x:row>
    <x:row r="3">
      <x:c r="A3" s="9" t="str">
        <x:v>2025 reused closed polygons</x:v>
      </x:c>
      <x:c r="B3" s="9" t="n">
        <x:f>COUNTA('42_2025_Polygon_Reuse'!A2:A2)</x:f>
        <x:v>1</x:v>
      </x:c>
      <x:c r="C3" s="9" t="n">
        <x:v>1</x:v>
      </x:c>
      <x:c r="D3" s="9" t="str">
        <x:f>IF(B3=C3,"PASS","CHECK")</x:f>
        <x:v>PASS</x:v>
      </x:c>
      <x:c r="E3" s="9" t="str">
        <x:v>Kampung Kangkar Tebrau parent-community polygon only.</x:v>
      </x:c>
    </x:row>
    <x:row r="4">
      <x:c r="A4" s="9" t="str">
        <x:v>2025 directly usable closed analysis regions</x:v>
      </x:c>
      <x:c r="B4" s="9" t="n">
        <x:f>B2+B3</x:f>
        <x:v>1</x:v>
      </x:c>
      <x:c r="C4" s="9" t="n">
        <x:v>1</x:v>
      </x:c>
      <x:c r="D4" s="9" t="str">
        <x:f>IF(B4=C4,"PASS","CHECK")</x:f>
        <x:v>PASS</x:v>
      </x:c>
      <x:c r="E4" s="9" t="str">
        <x:v>Reuse only; no geometry duplication.</x:v>
      </x:c>
    </x:row>
    <x:row r="5">
      <x:c r="A5" s="9" t="str">
        <x:v>Cumulative Polygon_ID through 2025</x:v>
      </x:c>
      <x:c r="B5" s="9" t="n">
        <x:v>14</x:v>
      </x:c>
      <x:c r="C5" s="9" t="n">
        <x:v>14</x:v>
      </x:c>
      <x:c r="D5" s="9" t="str">
        <x:f>IF(B5=C5,"PASS","CHECK")</x:f>
        <x:v>PASS</x:v>
      </x:c>
      <x:c r="E5" s="9" t="str">
        <x:v>R020 total remains unchanged.</x:v>
      </x:c>
    </x:row>
    <x:row r="6">
      <x:c r="A6" s="9" t="str">
        <x:v>Cumulative closed polygon WKT lineage</x:v>
      </x:c>
      <x:c r="B6" s="9" t="n">
        <x:v>14</x:v>
      </x:c>
      <x:c r="C6" s="9" t="n">
        <x:v>14</x:v>
      </x:c>
      <x:c r="D6" s="9" t="str">
        <x:f>IF(B6=C6,"PASS","CHECK")</x:f>
        <x:v>PASS</x:v>
      </x:c>
      <x:c r="E6" s="9" t="str">
        <x:v>Existing formal lineage unchanged.</x:v>
      </x:c>
    </x:row>
    <x:row r="7">
      <x:c r="A7" s="9" t="str">
        <x:v>2025 event-location rows</x:v>
      </x:c>
      <x:c r="B7" s="9" t="n">
        <x:f>'41_QA_2025_Event_Spatial'!B2</x:f>
        <x:v>47</x:v>
      </x:c>
      <x:c r="C7" s="9" t="n">
        <x:v>47</x:v>
      </x:c>
      <x:c r="D7" s="9" t="str">
        <x:f>IF(B7=C7,"PASS","CHECK")</x:f>
        <x:v>PASS</x:v>
      </x:c>
      <x:c r="E7" s="9" t="str">
        <x:v>All exact/date-anchored rows retained.</x:v>
      </x:c>
    </x:row>
    <x:row r="8">
      <x:c r="A8" s="9" t="str">
        <x:v>2025 episode groups</x:v>
      </x:c>
      <x:c r="B8" s="9" t="n">
        <x:f>'41_QA_2025_Event_Spatial'!B3</x:f>
        <x:v>6</x:v>
      </x:c>
      <x:c r="C8" s="9" t="n">
        <x:v>6</x:v>
      </x:c>
      <x:c r="D8" s="9" t="str">
        <x:f>IF(B8=C8,"PASS","CHECK")</x:f>
        <x:v>PASS</x:v>
      </x:c>
      <x:c r="E8" s="9" t="str">
        <x:v>Six independent flood episodes.</x:v>
      </x:c>
    </x:row>
    <x:row r="9">
      <x:c r="A9" s="9" t="str">
        <x:v>Cumulative event rows through 2025</x:v>
      </x:c>
      <x:c r="B9" s="9" t="n">
        <x:f>'41_QA_2025_Event_Spatial'!B9</x:f>
        <x:v>323</x:v>
      </x:c>
      <x:c r="C9" s="9" t="n">
        <x:v>323</x:v>
      </x:c>
      <x:c r="D9" s="9" t="str">
        <x:f>IF(B9=C9,"PASS","CHECK")</x:f>
        <x:v>PASS</x:v>
      </x:c>
      <x:c r="E9" s="9" t="str">
        <x:v>R020 276 + 2025 exact rows.</x:v>
      </x:c>
    </x:row>
    <x:row r="10">
      <x:c r="A10" s="9" t="str">
        <x:v>Formula errors in 2025 QA</x:v>
      </x:c>
      <x:c r="B10" s="9" t="n">
        <x:v>0</x:v>
      </x:c>
      <x:c r="C10" s="9" t="n">
        <x:v>0</x:v>
      </x:c>
      <x:c r="D10" s="9" t="str">
        <x:f>IF(B10=C10,"PASS","CHECK")</x:f>
        <x:v>PASS</x:v>
      </x:c>
      <x:c r="E10" s="9" t="str">
        <x:v>Checked after workbook build.</x:v>
      </x:c>
    </x:row>
    <x:row r="11">
      <x:c r="A11" s="9" t="str">
        <x:v>2026 records included</x:v>
      </x:c>
      <x:c r="B11" s="9" t="n">
        <x:v>0</x:v>
      </x:c>
      <x:c r="C11" s="9" t="n">
        <x:v>0</x:v>
      </x:c>
      <x:c r="D11" s="9" t="str">
        <x:f>IF(B11=C11,"PASS","CHECK")</x:f>
        <x:v>PASS</x:v>
      </x:c>
      <x:c r="E11" s="9" t="str">
        <x:v>Hard stop after 2025.</x:v>
      </x:c>
    </x:row>
  </x:sheetData>
  <x:pageMargins left="0.7" right="0.7" top="0.75" bottom="0.75" header="0.3" footer="0.3"/>
</x:worksheet>
</file>

<file path=xl/worksheets/sheet45.xml><?xml version="1.0" encoding="utf-8"?>
<x:worksheet xmlns:x="http://schemas.openxmlformats.org/spreadsheetml/2006/main">
  <x:sheetFormatPr defaultRowHeight="15"/>
  <x:cols>
    <x:col min="1" max="1" width="20" hidden="0" customWidth="1"/>
    <x:col min="2" max="2" width="13" hidden="0" customWidth="1"/>
    <x:col min="3" max="3" width="24" hidden="0" customWidth="1"/>
    <x:col min="4" max="4" width="54" hidden="0" customWidth="1"/>
    <x:col min="5" max="5" width="16" hidden="0" customWidth="1"/>
    <x:col min="6" max="6" width="50" hidden="0" customWidth="1"/>
    <x:col min="7" max="7" width="31" hidden="0" customWidth="1"/>
    <x:col min="8" max="8" width="13" hidden="0" customWidth="1"/>
    <x:col min="9" max="9" width="32" hidden="0" customWidth="1"/>
    <x:col min="10" max="10" width="32" hidden="0" customWidth="1"/>
    <x:col min="11" max="11" width="28" hidden="0" customWidth="1"/>
    <x:col min="12" max="12" width="78" hidden="0" customWidth="1"/>
  </x:cols>
  <x:sheetData>
    <x:row r="1">
      <x:c r="A1" s="61" t="str">
        <x:v>Event_ID</x:v>
      </x:c>
      <x:c r="B1" s="61" t="str">
        <x:v>Event_Date</x:v>
      </x:c>
      <x:c r="C1" s="61" t="str">
        <x:v>Dedup_Group_ID</x:v>
      </x:c>
      <x:c r="D1" s="61" t="str">
        <x:v>Source_Location_Label</x:v>
      </x:c>
      <x:c r="E1" s="61" t="str">
        <x:v>Spatial_Object_Key</x:v>
      </x:c>
      <x:c r="F1" s="61" t="str">
        <x:v>Canonical_Spatial_Object</x:v>
      </x:c>
      <x:c r="G1" s="61" t="str">
        <x:v>Event_Type</x:v>
      </x:c>
      <x:c r="H1" s="61" t="str">
        <x:v>Evidence_Tier</x:v>
      </x:c>
      <x:c r="I1" s="61" t="str">
        <x:v>Primary_Source_ID</x:v>
      </x:c>
      <x:c r="J1" s="61" t="str">
        <x:v>Secondary_Source_ID</x:v>
      </x:c>
      <x:c r="K1" s="61" t="str">
        <x:v>Date_Precision</x:v>
      </x:c>
      <x:c r="L1" s="61" t="str">
        <x:v>Notes</x:v>
      </x:c>
    </x:row>
    <x:row r="2">
      <x:c r="A2" s="17" t="str">
        <x:v>EVT-JB-2026-001</x:v>
      </x:c>
      <x:c r="B2" s="17" t="str">
        <x:v>2026-09-30</x:v>
      </x:c>
      <x:c r="C2" s="17" t="str">
        <x:v>DG-JB-20260930</x:v>
      </x:c>
      <x:c r="D2" s="17" t="str">
        <x:v>Jalan Kolam Air, Nong Chik</x:v>
      </x:c>
      <x:c r="E2" s="17" t="str">
        <x:v>S2026-001</x:v>
      </x:c>
      <x:c r="F2" s="17" t="str">
        <x:v>Jalan Kolam Ayer / Nong Chik context</x:v>
      </x:c>
      <x:c r="G2" s="17" t="str">
        <x:v>Urban flash flood / inundation</x:v>
      </x:c>
      <x:c r="H2" s="17" t="str">
        <x:v>A/B</x:v>
      </x:c>
      <x:c r="I2" s="17" t="str">
        <x:v>SRC_R2026_SINAR_20260930</x:v>
      </x:c>
      <x:c r="J2" s="17" t="str">
        <x:v>SRC_R2026_MM_20260930</x:v>
      </x:c>
      <x:c r="K2" s="17" t="str">
        <x:v>Exact day</x:v>
      </x:c>
      <x:c r="L2" s="17" t="str">
        <x:v>Source phrase retained as one road/neighbourhood context object to avoid double-counting an ambiguous comma-separated label.</x:v>
      </x:c>
    </x:row>
    <x:row r="3">
      <x:c r="A3" s="17" t="str">
        <x:v>EVT-JB-2026-002</x:v>
      </x:c>
      <x:c r="B3" s="17" t="str">
        <x:v>2026-09-30</x:v>
      </x:c>
      <x:c r="C3" s="17" t="str">
        <x:v>DG-JB-20260930</x:v>
      </x:c>
      <x:c r="D3" s="17" t="str">
        <x:v>Jalan Ayer Molek</x:v>
      </x:c>
      <x:c r="E3" s="17" t="str">
        <x:v>S2026-002</x:v>
      </x:c>
      <x:c r="F3" s="17" t="str">
        <x:v>Jalan Ayer Molek</x:v>
      </x:c>
      <x:c r="G3" s="17" t="str">
        <x:v>Urban flash flood / inundation</x:v>
      </x:c>
      <x:c r="H3" s="17" t="str">
        <x:v>A/B</x:v>
      </x:c>
      <x:c r="I3" s="17" t="str">
        <x:v>SRC_R2026_SINAR_20260930</x:v>
      </x:c>
      <x:c r="J3" s="17" t="str">
        <x:v>SRC_R2026_UTUSAN_20260930</x:v>
      </x:c>
      <x:c r="K3" s="17" t="str">
        <x:v>Exact day</x:v>
      </x:c>
      <x:c r="L3" s="17" t="str"/>
    </x:row>
    <x:row r="4">
      <x:c r="A4" s="17" t="str">
        <x:v>EVT-JB-2026-003</x:v>
      </x:c>
      <x:c r="B4" s="17" t="str">
        <x:v>2026-09-30</x:v>
      </x:c>
      <x:c r="C4" s="17" t="str">
        <x:v>DG-JB-20260930</x:v>
      </x:c>
      <x:c r="D4" s="17" t="str">
        <x:v>Jalan Yahya / Jalan Yahya Awal</x:v>
      </x:c>
      <x:c r="E4" s="17" t="str">
        <x:v>S2026-003</x:v>
      </x:c>
      <x:c r="F4" s="17" t="str">
        <x:v>Jalan Yahya Awal</x:v>
      </x:c>
      <x:c r="G4" s="17" t="str">
        <x:v>Urban flash flood / inundation</x:v>
      </x:c>
      <x:c r="H4" s="17" t="str">
        <x:v>A/B</x:v>
      </x:c>
      <x:c r="I4" s="17" t="str">
        <x:v>SRC_R2026_SINAR_20260930</x:v>
      </x:c>
      <x:c r="J4" s="17" t="str">
        <x:v>SRC_R2026_MM_20260930</x:v>
      </x:c>
      <x:c r="K4" s="17" t="str">
        <x:v>Exact day</x:v>
      </x:c>
      <x:c r="L4" s="17" t="str">
        <x:v>Source abbreviation normalized to frozen Jalan Yahya Awal object.</x:v>
      </x:c>
    </x:row>
    <x:row r="5">
      <x:c r="A5" s="17" t="str">
        <x:v>EVT-JB-2026-004</x:v>
      </x:c>
      <x:c r="B5" s="17" t="str">
        <x:v>2026-09-30</x:v>
      </x:c>
      <x:c r="C5" s="17" t="str">
        <x:v>DG-JB-20260930</x:v>
      </x:c>
      <x:c r="D5" s="17" t="str">
        <x:v>Jalan Pantai</x:v>
      </x:c>
      <x:c r="E5" s="17" t="str">
        <x:v>S2026-004</x:v>
      </x:c>
      <x:c r="F5" s="17" t="str">
        <x:v>Jalan Pantai</x:v>
      </x:c>
      <x:c r="G5" s="17" t="str">
        <x:v>Urban flash flood / inundation</x:v>
      </x:c>
      <x:c r="H5" s="17" t="str">
        <x:v>A/B</x:v>
      </x:c>
      <x:c r="I5" s="17" t="str">
        <x:v>SRC_R2026_SINAR_20260930</x:v>
      </x:c>
      <x:c r="J5" s="17" t="str">
        <x:v>SRC_R2026_MM_20260930</x:v>
      </x:c>
      <x:c r="K5" s="17" t="str">
        <x:v>Exact day</x:v>
      </x:c>
      <x:c r="L5" s="17" t="str">
        <x:v>Later synthesis places this road in Kampung Bakar Batu context; exact segment remains open.</x:v>
      </x:c>
    </x:row>
    <x:row r="6">
      <x:c r="A6" s="17" t="str">
        <x:v>EVT-JB-2026-005</x:v>
      </x:c>
      <x:c r="B6" s="17" t="str">
        <x:v>2026-09-30</x:v>
      </x:c>
      <x:c r="C6" s="17" t="str">
        <x:v>DG-JB-20260930</x:v>
      </x:c>
      <x:c r="D6" s="17" t="str">
        <x:v>Jalan Wong Ah Fook</x:v>
      </x:c>
      <x:c r="E6" s="17" t="str">
        <x:v>S2026-005</x:v>
      </x:c>
      <x:c r="F6" s="17" t="str">
        <x:v>Jalan Wong Ah Fook</x:v>
      </x:c>
      <x:c r="G6" s="17" t="str">
        <x:v>Urban flash flood / inundation</x:v>
      </x:c>
      <x:c r="H6" s="17" t="str">
        <x:v>A/B</x:v>
      </x:c>
      <x:c r="I6" s="17" t="str">
        <x:v>SRC_R2026_SINAR_20260930</x:v>
      </x:c>
      <x:c r="J6" s="17" t="str">
        <x:v>SRC_R2026_MM_20260930</x:v>
      </x:c>
      <x:c r="K6" s="17" t="str">
        <x:v>Exact day</x:v>
      </x:c>
      <x:c r="L6" s="17" t="str"/>
    </x:row>
    <x:row r="7">
      <x:c r="A7" s="17" t="str">
        <x:v>EVT-JB-2026-006</x:v>
      </x:c>
      <x:c r="B7" s="17" t="str">
        <x:v>2026-09-30</x:v>
      </x:c>
      <x:c r="C7" s="17" t="str">
        <x:v>DG-JB-20260930</x:v>
      </x:c>
      <x:c r="D7" s="17" t="str">
        <x:v>Kampung Pasir, Tampoi</x:v>
      </x:c>
      <x:c r="E7" s="17" t="str">
        <x:v>S2026-006</x:v>
      </x:c>
      <x:c r="F7" s="17" t="str">
        <x:v>Kampung Pasir</x:v>
      </x:c>
      <x:c r="G7" s="17" t="str">
        <x:v>Urban flash flood / inundation</x:v>
      </x:c>
      <x:c r="H7" s="17" t="str">
        <x:v>A/B</x:v>
      </x:c>
      <x:c r="I7" s="17" t="str">
        <x:v>SRC_R2026_UTUSAN_20260930</x:v>
      </x:c>
      <x:c r="J7" s="17" t="str">
        <x:v>SRC_R2026_SINAR_20260930</x:v>
      </x:c>
      <x:c r="K7" s="17" t="str">
        <x:v>Exact day</x:v>
      </x:c>
      <x:c r="L7" s="17" t="str">
        <x:v>More than 200 houses reported inundated.</x:v>
      </x:c>
    </x:row>
    <x:row r="8">
      <x:c r="A8" s="17" t="str">
        <x:v>EVT-JB-2026-007</x:v>
      </x:c>
      <x:c r="B8" s="17" t="str">
        <x:v>2026-09-30</x:v>
      </x:c>
      <x:c r="C8" s="17" t="str">
        <x:v>DG-JB-20260930</x:v>
      </x:c>
      <x:c r="D8" s="17" t="str">
        <x:v>Kampung Tuah Jaya</x:v>
      </x:c>
      <x:c r="E8" s="17" t="str">
        <x:v>S2026-007</x:v>
      </x:c>
      <x:c r="F8" s="17" t="str">
        <x:v>Kampung Tuah Jaya</x:v>
      </x:c>
      <x:c r="G8" s="17" t="str">
        <x:v>Urban flash flood / inundation</x:v>
      </x:c>
      <x:c r="H8" s="17" t="str">
        <x:v>A/B</x:v>
      </x:c>
      <x:c r="I8" s="17" t="str">
        <x:v>SRC_R2026_UTUSAN_20260930</x:v>
      </x:c>
      <x:c r="J8" s="17" t="str"/>
      <x:c r="K8" s="17" t="str">
        <x:v>Exact day</x:v>
      </x:c>
      <x:c r="L8" s="17" t="str">
        <x:v>Exact named community.</x:v>
      </x:c>
    </x:row>
    <x:row r="9">
      <x:c r="A9" s="17" t="str">
        <x:v>EVT-JB-2026-008</x:v>
      </x:c>
      <x:c r="B9" s="17" t="str">
        <x:v>2026-09-30</x:v>
      </x:c>
      <x:c r="C9" s="17" t="str">
        <x:v>DG-JB-20260930</x:v>
      </x:c>
      <x:c r="D9" s="17" t="str">
        <x:v>Taman Perling</x:v>
      </x:c>
      <x:c r="E9" s="17" t="str">
        <x:v>S2026-008</x:v>
      </x:c>
      <x:c r="F9" s="17" t="str">
        <x:v>Taman Perling</x:v>
      </x:c>
      <x:c r="G9" s="17" t="str">
        <x:v>Urban flash flood / inundation</x:v>
      </x:c>
      <x:c r="H9" s="17" t="str">
        <x:v>A/B</x:v>
      </x:c>
      <x:c r="I9" s="17" t="str">
        <x:v>SRC_R2026_UTUSAN_20260930</x:v>
      </x:c>
      <x:c r="J9" s="17" t="str">
        <x:v>SRC_R2026_MM_20260930</x:v>
      </x:c>
      <x:c r="K9" s="17" t="str">
        <x:v>Exact day</x:v>
      </x:c>
      <x:c r="L9" s="17" t="str"/>
    </x:row>
    <x:row r="10">
      <x:c r="A10" s="17" t="str">
        <x:v>EVT-JB-2026-009</x:v>
      </x:c>
      <x:c r="B10" s="17" t="str">
        <x:v>2026-09-30</x:v>
      </x:c>
      <x:c r="C10" s="17" t="str">
        <x:v>DG-JB-20260930</x:v>
      </x:c>
      <x:c r="D10" s="17" t="str">
        <x:v>Kampung Sri Serdang / Seri Serdang</x:v>
      </x:c>
      <x:c r="E10" s="17" t="str">
        <x:v>S2026-009</x:v>
      </x:c>
      <x:c r="F10" s="17" t="str">
        <x:v>Kampung Seri Serdang</x:v>
      </x:c>
      <x:c r="G10" s="17" t="str">
        <x:v>Urban flash flood / inundation</x:v>
      </x:c>
      <x:c r="H10" s="17" t="str">
        <x:v>A/B</x:v>
      </x:c>
      <x:c r="I10" s="17" t="str">
        <x:v>SRC_R2026_UTUSAN_20260930</x:v>
      </x:c>
      <x:c r="J10" s="17" t="str">
        <x:v>SRC_R2026_JPS_20260930</x:v>
      </x:c>
      <x:c r="K10" s="17" t="str">
        <x:v>Exact day</x:v>
      </x:c>
      <x:c r="L10" s="17" t="str">
        <x:v>Spelling variant normalized to one canonical community object.</x:v>
      </x:c>
    </x:row>
    <x:row r="11">
      <x:c r="A11" s="17" t="str">
        <x:v>EVT-JB-2026-010</x:v>
      </x:c>
      <x:c r="B11" s="17" t="str">
        <x:v>2026-09-30</x:v>
      </x:c>
      <x:c r="C11" s="17" t="str">
        <x:v>DG-JB-20260930</x:v>
      </x:c>
      <x:c r="D11" s="17" t="str">
        <x:v>Kampung Hajah Hasnah</x:v>
      </x:c>
      <x:c r="E11" s="17" t="str">
        <x:v>S2026-010</x:v>
      </x:c>
      <x:c r="F11" s="17" t="str">
        <x:v>Kampung Hajah Hasnah</x:v>
      </x:c>
      <x:c r="G11" s="17" t="str">
        <x:v>Urban flash flood / inundation</x:v>
      </x:c>
      <x:c r="H11" s="17" t="str">
        <x:v>A/B</x:v>
      </x:c>
      <x:c r="I11" s="17" t="str">
        <x:v>SRC_R2026_UTUSAN_20260930</x:v>
      </x:c>
      <x:c r="J11" s="17" t="str"/>
      <x:c r="K11" s="17" t="str">
        <x:v>Exact day</x:v>
      </x:c>
      <x:c r="L11" s="17" t="str">
        <x:v>Do not silently merge to 2023 Kampung Dato Hajah Hasnah Majidee without direct identity evidence.</x:v>
      </x:c>
    </x:row>
    <x:row r="12">
      <x:c r="A12" s="17" t="str">
        <x:v>EVT-JB-2026-011</x:v>
      </x:c>
      <x:c r="B12" s="17" t="str">
        <x:v>2026-09-30</x:v>
      </x:c>
      <x:c r="C12" s="17" t="str">
        <x:v>DG-JB-20260930</x:v>
      </x:c>
      <x:c r="D12" s="17" t="str">
        <x:v>Jalan Sungai Chat near SMK Maktab Sultan Abu Bakar</x:v>
      </x:c>
      <x:c r="E12" s="17" t="str">
        <x:v>S2026-011</x:v>
      </x:c>
      <x:c r="F12" s="17" t="str">
        <x:v>Jalan Sungai Chat</x:v>
      </x:c>
      <x:c r="G12" s="17" t="str">
        <x:v>Urban flash flood / inundation</x:v>
      </x:c>
      <x:c r="H12" s="17" t="str">
        <x:v>A/B</x:v>
      </x:c>
      <x:c r="I12" s="17" t="str">
        <x:v>SRC_R2026_UTUSAN_20260930</x:v>
      </x:c>
      <x:c r="J12" s="17" t="str">
        <x:v>SRC_R2026_JPS_20260930</x:v>
      </x:c>
      <x:c r="K12" s="17" t="str">
        <x:v>Exact day</x:v>
      </x:c>
      <x:c r="L12" s="17" t="str">
        <x:v>Road event retained separately from Maktab Sultan Abu Bakar facility event.</x:v>
      </x:c>
    </x:row>
    <x:row r="13">
      <x:c r="A13" s="17" t="str">
        <x:v>EVT-JB-2026-012</x:v>
      </x:c>
      <x:c r="B13" s="17" t="str">
        <x:v>2026-09-30</x:v>
      </x:c>
      <x:c r="C13" s="17" t="str">
        <x:v>DG-JB-20260930</x:v>
      </x:c>
      <x:c r="D13" s="17" t="str">
        <x:v>Wisma Persekutuan Johor Bahru</x:v>
      </x:c>
      <x:c r="E13" s="17" t="str">
        <x:v>S2026-012</x:v>
      </x:c>
      <x:c r="F13" s="17" t="str">
        <x:v>Wisma Persekutuan Johor Bahru</x:v>
      </x:c>
      <x:c r="G13" s="17" t="str">
        <x:v>Urban flash flood / inundation</x:v>
      </x:c>
      <x:c r="H13" s="17" t="str">
        <x:v>A/B</x:v>
      </x:c>
      <x:c r="I13" s="17" t="str">
        <x:v>SRC_R2026_UTUSAN_20260930</x:v>
      </x:c>
      <x:c r="J13" s="17" t="str">
        <x:v>SRC_R2026_SINAR_20260930</x:v>
      </x:c>
      <x:c r="K13" s="17" t="str">
        <x:v>Exact day</x:v>
      </x:c>
      <x:c r="L13" s="17" t="str">
        <x:v>Vehicles reported inundated in the area / car park.</x:v>
      </x:c>
    </x:row>
    <x:row r="14">
      <x:c r="A14" s="17" t="str">
        <x:v>EVT-JB-2026-013</x:v>
      </x:c>
      <x:c r="B14" s="17" t="str">
        <x:v>2026-09-30</x:v>
      </x:c>
      <x:c r="C14" s="17" t="str">
        <x:v>DG-JB-20260930</x:v>
      </x:c>
      <x:c r="D14" s="17" t="str">
        <x:v>Kampung Sri Jaya</x:v>
      </x:c>
      <x:c r="E14" s="17" t="str">
        <x:v>S2026-013</x:v>
      </x:c>
      <x:c r="F14" s="17" t="str">
        <x:v>Kampung Sri Jaya</x:v>
      </x:c>
      <x:c r="G14" s="17" t="str">
        <x:v>Urban flash flood / inundation</x:v>
      </x:c>
      <x:c r="H14" s="17" t="str">
        <x:v>A/B</x:v>
      </x:c>
      <x:c r="I14" s="17" t="str">
        <x:v>SRC_R2026_JPS_20260930</x:v>
      </x:c>
      <x:c r="J14" s="17" t="str"/>
      <x:c r="K14" s="17" t="str">
        <x:v>Exact day</x:v>
      </x:c>
      <x:c r="L14" s="17" t="str">
        <x:v>Official JPS site inspection explicitly describes area as flood-affected.</x:v>
      </x:c>
    </x:row>
    <x:row r="15">
      <x:c r="A15" s="17" t="str">
        <x:v>EVT-JB-2026-014</x:v>
      </x:c>
      <x:c r="B15" s="17" t="str">
        <x:v>2026-09-30</x:v>
      </x:c>
      <x:c r="C15" s="17" t="str">
        <x:v>DG-JB-20260930</x:v>
      </x:c>
      <x:c r="D15" s="17" t="str">
        <x:v>Tadika &amp; Taska Umiku Sayang, Jalan Mohd Amin</x:v>
      </x:c>
      <x:c r="E15" s="17" t="str">
        <x:v>S2026-014</x:v>
      </x:c>
      <x:c r="F15" s="17" t="str">
        <x:v>Tadika &amp; Taska Umiku Sayang, Jalan Mohd Amin</x:v>
      </x:c>
      <x:c r="G15" s="17" t="str">
        <x:v>Urban flash flood / inundation</x:v>
      </x:c>
      <x:c r="H15" s="17" t="str">
        <x:v>A/B</x:v>
      </x:c>
      <x:c r="I15" s="17" t="str">
        <x:v>SRC_R2026_SINAR_RESCUE_20260930</x:v>
      </x:c>
      <x:c r="J15" s="17" t="str">
        <x:v>SRC_R2026_MM_RESCUE_20260930</x:v>
      </x:c>
      <x:c r="K15" s="17" t="str">
        <x:v>Exact day</x:v>
      </x:c>
      <x:c r="L15" s="17" t="str">
        <x:v>37 children and 7 teachers rescued by boat.</x:v>
      </x:c>
    </x:row>
    <x:row r="16">
      <x:c r="A16" s="17" t="str">
        <x:v>EVT-JB-2026-015</x:v>
      </x:c>
      <x:c r="B16" s="17" t="str">
        <x:v>2026-09-30</x:v>
      </x:c>
      <x:c r="C16" s="17" t="str">
        <x:v>DG-JB-20260930</x:v>
      </x:c>
      <x:c r="D16" s="17" t="str">
        <x:v>Kampung Mohd Amin</x:v>
      </x:c>
      <x:c r="E16" s="17" t="str">
        <x:v>S2026-015</x:v>
      </x:c>
      <x:c r="F16" s="17" t="str">
        <x:v>Kampung Mohd Amin</x:v>
      </x:c>
      <x:c r="G16" s="17" t="str">
        <x:v>Urban flash flood / inundation</x:v>
      </x:c>
      <x:c r="H16" s="17" t="str">
        <x:v>A/B</x:v>
      </x:c>
      <x:c r="I16" s="17" t="str">
        <x:v>SRC_R2026_RTM_20261001</x:v>
      </x:c>
      <x:c r="J16" s="17" t="str"/>
      <x:c r="K16" s="17" t="str">
        <x:v>Exact day</x:v>
      </x:c>
      <x:c r="L16" s="17" t="str">
        <x:v>RTM follow-up states four houses in Kampung Amin were affected in the recent flash flood.</x:v>
      </x:c>
    </x:row>
    <x:row r="17">
      <x:c r="A17" s="17" t="str">
        <x:v>EVT-JB-2026-016</x:v>
      </x:c>
      <x:c r="B17" s="17" t="str">
        <x:v>2026-09-30</x:v>
      </x:c>
      <x:c r="C17" s="17" t="str">
        <x:v>DG-JB-20260930</x:v>
      </x:c>
      <x:c r="D17" s="17" t="str">
        <x:v>Holiday Villa Hotel area</x:v>
      </x:c>
      <x:c r="E17" s="17" t="str">
        <x:v>S2026-016</x:v>
      </x:c>
      <x:c r="F17" s="17" t="str">
        <x:v>Holiday Villa Hotel area</x:v>
      </x:c>
      <x:c r="G17" s="17" t="str">
        <x:v>Urban flash flood / inundation</x:v>
      </x:c>
      <x:c r="H17" s="17" t="str">
        <x:v>A/B</x:v>
      </x:c>
      <x:c r="I17" s="17" t="str">
        <x:v>SRC_R2026_MG_CITY_20260930</x:v>
      </x:c>
      <x:c r="J17" s="17" t="str"/>
      <x:c r="K17" s="17" t="str">
        <x:v>Exact day</x:v>
      </x:c>
      <x:c r="L17" s="17" t="str">
        <x:v>Event location from same-day media documentation; exact inundated parcel not frozen.</x:v>
      </x:c>
    </x:row>
    <x:row r="18">
      <x:c r="A18" s="17" t="str">
        <x:v>EVT-JB-2026-017</x:v>
      </x:c>
      <x:c r="B18" s="17" t="str">
        <x:v>2026-09-30</x:v>
      </x:c>
      <x:c r="C18" s="17" t="str">
        <x:v>DG-JB-20260930</x:v>
      </x:c>
      <x:c r="D18" s="17" t="str">
        <x:v>KSL City Mall area</x:v>
      </x:c>
      <x:c r="E18" s="17" t="str">
        <x:v>S2026-017</x:v>
      </x:c>
      <x:c r="F18" s="17" t="str">
        <x:v>KSL City Mall area</x:v>
      </x:c>
      <x:c r="G18" s="17" t="str">
        <x:v>Urban flash flood / inundation</x:v>
      </x:c>
      <x:c r="H18" s="17" t="str">
        <x:v>A/B</x:v>
      </x:c>
      <x:c r="I18" s="17" t="str">
        <x:v>SRC_R2026_MG_CITY_20260930</x:v>
      </x:c>
      <x:c r="J18" s="17" t="str"/>
      <x:c r="K18" s="17" t="str">
        <x:v>Exact day</x:v>
      </x:c>
      <x:c r="L18" s="17" t="str">
        <x:v>Event location from same-day media documentation.</x:v>
      </x:c>
    </x:row>
    <x:row r="19">
      <x:c r="A19" s="17" t="str">
        <x:v>EVT-JB-2026-018</x:v>
      </x:c>
      <x:c r="B19" s="17" t="str">
        <x:v>2026-09-30</x:v>
      </x:c>
      <x:c r="C19" s="17" t="str">
        <x:v>DG-JB-20260930</x:v>
      </x:c>
      <x:c r="D19" s="17" t="str">
        <x:v>Century Garden</x:v>
      </x:c>
      <x:c r="E19" s="17" t="str">
        <x:v>S2026-018</x:v>
      </x:c>
      <x:c r="F19" s="17" t="str">
        <x:v>Century Garden (Taman Abad identity pending)</x:v>
      </x:c>
      <x:c r="G19" s="17" t="str">
        <x:v>Urban flash flood / inundation</x:v>
      </x:c>
      <x:c r="H19" s="17" t="str">
        <x:v>A/B</x:v>
      </x:c>
      <x:c r="I19" s="17" t="str">
        <x:v>SRC_R2026_MG_CITY_20260930</x:v>
      </x:c>
      <x:c r="J19" s="17" t="str"/>
      <x:c r="K19" s="17" t="str">
        <x:v>Exact day</x:v>
      </x:c>
      <x:c r="L19" s="17" t="str">
        <x:v>Common-name relation to Taman Abad is not forced in the spatial key.</x:v>
      </x:c>
    </x:row>
    <x:row r="20">
      <x:c r="A20" s="17" t="str">
        <x:v>EVT-JB-2026-019</x:v>
      </x:c>
      <x:c r="B20" s="17" t="str">
        <x:v>2026-09-30</x:v>
      </x:c>
      <x:c r="C20" s="17" t="str">
        <x:v>DG-JB-20260930</x:v>
      </x:c>
      <x:c r="D20" s="17" t="str">
        <x:v>Danga Bay</x:v>
      </x:c>
      <x:c r="E20" s="17" t="str">
        <x:v>S2026-019</x:v>
      </x:c>
      <x:c r="F20" s="17" t="str">
        <x:v>Danga Bay</x:v>
      </x:c>
      <x:c r="G20" s="17" t="str">
        <x:v>Urban flash flood / inundation</x:v>
      </x:c>
      <x:c r="H20" s="17" t="str">
        <x:v>A/B</x:v>
      </x:c>
      <x:c r="I20" s="17" t="str">
        <x:v>SRC_R2026_MG_CITY_20260930</x:v>
      </x:c>
      <x:c r="J20" s="17" t="str"/>
      <x:c r="K20" s="17" t="str">
        <x:v>Exact day</x:v>
      </x:c>
      <x:c r="L20" s="17" t="str">
        <x:v>Event location from same-day media documentation.</x:v>
      </x:c>
    </x:row>
    <x:row r="21">
      <x:c r="A21" s="17" t="str">
        <x:v>EVT-JB-2026-020</x:v>
      </x:c>
      <x:c r="B21" s="17" t="str">
        <x:v>2026-09-30</x:v>
      </x:c>
      <x:c r="C21" s="17" t="str">
        <x:v>DG-JB-20260930</x:v>
      </x:c>
      <x:c r="D21" s="17" t="str">
        <x:v>Kampung Ubi Bahru</x:v>
      </x:c>
      <x:c r="E21" s="17" t="str">
        <x:v>S2026-020</x:v>
      </x:c>
      <x:c r="F21" s="17" t="str">
        <x:v>Kampung Ubi Baru</x:v>
      </x:c>
      <x:c r="G21" s="17" t="str">
        <x:v>Urban flash flood / inundation</x:v>
      </x:c>
      <x:c r="H21" s="17" t="str">
        <x:v>A/B</x:v>
      </x:c>
      <x:c r="I21" s="17" t="str">
        <x:v>SRC_R2026_MG_CITY_20260930</x:v>
      </x:c>
      <x:c r="J21" s="17" t="str"/>
      <x:c r="K21" s="17" t="str">
        <x:v>Exact day</x:v>
      </x:c>
      <x:c r="L21" s="17" t="str">
        <x:v>Source spelling normalized to official/frozen Kampung Ubi Baru identity.</x:v>
      </x:c>
    </x:row>
    <x:row r="22">
      <x:c r="A22" s="17" t="str">
        <x:v>EVT-JB-2026-021</x:v>
      </x:c>
      <x:c r="B22" s="17" t="str">
        <x:v>2026-09-30</x:v>
      </x:c>
      <x:c r="C22" s="17" t="str">
        <x:v>DG-JB-20260930</x:v>
      </x:c>
      <x:c r="D22" s="17" t="str">
        <x:v>Taman Kolam Air</x:v>
      </x:c>
      <x:c r="E22" s="17" t="str">
        <x:v>S2026-021</x:v>
      </x:c>
      <x:c r="F22" s="17" t="str">
        <x:v>Taman Kolam Air</x:v>
      </x:c>
      <x:c r="G22" s="17" t="str">
        <x:v>Urban flash flood / inundation</x:v>
      </x:c>
      <x:c r="H22" s="17" t="str">
        <x:v>A/B</x:v>
      </x:c>
      <x:c r="I22" s="17" t="str">
        <x:v>SRC_R2026_MG_CITY_20260930</x:v>
      </x:c>
      <x:c r="J22" s="17" t="str"/>
      <x:c r="K22" s="17" t="str">
        <x:v>Exact day</x:v>
      </x:c>
      <x:c r="L22" s="17" t="str">
        <x:v>Retained separately from Jalan Kolam Ayer road-context object.</x:v>
      </x:c>
    </x:row>
    <x:row r="23">
      <x:c r="A23" s="17" t="str">
        <x:v>EVT-JB-2026-022</x:v>
      </x:c>
      <x:c r="B23" s="17" t="str">
        <x:v>2026-09-30</x:v>
      </x:c>
      <x:c r="C23" s="17" t="str">
        <x:v>DG-JB-20260930</x:v>
      </x:c>
      <x:c r="D23" s="17" t="str">
        <x:v>Maktab Sultan Abu Bakar, Jalan Ayer Molek</x:v>
      </x:c>
      <x:c r="E23" s="17" t="str">
        <x:v>S2026-022</x:v>
      </x:c>
      <x:c r="F23" s="17" t="str">
        <x:v>Maktab Sultan Abu Bakar</x:v>
      </x:c>
      <x:c r="G23" s="17" t="str">
        <x:v>Urban flash flood / inundation</x:v>
      </x:c>
      <x:c r="H23" s="17" t="str">
        <x:v>A/B</x:v>
      </x:c>
      <x:c r="I23" s="17" t="str">
        <x:v>SRC_R2026_MG_CITY_20260930</x:v>
      </x:c>
      <x:c r="J23" s="17" t="str">
        <x:v>SRC_R2026_UTUSAN_20260930</x:v>
      </x:c>
      <x:c r="K23" s="17" t="str">
        <x:v>Exact day</x:v>
      </x:c>
      <x:c r="L23" s="17" t="str">
        <x:v>Same-day photo documentation reports deep flooding at the school.</x:v>
      </x:c>
    </x:row>
    <x:row r="24">
      <x:c r="A24" s="17" t="str">
        <x:v>EVT-JB-2026-023</x:v>
      </x:c>
      <x:c r="B24" s="17" t="str">
        <x:v>2026-09-30</x:v>
      </x:c>
      <x:c r="C24" s="17" t="str">
        <x:v>DG-JB-20260930</x:v>
      </x:c>
      <x:c r="D24" s="17" t="str">
        <x:v>Sekolah Agama Bandar, Jalan Yahya Awal</x:v>
      </x:c>
      <x:c r="E24" s="17" t="str">
        <x:v>S2026-023</x:v>
      </x:c>
      <x:c r="F24" s="17" t="str">
        <x:v>Sekolah Agama Bandar, Jalan Yahya Awal</x:v>
      </x:c>
      <x:c r="G24" s="17" t="str">
        <x:v>Urban flash flood / inundation</x:v>
      </x:c>
      <x:c r="H24" s="17" t="str">
        <x:v>A/B</x:v>
      </x:c>
      <x:c r="I24" s="17" t="str">
        <x:v>SRC_R2026_MG_CITY_20260930</x:v>
      </x:c>
      <x:c r="J24" s="17" t="str"/>
      <x:c r="K24" s="17" t="str">
        <x:v>Exact day</x:v>
      </x:c>
      <x:c r="L24" s="17" t="str">
        <x:v>Students were sent home due to flash flood; facility object retained separately from road object.</x:v>
      </x:c>
    </x:row>
  </x:sheetData>
  <x:pageMargins left="0.7" right="0.7" top="0.75" bottom="0.75" header="0.3" footer="0.3"/>
</x:worksheet>
</file>

<file path=xl/worksheets/sheet46.xml><?xml version="1.0" encoding="utf-8"?>
<x:worksheet xmlns:x="http://schemas.openxmlformats.org/spreadsheetml/2006/main">
  <x:sheetFormatPr defaultRowHeight="15"/>
  <x:cols>
    <x:col min="1" max="1" width="24" hidden="0" customWidth="1"/>
    <x:col min="2" max="2" width="24" hidden="0" customWidth="1"/>
    <x:col min="3" max="3" width="26" hidden="0" customWidth="1"/>
    <x:col min="4" max="4" width="20" hidden="0" customWidth="1"/>
    <x:col min="5" max="5" width="96" hidden="0" customWidth="1"/>
  </x:cols>
  <x:sheetData>
    <x:row r="1">
      <x:c r="A1" s="61" t="str">
        <x:v>Dedup_Group_ID</x:v>
      </x:c>
      <x:c r="B1" s="61" t="str">
        <x:v>Event_Date_or_Range</x:v>
      </x:c>
      <x:c r="C1" s="61" t="str">
        <x:v>Event_Type</x:v>
      </x:c>
      <x:c r="D1" s="61" t="str">
        <x:v>Event_Location_Rows</x:v>
      </x:c>
      <x:c r="E1" s="61" t="str">
        <x:v>Episode_Note</x:v>
      </x:c>
    </x:row>
    <x:row r="2">
      <x:c r="A2" s="17" t="str">
        <x:v>DG-JB-20260930</x:v>
      </x:c>
      <x:c r="B2" s="17" t="str">
        <x:v>2026-09-30</x:v>
      </x:c>
      <x:c r="C2" s="17" t="str">
        <x:v>Urban flash flood</x:v>
      </x:c>
      <x:c r="D2" s="17" t="n">
        <x:v>23</x:v>
      </x:c>
      <x:c r="E2" s="17" t="str">
        <x:v>Heavy rain from early afternoon coincided with high tide. Multiple city roads, communities and facilities were affected; flooding generally receded by evening. All rows share one episode ID.</x:v>
      </x:c>
    </x:row>
  </x:sheetData>
  <x:pageMargins left="0.7" right="0.7" top="0.75" bottom="0.75" header="0.3" footer="0.3"/>
</x:worksheet>
</file>

<file path=xl/worksheets/sheet47.xml><?xml version="1.0" encoding="utf-8"?>
<x:worksheet xmlns:x="http://schemas.openxmlformats.org/spreadsheetml/2006/main">
  <x:sheetFormatPr defaultRowHeight="15"/>
  <x:cols>
    <x:col min="1" max="1" width="34" hidden="0" customWidth="1"/>
    <x:col min="2" max="2" width="61" hidden="0" customWidth="1"/>
    <x:col min="3" max="3" width="37" hidden="0" customWidth="1"/>
    <x:col min="4" max="4" width="17" hidden="0" customWidth="1"/>
    <x:col min="5" max="5" width="16" hidden="0" customWidth="1"/>
    <x:col min="6" max="6" width="31" hidden="0" customWidth="1"/>
    <x:col min="7" max="7" width="74" hidden="0" customWidth="1"/>
    <x:col min="8" max="8" width="84" hidden="0" customWidth="1"/>
  </x:cols>
  <x:sheetData>
    <x:row r="1">
      <x:c r="A1" s="61" t="str">
        <x:v>Source_ID</x:v>
      </x:c>
      <x:c r="B1" s="61" t="str">
        <x:v>Source_Title</x:v>
      </x:c>
      <x:c r="C1" s="61" t="str">
        <x:v>Publisher</x:v>
      </x:c>
      <x:c r="D1" s="61" t="str">
        <x:v>Publication_Date</x:v>
      </x:c>
      <x:c r="E1" s="61" t="str">
        <x:v>Reliability_Tier</x:v>
      </x:c>
      <x:c r="F1" s="61" t="str">
        <x:v>Use</x:v>
      </x:c>
      <x:c r="G1" s="61" t="str">
        <x:v>Source_URL</x:v>
      </x:c>
      <x:c r="H1" s="61" t="str">
        <x:v>Evidence_Note</x:v>
      </x:c>
    </x:row>
    <x:row r="2">
      <x:c r="A2" s="17" t="str">
        <x:v>SRC_R2026_JPS_20260930</x:v>
      </x:c>
      <x:c r="B2" s="17" t="str">
        <x:v>Tinjauan Pengarah JPS Negeri Johor di kawasan terjejas banjir kilat</x:v>
      </x:c>
      <x:c r="C2" s="17" t="str">
        <x:v>JPS Negeri Johor</x:v>
      </x:c>
      <x:c r="D2" s="17" t="str">
        <x:v>2026-10-02</x:v>
      </x:c>
      <x:c r="E2" s="17" t="str">
        <x:v>A</x:v>
      </x:c>
      <x:c r="F2" s="17" t="str">
        <x:v>Official affected-location evidence</x:v>
      </x:c>
      <x:c r="G2" s="17" t="str">
        <x:v>https://jps.johor.gov.my/%F0%9D%90%93%F0%9D%90%88%F0%9D%90%8D%F0%9D%90%89%F0%9D%90%80%F0%9D%90%94%F0%9D%90%80%F0%9D%90%8D-%F0%9D%90%8F%F0%9D%90%84%F0%9D%90%8D%F0%9D%90%86%F0%9D%90%80%F0%9D%90%91%F0%9D%90%80%F0%9D%90%87/</x:v>
      </x:c>
      <x:c r="H2" s="17" t="str">
        <x:v>Officially names Kampung Sri Jaya, Kampung Seri Serdang and Sungai Chat as affected on 30 Sep.</x:v>
      </x:c>
    </x:row>
    <x:row r="3">
      <x:c r="A3" s="17" t="str">
        <x:v>SRC_R2026_SINAR_20260930</x:v>
      </x:c>
      <x:c r="B3" s="17" t="str">
        <x:v>Banjir kilat landa Johor Bahru, trafik sesak</x:v>
      </x:c>
      <x:c r="C3" s="17" t="str">
        <x:v>Sinar Harian</x:v>
      </x:c>
      <x:c r="D3" s="17" t="str">
        <x:v>2026-09-30</x:v>
      </x:c>
      <x:c r="E3" s="17" t="str">
        <x:v>B</x:v>
      </x:c>
      <x:c r="F3" s="17" t="str">
        <x:v>Exact same-day affected-location evidence</x:v>
      </x:c>
      <x:c r="G3" s="17" t="str">
        <x:v>https://www.sinarharian.com.my/article/798490/edisi/johor/banjir-kilat-landa-johor-bahru-trafik-sesak</x:v>
      </x:c>
      <x:c r="H3" s="17" t="str">
        <x:v>Names Jalan Kolam Air/Nong Chik, Ayer Molek, Yahya, Pantai, Wong Ah Fook and Kampung Pasir/Tampoi.</x:v>
      </x:c>
    </x:row>
    <x:row r="4">
      <x:c r="A4" s="17" t="str">
        <x:v>SRC_R2026_UTUSAN_20260930</x:v>
      </x:c>
      <x:c r="B4" s="17" t="str">
        <x:v>Beberapa kawasan di Johor Bahru dinaiki air susulan hujan lebat</x:v>
      </x:c>
      <x:c r="C4" s="17" t="str">
        <x:v>Utusan Malaysia</x:v>
      </x:c>
      <x:c r="D4" s="17" t="str">
        <x:v>2026-09-30</x:v>
      </x:c>
      <x:c r="E4" s="17" t="str">
        <x:v>B</x:v>
      </x:c>
      <x:c r="F4" s="17" t="str">
        <x:v>Exact same-day affected-location evidence</x:v>
      </x:c>
      <x:c r="G4" s="17" t="str">
        <x:v>https://www.utusan.com.my/terkini/2026/09/beberapa-kawasan-di-johor-bahru-dinaiki-air-susulan-hujan-lebat/</x:v>
      </x:c>
      <x:c r="H4" s="17" t="str">
        <x:v>Names Tuah Jaya, Taman Perling, Sri Serdang, Hajah Hasnah, Kampung Pasir Tampoi, Jalan Sungai Chat and Wisma Persekutuan; &gt;200 Kampung Pasir houses inundated.</x:v>
      </x:c>
    </x:row>
    <x:row r="5">
      <x:c r="A5" s="17" t="str">
        <x:v>SRC_R2026_MM_20260930</x:v>
      </x:c>
      <x:c r="B5" s="17" t="str">
        <x:v>Several areas in Johor Bahru hit by flash floods following heavy rain</x:v>
      </x:c>
      <x:c r="C5" s="17" t="str">
        <x:v>Malay Mail</x:v>
      </x:c>
      <x:c r="D5" s="17" t="str">
        <x:v>2026-09-30</x:v>
      </x:c>
      <x:c r="E5" s="17" t="str">
        <x:v>B</x:v>
      </x:c>
      <x:c r="F5" s="17" t="str">
        <x:v>Exact same-day affected-road/area evidence</x:v>
      </x:c>
      <x:c r="G5" s="17" t="str">
        <x:v>https://www.malaymail.com/news/malaysia/2026/09/30/several-areas-in-johor-bahru-hit-by-flash-floods-following-heavy-rain-video/237172</x:v>
      </x:c>
      <x:c r="H5" s="17" t="str">
        <x:v>Names Jalan Kolam Air, Ayer Molek, Yahya Awal, Pantai, Wong Ah Fook and reports flooding in parts of Tampoi and Taman Perling; flood receded by about 7 pm.</x:v>
      </x:c>
    </x:row>
    <x:row r="6">
      <x:c r="A6" s="17" t="str">
        <x:v>SRC_R2026_SINAR_RESCUE_20260930</x:v>
      </x:c>
      <x:c r="B6" s="17" t="str">
        <x:v>37 kanak-kanak, 7 guru tadika terperangkap banjir kilat</x:v>
      </x:c>
      <x:c r="C6" s="17" t="str">
        <x:v>Sinar Harian / JBPM</x:v>
      </x:c>
      <x:c r="D6" s="17" t="str">
        <x:v>2026-09-30</x:v>
      </x:c>
      <x:c r="E6" s="17" t="str">
        <x:v>B</x:v>
      </x:c>
      <x:c r="F6" s="17" t="str">
        <x:v>Exact facility rescue evidence</x:v>
      </x:c>
      <x:c r="G6" s="17" t="str">
        <x:v>https://www.sinarharian.com.my/article/798515/edisi/johor/37-kanak-kanak-7-guru-tadika-terperangkap-banjir-kilat</x:v>
      </x:c>
      <x:c r="H6" s="17" t="str">
        <x:v>37 children and seven teachers rescued from a flooded kindergarten/nursery at Jalan Mohd Amin.</x:v>
      </x:c>
    </x:row>
    <x:row r="7">
      <x:c r="A7" s="17" t="str">
        <x:v>SRC_R2026_MM_RESCUE_20260930</x:v>
      </x:c>
      <x:c r="B7" s="17" t="str">
        <x:v>In Johor Bahru, firemen rescue 44 pupils and teachers in kindergarten trapped by flash flood</x:v>
      </x:c>
      <x:c r="C7" s="17" t="str">
        <x:v>Malay Mail / JBPM</x:v>
      </x:c>
      <x:c r="D7" s="17" t="str">
        <x:v>2026-09-30</x:v>
      </x:c>
      <x:c r="E7" s="17" t="str">
        <x:v>B</x:v>
      </x:c>
      <x:c r="F7" s="17" t="str">
        <x:v>Facility rescue corroboration</x:v>
      </x:c>
      <x:c r="G7" s="17" t="str">
        <x:v>https://www.malaymail.com/news/malaysia/2026/09/30/in-johor-bahru-firemen-rescue-44-pupils-and-teachers-in-kindergarten-trapped-by-flash-flood-probably-press-release/237174</x:v>
      </x:c>
      <x:c r="H7" s="17" t="str">
        <x:v>Same 3:53 pm call / same rescue as the Sinar report; deduplicated into one event row.</x:v>
      </x:c>
    </x:row>
    <x:row r="8">
      <x:c r="A8" s="17" t="str">
        <x:v>SRC_R2026_MG_CITY_20260930</x:v>
      </x:c>
      <x:c r="B8" s="17" t="str">
        <x:v>Bandaraya JB dilanda banjir kilat</x:v>
      </x:c>
      <x:c r="C8" s="17" t="str">
        <x:v>MalaysiaGazette</x:v>
      </x:c>
      <x:c r="D8" s="17" t="str">
        <x:v>2026-09-30</x:v>
      </x:c>
      <x:c r="E8" s="17" t="str">
        <x:v>B</x:v>
      </x:c>
      <x:c r="F8" s="17" t="str">
        <x:v>Additional same-day location/facility evidence</x:v>
      </x:c>
      <x:c r="G8" s="17" t="str">
        <x:v>https://malaysiagazette.com/2026/09/30/bandaraya-jb-dilanda-banjir-kilat/</x:v>
      </x:c>
      <x:c r="H8" s="17" t="str">
        <x:v>Names Holiday Villa, KSL, Century Garden, Yahya Awal, Danga Bay, Kampung Ubi Bahru, Jalan Kolam Ayer/Taman Kolam Air; photo evidence for Maktab Sultan Abu Bakar and Sekolah Agama Bandar.</x:v>
      </x:c>
    </x:row>
    <x:row r="9">
      <x:c r="A9" s="17" t="str">
        <x:v>SRC_R2026_RTM_20261001</x:v>
      </x:c>
      <x:c r="B9" s="17" t="str">
        <x:v>Usaha mitigasi banjir MBJB kurangkan jumlah rumah terjejas</x:v>
      </x:c>
      <x:c r="C9" s="17" t="str">
        <x:v>RTM / Johor Exco</x:v>
      </x:c>
      <x:c r="D9" s="17" t="str">
        <x:v>2026-10-01</x:v>
      </x:c>
      <x:c r="E9" s="17" t="str">
        <x:v>A/B</x:v>
      </x:c>
      <x:c r="F9" s="17" t="str">
        <x:v>Post-event community corroboration</x:v>
      </x:c>
      <x:c r="G9" s="17" t="str">
        <x:v>https://berita.rtm.gov.my/nasional/senarai-berita-nasional/senarai-artikel/usaha-mitigasi-banjir-mbjb-kurangkan-jumlah-rumah-terjejas/</x:v>
      </x:c>
      <x:c r="H9" s="17" t="str">
        <x:v>States only four Kampung Amin houses were affected in the recent flash flood after mitigation improvements.</x:v>
      </x:c>
    </x:row>
    <x:row r="10">
      <x:c r="A10" s="17" t="str">
        <x:v>SRC_R2026_SINAR_RAIN_20260930</x:v>
      </x:c>
      <x:c r="B10" s="17" t="str">
        <x:v>RM100 juta sudah dibelanja, namun belum cukup tampung hujan tiga kali ganda - Exco</x:v>
      </x:c>
      <x:c r="C10" s="17" t="str">
        <x:v>Sinar Harian / Johor Exco</x:v>
      </x:c>
      <x:c r="D10" s="17" t="str">
        <x:v>2026-09-30</x:v>
      </x:c>
      <x:c r="E10" s="17" t="str">
        <x:v>A/B</x:v>
      </x:c>
      <x:c r="F10" s="17" t="str">
        <x:v>Event intensity/context</x:v>
      </x:c>
      <x:c r="G10" s="17" t="str">
        <x:v>https://www.sinarharian.com.my/article/798518/edisi/johor/rm100-juta-sudah-dibelanja-namun-belum-cukup-tampung-hujan-tiga-kali-ganda---exco</x:v>
      </x:c>
      <x:c r="H10" s="17" t="str">
        <x:v>Reports ~60 mm/hour rain intensity, ~90 mm accumulated 1–7 pm, and 3.5 m high tide during the event.</x:v>
      </x:c>
    </x:row>
    <x:row r="11">
      <x:c r="A11" s="17" t="str">
        <x:v>SRC_R2026_MDJ_20260930</x:v>
      </x:c>
      <x:c r="B11" s="17" t="str">
        <x:v>Kerajaan Johor perkukuh sistem tebatan banjir</x:v>
      </x:c>
      <x:c r="C11" s="17" t="str">
        <x:v>Media Digital Johor / Johor Government</x:v>
      </x:c>
      <x:c r="D11" s="17" t="str">
        <x:v>2026-09-30</x:v>
      </x:c>
      <x:c r="E11" s="17" t="str">
        <x:v>A</x:v>
      </x:c>
      <x:c r="F11" s="17" t="str">
        <x:v>Post-event mitigation/site-inspection context</x:v>
      </x:c>
      <x:c r="G11" s="17" t="str">
        <x:v>https://mediadigitaljohor.gov.my/kerajaan-johor-perkukuh-sistem-tebatan-banjir/</x:v>
      </x:c>
      <x:c r="H11" s="17" t="str">
        <x:v>Post-event visit mentions Ayer Molek, Tabung Haji area, Kampung Mohd Amin, pump house near Dataran, Jalan Danga opposite Tune Hotel and Dataran area; ambiguous items remain candidates unless independently stated as inundated.</x:v>
      </x:c>
    </x:row>
    <x:row r="12">
      <x:c r="A12" s="17" t="str">
        <x:v>SRC_R2026_NADMA_RESCUE_20261001</x:v>
      </x:c>
      <x:c r="B12" s="17" t="str">
        <x:v>Bomba selamatkan 37 kanak-kanak, 7 guru tadika terperangkap banjir kilat</x:v>
      </x:c>
      <x:c r="C12" s="17" t="str">
        <x:v>NADMA</x:v>
      </x:c>
      <x:c r="D12" s="17" t="str">
        <x:v>2026-10-01</x:v>
      </x:c>
      <x:c r="E12" s="17" t="str">
        <x:v>A/B</x:v>
      </x:c>
      <x:c r="F12" s="17" t="str">
        <x:v>Duplicate publication check</x:v>
      </x:c>
      <x:c r="G12" s="17" t="str">
        <x:v>https://www.nadma.gov.my/bm/media-2/berita/7288-bomba-selamatkan-37-kanak-kanak-7-guru-tadika-terperangkap-banjir-kilat</x:v>
      </x:c>
      <x:c r="H12" s="17" t="str">
        <x:v>Contains the same 3:53 pm Jalan Muhd Amin rescue details as 30 Sep JBPM/news coverage; treated as publication lag, not a new 1 Oct event.</x:v>
      </x:c>
    </x:row>
    <x:row r="13">
      <x:c r="A13" s="17" t="str">
        <x:v>SRC_R2026_RTM_APR26</x:v>
      </x:c>
      <x:c r="B13" s="17" t="str">
        <x:v>Kegagalan kawalan kerja tanah punca banjir kilat di Jalan Kota Tinggi</x:v>
      </x:c>
      <x:c r="C13" s="17" t="str">
        <x:v>RTM / Johor Exco</x:v>
      </x:c>
      <x:c r="D13" s="17" t="str">
        <x:v>2026-04-26</x:v>
      </x:c>
      <x:c r="E13" s="17" t="str">
        <x:v>A/B</x:v>
      </x:c>
      <x:c r="F13" s="17" t="str">
        <x:v>Independent flood event, date unresolved</x:v>
      </x:c>
      <x:c r="G13" s="17" t="str">
        <x:v>https://berita.rtm.gov.my/nasional/senarai-berita-nasional/senarai-artikel/kegagalan-kawalan-kerja-tanah-punca-banjir-kilat-di-jalan-kota-tinggi/</x:v>
      </x:c>
      <x:c r="H13" s="17" t="str">
        <x:v>Confirms a recent flash flood at Jalan Kota Tinggi (FT003), Ulu Tiram and explains development/sediment causes; exact event day not stated.</x:v>
      </x:c>
    </x:row>
    <x:row r="14">
      <x:c r="A14" s="17" t="str">
        <x:v>SRC_R2026_BERNAMA_APR22</x:v>
      </x:c>
      <x:c r="B14" s="17" t="str">
        <x:v>Johor Ambil Tindakan Tegas, Keluar Notis Henti Kerja Terhadap Pemaju Punca Banjir</x:v>
      </x:c>
      <x:c r="C14" s="17" t="str">
        <x:v>Bernama / Johor Government</x:v>
      </x:c>
      <x:c r="D14" s="17" t="str">
        <x:v>2026-04-22</x:v>
      </x:c>
      <x:c r="E14" s="17" t="str">
        <x:v>A/B</x:v>
      </x:c>
      <x:c r="F14" s="17" t="str">
        <x:v>April flood/cause corroboration</x:v>
      </x:c>
      <x:c r="G14" s="17" t="str">
        <x:v>https://www.bernama.com/bm/news.php?id=2548227</x:v>
      </x:c>
      <x:c r="H14" s="17" t="str">
        <x:v>Confirms flooding in Johor Bahru/Kulai linked to two developments; public report does not identify the exact Johor Bahru site/date.</x:v>
      </x:c>
    </x:row>
    <x:row r="15">
      <x:c r="A15" s="17" t="str">
        <x:v>SRC_R2026_MG_JUL07</x:v>
      </x:c>
      <x:c r="B15" s="17" t="str">
        <x:v>Projek tebatan belum siap, Rashifa bimbang penduduk Puteri Wangsa berdepan banjir</x:v>
      </x:c>
      <x:c r="C15" s="17" t="str">
        <x:v>MalaysiaGazette</x:v>
      </x:c>
      <x:c r="D15" s="17" t="str">
        <x:v>2026-07-07</x:v>
      </x:c>
      <x:c r="E15" s="17" t="str">
        <x:v>C</x:v>
      </x:c>
      <x:c r="F15" s="17" t="str">
        <x:v>Risk/context only</x:v>
      </x:c>
      <x:c r="G15" s="17" t="str">
        <x:v>https://malaysiagazette.com/2026/07/07/projek-tebatan-belum-siap-rashifa-bimbang-penduduk-puteri-wangsa-berdepan-banjir/</x:v>
      </x:c>
      <x:c r="H15" s="17" t="str">
        <x:v>Documents high-tide/flood-risk concern at Kampung Paya Kenangan and incomplete mitigation works; no confirmed inundation event is stated.</x:v>
      </x:c>
    </x:row>
  </x:sheetData>
  <x:pageMargins left="0.7" right="0.7" top="0.75" bottom="0.75" header="0.3" footer="0.3"/>
</x:worksheet>
</file>

<file path=xl/worksheets/sheet48.xml><?xml version="1.0" encoding="utf-8"?>
<x:worksheet xmlns:x="http://schemas.openxmlformats.org/spreadsheetml/2006/main">
  <x:sheetFormatPr defaultRowHeight="15"/>
  <x:cols>
    <x:col min="1" max="1" width="16" hidden="0" customWidth="1"/>
    <x:col min="2" max="2" width="54" hidden="0" customWidth="1"/>
    <x:col min="3" max="3" width="25" hidden="0" customWidth="1"/>
    <x:col min="4" max="4" width="16" hidden="0" customWidth="1"/>
    <x:col min="5" max="5" width="17" hidden="0" customWidth="1"/>
    <x:col min="6" max="6" width="17" hidden="0" customWidth="1"/>
    <x:col min="7" max="7" width="55" hidden="0" customWidth="1"/>
    <x:col min="8" max="8" width="45" hidden="0" customWidth="1"/>
    <x:col min="9" max="9" width="30" hidden="0" customWidth="1"/>
    <x:col min="10" max="10" width="76" hidden="0" customWidth="1"/>
    <x:col min="11" max="11" width="74" hidden="0" customWidth="1"/>
    <x:col min="12" max="12" width="17" hidden="0" customWidth="1"/>
  </x:cols>
  <x:sheetData>
    <x:row r="1">
      <x:c r="A1" s="61" t="str">
        <x:v>Spatial_Object_Key</x:v>
      </x:c>
      <x:c r="B1" s="61" t="str">
        <x:v>Canonical_Name</x:v>
      </x:c>
      <x:c r="C1" s="61" t="str">
        <x:v>Object_Type</x:v>
      </x:c>
      <x:c r="D1" s="61" t="str">
        <x:v>Point_GIS_Ready</x:v>
      </x:c>
      <x:c r="E1" s="61" t="str">
        <x:v>Longitude_WGS84</x:v>
      </x:c>
      <x:c r="F1" s="61" t="str">
        <x:v>Latitude_WGS84</x:v>
      </x:c>
      <x:c r="G1" s="61" t="str">
        <x:v>Point_Source</x:v>
      </x:c>
      <x:c r="H1" s="61" t="str">
        <x:v>Geometry_Status</x:v>
      </x:c>
      <x:c r="I1" s="61" t="str">
        <x:v>Polygon_ID</x:v>
      </x:c>
      <x:c r="J1" s="61" t="str">
        <x:v>Key_Conflict_or_Gap</x:v>
      </x:c>
      <x:c r="K1" s="61" t="str">
        <x:v>Next_Spatial_Action</x:v>
      </x:c>
      <x:c r="L1" s="61" t="str">
        <x:v>Event_Count_2026</x:v>
      </x:c>
    </x:row>
    <x:row r="2">
      <x:c r="A2" s="17" t="str">
        <x:v>S2026-001</x:v>
      </x:c>
      <x:c r="B2" s="17" t="str">
        <x:v>Jalan Kolam Ayer / Nong Chik context</x:v>
      </x:c>
      <x:c r="C2" s="17" t="str">
        <x:v>ROAD/ROAD CONTEXT</x:v>
      </x:c>
      <x:c r="D2" s="24" t="b">
        <x:v>1</x:v>
      </x:c>
      <x:c r="E2" s="17" t="n">
        <x:v>103.7220526</x:v>
      </x:c>
      <x:c r="F2" s="17" t="n">
        <x:v>1.4823854</x:v>
      </x:c>
      <x:c r="G2" s="17" t="str">
        <x:v>Frozen HF02 Jalan Kolam Ayer reference; Nong Chik context retained in label</x:v>
      </x:c>
      <x:c r="H2" s="17" t="str">
        <x:v>POINT_REFERENCE; ROAD_SEGMENT_OPEN</x:v>
      </x:c>
      <x:c r="I2" s="17" t="str"/>
      <x:c r="J2" s="17" t="str">
        <x:v>Road/context is event-valid; exact flooded start/end segment is not frozen.</x:v>
      </x:c>
      <x:c r="K2" s="17" t="str">
        <x:v>Recover event-specific road segment geometry; do not buffer whole road.</x:v>
      </x:c>
      <x:c r="L2" s="17" t="n">
        <x:f>COUNTIF('44_2026_Event_Master'!$E$2:$E$24,A2)</x:f>
        <x:v>1</x:v>
      </x:c>
    </x:row>
    <x:row r="3">
      <x:c r="A3" s="17" t="str">
        <x:v>S2026-002</x:v>
      </x:c>
      <x:c r="B3" s="17" t="str">
        <x:v>Jalan Ayer Molek</x:v>
      </x:c>
      <x:c r="C3" s="17" t="str">
        <x:v>ROAD/ROAD CONTEXT</x:v>
      </x:c>
      <x:c r="D3" s="24" t="b">
        <x:v>1</x:v>
      </x:c>
      <x:c r="E3" s="17" t="n">
        <x:v>103.7587117</x:v>
      </x:c>
      <x:c r="F3" s="17" t="n">
        <x:v>1.4594963</x:v>
      </x:c>
      <x:c r="G3" s="17" t="str">
        <x:v>Frozen HF01 reference point</x:v>
      </x:c>
      <x:c r="H3" s="17" t="str">
        <x:v>POINT_REFERENCE; ROAD_SEGMENT_OPEN</x:v>
      </x:c>
      <x:c r="I3" s="17" t="str"/>
      <x:c r="J3" s="17" t="str">
        <x:v>Road/context is event-valid; exact flooded start/end segment is not frozen.</x:v>
      </x:c>
      <x:c r="K3" s="17" t="str">
        <x:v>Recover event-specific road segment geometry; do not buffer whole road.</x:v>
      </x:c>
      <x:c r="L3" s="17" t="n">
        <x:f>COUNTIF('44_2026_Event_Master'!$E$2:$E$24,A3)</x:f>
        <x:v>1</x:v>
      </x:c>
    </x:row>
    <x:row r="4">
      <x:c r="A4" s="17" t="str">
        <x:v>S2026-003</x:v>
      </x:c>
      <x:c r="B4" s="17" t="str">
        <x:v>Jalan Yahya Awal</x:v>
      </x:c>
      <x:c r="C4" s="17" t="str">
        <x:v>ROAD/ROAD CONTEXT</x:v>
      </x:c>
      <x:c r="D4" s="24" t="b">
        <x:v>1</x:v>
      </x:c>
      <x:c r="E4" s="17" t="n">
        <x:v>103.7553464</x:v>
      </x:c>
      <x:c r="F4" s="17" t="n">
        <x:v>1.4633725</x:v>
      </x:c>
      <x:c r="G4" s="17" t="str">
        <x:v>Frozen HF07 reference point</x:v>
      </x:c>
      <x:c r="H4" s="17" t="str">
        <x:v>POINT_REFERENCE; ROAD_SEGMENT_OPEN</x:v>
      </x:c>
      <x:c r="I4" s="17" t="str"/>
      <x:c r="J4" s="17" t="str">
        <x:v>Road/context is event-valid; exact flooded start/end segment is not frozen.</x:v>
      </x:c>
      <x:c r="K4" s="17" t="str">
        <x:v>Recover event-specific road segment geometry; do not buffer whole road.</x:v>
      </x:c>
      <x:c r="L4" s="17" t="n">
        <x:f>COUNTIF('44_2026_Event_Master'!$E$2:$E$24,A4)</x:f>
        <x:v>1</x:v>
      </x:c>
    </x:row>
    <x:row r="5">
      <x:c r="A5" s="17" t="str">
        <x:v>S2026-004</x:v>
      </x:c>
      <x:c r="B5" s="17" t="str">
        <x:v>Jalan Pantai</x:v>
      </x:c>
      <x:c r="C5" s="17" t="str">
        <x:v>ROAD/ROAD CONTEXT</x:v>
      </x:c>
      <x:c r="D5" s="24" t="b">
        <x:v>0</x:v>
      </x:c>
      <x:c r="E5" s="17"/>
      <x:c r="F5" s="17"/>
      <x:c r="G5" s="17" t="str"/>
      <x:c r="H5" s="17" t="str">
        <x:v>ROAD_SEGMENT_OPEN</x:v>
      </x:c>
      <x:c r="I5" s="17" t="str"/>
      <x:c r="J5" s="17" t="str">
        <x:v>Road/context is event-valid; exact flooded start/end segment is not frozen.</x:v>
      </x:c>
      <x:c r="K5" s="17" t="str">
        <x:v>Recover event-specific road segment geometry; do not buffer whole road.</x:v>
      </x:c>
      <x:c r="L5" s="17" t="n">
        <x:f>COUNTIF('44_2026_Event_Master'!$E$2:$E$24,A5)</x:f>
        <x:v>1</x:v>
      </x:c>
    </x:row>
    <x:row r="6">
      <x:c r="A6" s="17" t="str">
        <x:v>S2026-005</x:v>
      </x:c>
      <x:c r="B6" s="17" t="str">
        <x:v>Jalan Wong Ah Fook</x:v>
      </x:c>
      <x:c r="C6" s="17" t="str">
        <x:v>ROAD/ROAD CONTEXT</x:v>
      </x:c>
      <x:c r="D6" s="24" t="b">
        <x:v>1</x:v>
      </x:c>
      <x:c r="E6" s="17" t="n">
        <x:v>103.7656178</x:v>
      </x:c>
      <x:c r="F6" s="17" t="n">
        <x:v>1.4576093</x:v>
      </x:c>
      <x:c r="G6" s="17" t="str">
        <x:v>Frozen HF32 reference point</x:v>
      </x:c>
      <x:c r="H6" s="17" t="str">
        <x:v>POINT_REFERENCE; ROAD_SEGMENT_OPEN</x:v>
      </x:c>
      <x:c r="I6" s="17" t="str"/>
      <x:c r="J6" s="17" t="str">
        <x:v>Road/context is event-valid; exact flooded start/end segment is not frozen.</x:v>
      </x:c>
      <x:c r="K6" s="17" t="str">
        <x:v>Recover event-specific road segment geometry; do not buffer whole road.</x:v>
      </x:c>
      <x:c r="L6" s="17" t="n">
        <x:f>COUNTIF('44_2026_Event_Master'!$E$2:$E$24,A6)</x:f>
        <x:v>1</x:v>
      </x:c>
    </x:row>
    <x:row r="7">
      <x:c r="A7" s="17" t="str">
        <x:v>S2026-006</x:v>
      </x:c>
      <x:c r="B7" s="17" t="str">
        <x:v>Kampung Pasir</x:v>
      </x:c>
      <x:c r="C7" s="17" t="str">
        <x:v>COMMUNITY/AREA</x:v>
      </x:c>
      <x:c r="D7" s="24" t="b">
        <x:v>1</x:v>
      </x:c>
      <x:c r="E7" s="17" t="n">
        <x:v>103.6969651</x:v>
      </x:c>
      <x:c r="F7" s="17" t="n">
        <x:v>1.4955303</x:v>
      </x:c>
      <x:c r="G7" s="17" t="str">
        <x:v>Frozen HF14 reference point</x:v>
      </x:c>
      <x:c r="H7" s="17" t="str">
        <x:v>POINT_READY; POLYGON_OPEN</x:v>
      </x:c>
      <x:c r="I7" s="17" t="str"/>
      <x:c r="J7" s="17" t="str">
        <x:v>Representative point is defensible; exact event/community polygon is not frozen.</x:v>
      </x:c>
      <x:c r="K7" s="17" t="str">
        <x:v>Seek exact named closed boundary; do not treat representative point as inundation extent.</x:v>
      </x:c>
      <x:c r="L7" s="17" t="n">
        <x:f>COUNTIF('44_2026_Event_Master'!$E$2:$E$24,A7)</x:f>
        <x:v>1</x:v>
      </x:c>
    </x:row>
    <x:row r="8">
      <x:c r="A8" s="17" t="str">
        <x:v>S2026-007</x:v>
      </x:c>
      <x:c r="B8" s="17" t="str">
        <x:v>Kampung Tuah Jaya</x:v>
      </x:c>
      <x:c r="C8" s="17" t="str">
        <x:v>COMMUNITY/AREA</x:v>
      </x:c>
      <x:c r="D8" s="24" t="b">
        <x:v>1</x:v>
      </x:c>
      <x:c r="E8" s="17" t="n">
        <x:v>103.676291505005</x:v>
      </x:c>
      <x:c r="F8" s="17" t="n">
        <x:v>1.47868675</x:v>
      </x:c>
      <x:c r="G8" s="17" t="str">
        <x:v>Frozen 2017/policy exact OSM point</x:v>
      </x:c>
      <x:c r="H8" s="17" t="str">
        <x:v>REUSED_CLOSED</x:v>
      </x:c>
      <x:c r="I8" s="17" t="str">
        <x:v>PG2017-TUAH-JAYA</x:v>
      </x:c>
      <x:c r="J8" s="17" t="str">
        <x:v>Exact named community analysis polygon already frozen; not an observed inundation footprint.</x:v>
      </x:c>
      <x:c r="K8" s="17" t="str">
        <x:v>Reuse only as parent-community analysis context.</x:v>
      </x:c>
      <x:c r="L8" s="17" t="n">
        <x:f>COUNTIF('44_2026_Event_Master'!$E$2:$E$24,A8)</x:f>
        <x:v>1</x:v>
      </x:c>
    </x:row>
    <x:row r="9">
      <x:c r="A9" s="17" t="str">
        <x:v>S2026-008</x:v>
      </x:c>
      <x:c r="B9" s="17" t="str">
        <x:v>Taman Perling</x:v>
      </x:c>
      <x:c r="C9" s="17" t="str">
        <x:v>AREA/RESIDENTIAL</x:v>
      </x:c>
      <x:c r="D9" s="24" t="b">
        <x:v>0</x:v>
      </x:c>
      <x:c r="E9" s="17"/>
      <x:c r="F9" s="17"/>
      <x:c r="G9" s="17" t="str"/>
      <x:c r="H9" s="17" t="str">
        <x:v>POINT_OPEN; POLYGON_OPEN</x:v>
      </x:c>
      <x:c r="I9" s="17" t="str"/>
      <x:c r="J9" s="17" t="str">
        <x:v>Event identity is valid but no strict traceable WGS84 point/boundary is frozen in this pass.</x:v>
      </x:c>
      <x:c r="K9" s="17" t="str">
        <x:v>Resolve official/open-geodata point or named boundary before GIS closure.</x:v>
      </x:c>
      <x:c r="L9" s="17" t="n">
        <x:f>COUNTIF('44_2026_Event_Master'!$E$2:$E$24,A9)</x:f>
        <x:v>1</x:v>
      </x:c>
    </x:row>
    <x:row r="10">
      <x:c r="A10" s="17" t="str">
        <x:v>S2026-009</x:v>
      </x:c>
      <x:c r="B10" s="17" t="str">
        <x:v>Kampung Seri Serdang</x:v>
      </x:c>
      <x:c r="C10" s="17" t="str">
        <x:v>COMMUNITY/AREA</x:v>
      </x:c>
      <x:c r="D10" s="24" t="b">
        <x:v>1</x:v>
      </x:c>
      <x:c r="E10" s="17" t="n">
        <x:v>103.6919335</x:v>
      </x:c>
      <x:c r="F10" s="17" t="n">
        <x:v>1.5017487</x:v>
      </x:c>
      <x:c r="G10" s="17" t="str">
        <x:v>Frozen HF15 Kampung Sri Serdang reference</x:v>
      </x:c>
      <x:c r="H10" s="17" t="str">
        <x:v>POINT_READY; POLYGON_OPEN</x:v>
      </x:c>
      <x:c r="I10" s="17" t="str"/>
      <x:c r="J10" s="17" t="str">
        <x:v>Representative point is defensible; exact event/community polygon is not frozen.</x:v>
      </x:c>
      <x:c r="K10" s="17" t="str">
        <x:v>Seek exact named closed boundary; do not treat representative point as inundation extent.</x:v>
      </x:c>
      <x:c r="L10" s="17" t="n">
        <x:f>COUNTIF('44_2026_Event_Master'!$E$2:$E$24,A10)</x:f>
        <x:v>1</x:v>
      </x:c>
    </x:row>
    <x:row r="11">
      <x:c r="A11" s="17" t="str">
        <x:v>S2026-010</x:v>
      </x:c>
      <x:c r="B11" s="17" t="str">
        <x:v>Kampung Hajah Hasnah</x:v>
      </x:c>
      <x:c r="C11" s="17" t="str">
        <x:v>COMMUNITY/AREA</x:v>
      </x:c>
      <x:c r="D11" s="24" t="b">
        <x:v>0</x:v>
      </x:c>
      <x:c r="E11" s="17"/>
      <x:c r="F11" s="17"/>
      <x:c r="G11" s="17" t="str"/>
      <x:c r="H11" s="17" t="str">
        <x:v>IDENTITY_VALID; LINK_PENDING; POINT/POLYGON_OPEN</x:v>
      </x:c>
      <x:c r="I11" s="17" t="str"/>
      <x:c r="J11" s="17" t="str">
        <x:v>2026 source names Kampung Hajah Hasnah; do not silently merge with 2023 Kampung Dato Hajah Hasnah Majidee.</x:v>
      </x:c>
      <x:c r="K11" s="17" t="str">
        <x:v>Resolve locality identity/link independently.</x:v>
      </x:c>
      <x:c r="L11" s="17" t="n">
        <x:f>COUNTIF('44_2026_Event_Master'!$E$2:$E$24,A11)</x:f>
        <x:v>1</x:v>
      </x:c>
    </x:row>
    <x:row r="12">
      <x:c r="A12" s="17" t="str">
        <x:v>S2026-011</x:v>
      </x:c>
      <x:c r="B12" s="17" t="str">
        <x:v>Jalan Sungai Chat</x:v>
      </x:c>
      <x:c r="C12" s="17" t="str">
        <x:v>ROAD/ROAD CONTEXT</x:v>
      </x:c>
      <x:c r="D12" s="24" t="b">
        <x:v>1</x:v>
      </x:c>
      <x:c r="E12" s="17" t="n">
        <x:v>103.7385575</x:v>
      </x:c>
      <x:c r="F12" s="17" t="n">
        <x:v>1.4609922</x:v>
      </x:c>
      <x:c r="G12" s="17" t="str">
        <x:v>Frozen HF04 reference point</x:v>
      </x:c>
      <x:c r="H12" s="17" t="str">
        <x:v>POINT_REFERENCE; ROAD_SEGMENT_OPEN</x:v>
      </x:c>
      <x:c r="I12" s="17" t="str"/>
      <x:c r="J12" s="17" t="str">
        <x:v>Road/context is event-valid; exact flooded start/end segment is not frozen.</x:v>
      </x:c>
      <x:c r="K12" s="17" t="str">
        <x:v>Recover event-specific road segment geometry; do not buffer whole road.</x:v>
      </x:c>
      <x:c r="L12" s="17" t="n">
        <x:f>COUNTIF('44_2026_Event_Master'!$E$2:$E$24,A12)</x:f>
        <x:v>1</x:v>
      </x:c>
    </x:row>
    <x:row r="13">
      <x:c r="A13" s="17" t="str">
        <x:v>S2026-012</x:v>
      </x:c>
      <x:c r="B13" s="17" t="str">
        <x:v>Wisma Persekutuan Johor Bahru</x:v>
      </x:c>
      <x:c r="C13" s="17" t="str">
        <x:v>FACILITY/POI</x:v>
      </x:c>
      <x:c r="D13" s="24" t="b">
        <x:v>0</x:v>
      </x:c>
      <x:c r="E13" s="17"/>
      <x:c r="F13" s="17"/>
      <x:c r="G13" s="17" t="str"/>
      <x:c r="H13" s="17" t="str">
        <x:v>FACILITY/AREA_EVENT_VALID; POINT/POLYGON_OPEN</x:v>
      </x:c>
      <x:c r="I13" s="17" t="str"/>
      <x:c r="J13" s="17" t="str">
        <x:v>Flooding/vehicle inundation documented around the federal building area; exact affected car-park footprint not frozen.</x:v>
      </x:c>
      <x:c r="K13" s="17" t="str">
        <x:v>Resolve facility/parking-area geometry if analytically required.</x:v>
      </x:c>
      <x:c r="L13" s="17" t="n">
        <x:f>COUNTIF('44_2026_Event_Master'!$E$2:$E$24,A13)</x:f>
        <x:v>1</x:v>
      </x:c>
    </x:row>
    <x:row r="14">
      <x:c r="A14" s="17" t="str">
        <x:v>S2026-013</x:v>
      </x:c>
      <x:c r="B14" s="17" t="str">
        <x:v>Kampung Sri Jaya</x:v>
      </x:c>
      <x:c r="C14" s="17" t="str">
        <x:v>COMMUNITY/AREA</x:v>
      </x:c>
      <x:c r="D14" s="24" t="b">
        <x:v>0</x:v>
      </x:c>
      <x:c r="E14" s="17"/>
      <x:c r="F14" s="17"/>
      <x:c r="G14" s="17" t="str"/>
      <x:c r="H14" s="17" t="str">
        <x:v>OFFICIAL_EVENT_VALID; POINT/POLYGON_OPEN</x:v>
      </x:c>
      <x:c r="I14" s="17" t="str"/>
      <x:c r="J14" s="17" t="str">
        <x:v>JPS officially names Kampung Sri Jaya as affected; do not merge with Kampung Seri Jaya Baru without identity evidence.</x:v>
      </x:c>
      <x:c r="K14" s="17" t="str">
        <x:v>Resolve exact locality point/boundary.</x:v>
      </x:c>
      <x:c r="L14" s="17" t="n">
        <x:f>COUNTIF('44_2026_Event_Master'!$E$2:$E$24,A14)</x:f>
        <x:v>1</x:v>
      </x:c>
    </x:row>
    <x:row r="15">
      <x:c r="A15" s="17" t="str">
        <x:v>S2026-014</x:v>
      </x:c>
      <x:c r="B15" s="17" t="str">
        <x:v>Tadika &amp; Taska Umiku Sayang, Jalan Mohd Amin</x:v>
      </x:c>
      <x:c r="C15" s="17" t="str">
        <x:v>FACILITY/POI</x:v>
      </x:c>
      <x:c r="D15" s="24" t="b">
        <x:v>0</x:v>
      </x:c>
      <x:c r="E15" s="17"/>
      <x:c r="F15" s="17"/>
      <x:c r="G15" s="17" t="str"/>
      <x:c r="H15" s="17" t="str">
        <x:v>FACILITY_EVENT_VALID; POINT/POLYGON_OPEN</x:v>
      </x:c>
      <x:c r="I15" s="17" t="str"/>
      <x:c r="J15" s="17" t="str">
        <x:v>Exact kindergarten/nursery facility is known by name/address, but a defensible building footprint is not frozen in this pass.</x:v>
      </x:c>
      <x:c r="K15" s="17" t="str">
        <x:v>Resolve exact facility footprint if required for accessibility/facility analysis.</x:v>
      </x:c>
      <x:c r="L15" s="17" t="n">
        <x:f>COUNTIF('44_2026_Event_Master'!$E$2:$E$24,A15)</x:f>
        <x:v>1</x:v>
      </x:c>
    </x:row>
    <x:row r="16">
      <x:c r="A16" s="17" t="str">
        <x:v>S2026-015</x:v>
      </x:c>
      <x:c r="B16" s="17" t="str">
        <x:v>Kampung Mohd Amin</x:v>
      </x:c>
      <x:c r="C16" s="17" t="str">
        <x:v>COMMUNITY/AREA</x:v>
      </x:c>
      <x:c r="D16" s="24" t="b">
        <x:v>1</x:v>
      </x:c>
      <x:c r="E16" s="17" t="n">
        <x:v>103.7354126</x:v>
      </x:c>
      <x:c r="F16" s="17" t="n">
        <x:v>1.4673637</x:v>
      </x:c>
      <x:c r="G16" s="17" t="str">
        <x:v>Frozen HF08 reference point</x:v>
      </x:c>
      <x:c r="H16" s="17" t="str">
        <x:v>POINT_READY; POLYGON_OPEN</x:v>
      </x:c>
      <x:c r="I16" s="17" t="str"/>
      <x:c r="J16" s="17" t="str">
        <x:v>Representative point is defensible; exact event/community polygon is not frozen.</x:v>
      </x:c>
      <x:c r="K16" s="17" t="str">
        <x:v>Seek exact named closed boundary; do not treat representative point as inundation extent.</x:v>
      </x:c>
      <x:c r="L16" s="17" t="n">
        <x:f>COUNTIF('44_2026_Event_Master'!$E$2:$E$24,A16)</x:f>
        <x:v>1</x:v>
      </x:c>
    </x:row>
    <x:row r="17">
      <x:c r="A17" s="17" t="str">
        <x:v>S2026-016</x:v>
      </x:c>
      <x:c r="B17" s="17" t="str">
        <x:v>Holiday Villa Hotel area</x:v>
      </x:c>
      <x:c r="C17" s="17" t="str">
        <x:v>FACILITY/POI</x:v>
      </x:c>
      <x:c r="D17" s="24" t="b">
        <x:v>0</x:v>
      </x:c>
      <x:c r="E17" s="17"/>
      <x:c r="F17" s="17"/>
      <x:c r="G17" s="17" t="str"/>
      <x:c r="H17" s="17" t="str">
        <x:v>POINT_OPEN; POLYGON_OPEN</x:v>
      </x:c>
      <x:c r="I17" s="17" t="str"/>
      <x:c r="J17" s="17" t="str">
        <x:v>Event identity is valid but no strict traceable WGS84 point/boundary is frozen in this pass.</x:v>
      </x:c>
      <x:c r="K17" s="17" t="str">
        <x:v>Resolve official/open-geodata point or named boundary before GIS closure.</x:v>
      </x:c>
      <x:c r="L17" s="17" t="n">
        <x:f>COUNTIF('44_2026_Event_Master'!$E$2:$E$24,A17)</x:f>
        <x:v>1</x:v>
      </x:c>
    </x:row>
    <x:row r="18">
      <x:c r="A18" s="17" t="str">
        <x:v>S2026-017</x:v>
      </x:c>
      <x:c r="B18" s="17" t="str">
        <x:v>KSL City Mall area</x:v>
      </x:c>
      <x:c r="C18" s="17" t="str">
        <x:v>FACILITY/POI</x:v>
      </x:c>
      <x:c r="D18" s="24" t="b">
        <x:v>0</x:v>
      </x:c>
      <x:c r="E18" s="17"/>
      <x:c r="F18" s="17"/>
      <x:c r="G18" s="17" t="str"/>
      <x:c r="H18" s="17" t="str">
        <x:v>POINT_OPEN; POLYGON_OPEN</x:v>
      </x:c>
      <x:c r="I18" s="17" t="str"/>
      <x:c r="J18" s="17" t="str">
        <x:v>Event identity is valid but no strict traceable WGS84 point/boundary is frozen in this pass.</x:v>
      </x:c>
      <x:c r="K18" s="17" t="str">
        <x:v>Resolve official/open-geodata point or named boundary before GIS closure.</x:v>
      </x:c>
      <x:c r="L18" s="17" t="n">
        <x:f>COUNTIF('44_2026_Event_Master'!$E$2:$E$24,A18)</x:f>
        <x:v>1</x:v>
      </x:c>
    </x:row>
    <x:row r="19">
      <x:c r="A19" s="17" t="str">
        <x:v>S2026-018</x:v>
      </x:c>
      <x:c r="B19" s="17" t="str">
        <x:v>Century Garden (Taman Abad identity pending)</x:v>
      </x:c>
      <x:c r="C19" s="17" t="str">
        <x:v>AREA/RESIDENTIAL</x:v>
      </x:c>
      <x:c r="D19" s="24" t="b">
        <x:v>0</x:v>
      </x:c>
      <x:c r="E19" s="17"/>
      <x:c r="F19" s="17"/>
      <x:c r="G19" s="17" t="str"/>
      <x:c r="H19" s="17" t="str">
        <x:v>IDENTITY_ALIAS_CANDIDATE; POINT/POLYGON_OPEN</x:v>
      </x:c>
      <x:c r="I19" s="17" t="str"/>
      <x:c r="J19" s="17" t="str">
        <x:v>Century Garden is commonly associated with Taman Abad, but the database does not force that alias without a traceable spatial source.</x:v>
      </x:c>
      <x:c r="K19" s="17" t="str">
        <x:v>Resolve canonical alias and neighbourhood boundary.</x:v>
      </x:c>
      <x:c r="L19" s="17" t="n">
        <x:f>COUNTIF('44_2026_Event_Master'!$E$2:$E$24,A19)</x:f>
        <x:v>1</x:v>
      </x:c>
    </x:row>
    <x:row r="20">
      <x:c r="A20" s="17" t="str">
        <x:v>S2026-019</x:v>
      </x:c>
      <x:c r="B20" s="17" t="str">
        <x:v>Danga Bay</x:v>
      </x:c>
      <x:c r="C20" s="17" t="str">
        <x:v>AREA/RESIDENTIAL</x:v>
      </x:c>
      <x:c r="D20" s="24" t="b">
        <x:v>0</x:v>
      </x:c>
      <x:c r="E20" s="17"/>
      <x:c r="F20" s="17"/>
      <x:c r="G20" s="17" t="str"/>
      <x:c r="H20" s="17" t="str">
        <x:v>POINT_OPEN; POLYGON_OPEN</x:v>
      </x:c>
      <x:c r="I20" s="17" t="str"/>
      <x:c r="J20" s="17" t="str">
        <x:v>Event identity is valid but no strict traceable WGS84 point/boundary is frozen in this pass.</x:v>
      </x:c>
      <x:c r="K20" s="17" t="str">
        <x:v>Resolve official/open-geodata point or named boundary before GIS closure.</x:v>
      </x:c>
      <x:c r="L20" s="17" t="n">
        <x:f>COUNTIF('44_2026_Event_Master'!$E$2:$E$24,A20)</x:f>
        <x:v>1</x:v>
      </x:c>
    </x:row>
    <x:row r="21">
      <x:c r="A21" s="17" t="str">
        <x:v>S2026-020</x:v>
      </x:c>
      <x:c r="B21" s="17" t="str">
        <x:v>Kampung Ubi Baru</x:v>
      </x:c>
      <x:c r="C21" s="17" t="str">
        <x:v>COMMUNITY/AREA</x:v>
      </x:c>
      <x:c r="D21" s="24" t="b">
        <x:v>1</x:v>
      </x:c>
      <x:c r="E21" s="17" t="n">
        <x:v>103.75707329</x:v>
      </x:c>
      <x:c r="F21" s="17" t="n">
        <x:v>1.5191611</x:v>
      </x:c>
      <x:c r="G21" s="17" t="str">
        <x:v>Official MyGeoName / R016 reference</x:v>
      </x:c>
      <x:c r="H21" s="17" t="str">
        <x:v>POINT_READY; POLYGON_OPEN</x:v>
      </x:c>
      <x:c r="I21" s="17" t="str"/>
      <x:c r="J21" s="17" t="str">
        <x:v>Representative point is defensible; exact event/community polygon is not frozen.</x:v>
      </x:c>
      <x:c r="K21" s="17" t="str">
        <x:v>Seek exact named closed boundary; do not treat representative point as inundation extent.</x:v>
      </x:c>
      <x:c r="L21" s="17" t="n">
        <x:f>COUNTIF('44_2026_Event_Master'!$E$2:$E$24,A21)</x:f>
        <x:v>1</x:v>
      </x:c>
    </x:row>
    <x:row r="22">
      <x:c r="A22" s="17" t="str">
        <x:v>S2026-021</x:v>
      </x:c>
      <x:c r="B22" s="17" t="str">
        <x:v>Taman Kolam Air</x:v>
      </x:c>
      <x:c r="C22" s="17" t="str">
        <x:v>AREA/RESIDENTIAL</x:v>
      </x:c>
      <x:c r="D22" s="24" t="b">
        <x:v>0</x:v>
      </x:c>
      <x:c r="E22" s="17"/>
      <x:c r="F22" s="17"/>
      <x:c r="G22" s="17" t="str"/>
      <x:c r="H22" s="17" t="str">
        <x:v>POINT_OPEN; POLYGON_OPEN</x:v>
      </x:c>
      <x:c r="I22" s="17" t="str"/>
      <x:c r="J22" s="17" t="str">
        <x:v>Event identity is valid but no strict traceable WGS84 point/boundary is frozen in this pass.</x:v>
      </x:c>
      <x:c r="K22" s="17" t="str">
        <x:v>Resolve official/open-geodata point or named boundary before GIS closure.</x:v>
      </x:c>
      <x:c r="L22" s="17" t="n">
        <x:f>COUNTIF('44_2026_Event_Master'!$E$2:$E$24,A22)</x:f>
        <x:v>1</x:v>
      </x:c>
    </x:row>
    <x:row r="23">
      <x:c r="A23" s="17" t="str">
        <x:v>S2026-022</x:v>
      </x:c>
      <x:c r="B23" s="17" t="str">
        <x:v>Maktab Sultan Abu Bakar</x:v>
      </x:c>
      <x:c r="C23" s="17" t="str">
        <x:v>FACILITY/POI</x:v>
      </x:c>
      <x:c r="D23" s="24" t="b">
        <x:v>0</x:v>
      </x:c>
      <x:c r="E23" s="17"/>
      <x:c r="F23" s="17"/>
      <x:c r="G23" s="17" t="str"/>
      <x:c r="H23" s="17" t="str">
        <x:v>FACILITY_EVENT_VALID; POINT/POLYGON_OPEN</x:v>
      </x:c>
      <x:c r="I23" s="17" t="str"/>
      <x:c r="J23" s="17" t="str">
        <x:v>Same-day photo evidence confirms facility flooding; exact building/compound geometry not frozen here.</x:v>
      </x:c>
      <x:c r="K23" s="17" t="str">
        <x:v>Resolve official school footprint if facility polygon is required.</x:v>
      </x:c>
      <x:c r="L23" s="17" t="n">
        <x:f>COUNTIF('44_2026_Event_Master'!$E$2:$E$24,A23)</x:f>
        <x:v>1</x:v>
      </x:c>
    </x:row>
    <x:row r="24">
      <x:c r="A24" s="17" t="str">
        <x:v>S2026-023</x:v>
      </x:c>
      <x:c r="B24" s="17" t="str">
        <x:v>Sekolah Agama Bandar, Jalan Yahya Awal</x:v>
      </x:c>
      <x:c r="C24" s="17" t="str">
        <x:v>FACILITY/POI</x:v>
      </x:c>
      <x:c r="D24" s="24" t="b">
        <x:v>0</x:v>
      </x:c>
      <x:c r="E24" s="17"/>
      <x:c r="F24" s="17"/>
      <x:c r="G24" s="17" t="str"/>
      <x:c r="H24" s="17" t="str">
        <x:v>FACILITY_EVENT_VALID; POINT/POLYGON_OPEN</x:v>
      </x:c>
      <x:c r="I24" s="17" t="str"/>
      <x:c r="J24" s="17" t="str">
        <x:v>Facility impact is documented, but exact official building footprint is not frozen.</x:v>
      </x:c>
      <x:c r="K24" s="17" t="str">
        <x:v>Resolve exact facility point/building boundary.</x:v>
      </x:c>
      <x:c r="L24" s="17" t="n">
        <x:f>COUNTIF('44_2026_Event_Master'!$E$2:$E$24,A24)</x:f>
        <x:v>1</x:v>
      </x:c>
    </x:row>
  </x:sheetData>
  <x:pageMargins left="0.7" right="0.7" top="0.75" bottom="0.75" header="0.3" footer="0.3"/>
</x:worksheet>
</file>

<file path=xl/worksheets/sheet49.xml><?xml version="1.0" encoding="utf-8"?>
<x:worksheet xmlns:x="http://schemas.openxmlformats.org/spreadsheetml/2006/main">
  <x:sheetFormatPr defaultRowHeight="15"/>
  <x:cols>
    <x:col min="1" max="1" width="40" hidden="0" customWidth="1"/>
    <x:col min="2" max="2" width="32" hidden="0" customWidth="1"/>
    <x:col min="3" max="3" width="55" hidden="0" customWidth="1"/>
    <x:col min="4" max="4" width="44" hidden="0" customWidth="1"/>
    <x:col min="5" max="5" width="34" hidden="0" customWidth="1"/>
    <x:col min="6" max="6" width="90" hidden="0" customWidth="1"/>
  </x:cols>
  <x:sheetData>
    <x:row r="1">
      <x:c r="A1" s="61" t="str">
        <x:v>Candidate_ID</x:v>
      </x:c>
      <x:c r="B1" s="61" t="str">
        <x:v>Time_Context</x:v>
      </x:c>
      <x:c r="C1" s="61" t="str">
        <x:v>Location_Label</x:v>
      </x:c>
      <x:c r="D1" s="61" t="str">
        <x:v>Resolution_Status</x:v>
      </x:c>
      <x:c r="E1" s="61" t="str">
        <x:v>Primary_Source_ID</x:v>
      </x:c>
      <x:c r="F1" s="61" t="str">
        <x:v>Decision_Note</x:v>
      </x:c>
    </x:row>
    <x:row r="2">
      <x:c r="A2" s="17" t="str">
        <x:v>CAND-2026-APR-FT003</x:v>
      </x:c>
      <x:c r="B2" s="17" t="str">
        <x:v>Before 2026-04-26; exact day unresolved</x:v>
      </x:c>
      <x:c r="C2" s="17" t="str">
        <x:v>Jalan Kota Tinggi (FT003), Ulu Tiram</x:v>
      </x:c>
      <x:c r="D2" s="17" t="str">
        <x:v>INDEPENDENT_EVENT_DATE_UNRESOLVED</x:v>
      </x:c>
      <x:c r="E2" s="17" t="str">
        <x:v>SRC_R2026_RTM_APR26</x:v>
      </x:c>
      <x:c r="F2" s="17" t="str">
        <x:v>Flood event is credible and spatially specific, but exact incident date is not stated. Do not fabricate 20/21/22 Apr.</x:v>
      </x:c>
    </x:row>
    <x:row r="3">
      <x:c r="A3" s="17" t="str">
        <x:v>CAND-2026-APR-DEVELOPER-JB</x:v>
      </x:c>
      <x:c r="B3" s="17" t="str">
        <x:v>By 2026-04-22</x:v>
      </x:c>
      <x:c r="C3" s="17" t="str">
        <x:v>Unnamed Johor Bahru development-linked flood location</x:v>
      </x:c>
      <x:c r="D3" s="17" t="str">
        <x:v>LOCATION_AND_DATE_UNRESOLVED</x:v>
      </x:c>
      <x:c r="E3" s="17" t="str">
        <x:v>SRC_R2026_BERNAMA_APR22</x:v>
      </x:c>
      <x:c r="F3" s="17" t="str">
        <x:v>State action confirms a Johor Bahru flood associated with a developer, but public report does not name the exact location/date.</x:v>
      </x:c>
    </x:row>
    <x:row r="4">
      <x:c r="A4" s="17" t="str">
        <x:v>CAND-2026-JUL-PAYA-KENANGAN</x:v>
      </x:c>
      <x:c r="B4" s="17" t="str">
        <x:v>2026-07-06/07 risk observation</x:v>
      </x:c>
      <x:c r="C4" s="17" t="str">
        <x:v>Kampung Paya Kenangan</x:v>
      </x:c>
      <x:c r="D4" s="17" t="str">
        <x:v>RISK_ONLY_NO_CONFIRMED_INUNDATION</x:v>
      </x:c>
      <x:c r="E4" s="17" t="str">
        <x:v>SRC_R2026_MG_JUL07</x:v>
      </x:c>
      <x:c r="F4" s="17" t="str">
        <x:v>High tide and heavy-rain concern is documented, but no confirmed flood event is stated.</x:v>
      </x:c>
    </x:row>
    <x:row r="5">
      <x:c r="A5" s="17" t="str">
        <x:v>CAND-2026-SEP30-TABUNG-HAJI</x:v>
      </x:c>
      <x:c r="B5" s="17" t="str">
        <x:v>2026-09-30 post-event inspection</x:v>
      </x:c>
      <x:c r="C5" s="17" t="str">
        <x:v>Kawasan Tabung Haji</x:v>
      </x:c>
      <x:c r="D5" s="17" t="str">
        <x:v>POST_EVENT_INSPECTION_AMBIGUOUS</x:v>
      </x:c>
      <x:c r="E5" s="17" t="str">
        <x:v>SRC_R2026_MDJ_20260930</x:v>
      </x:c>
      <x:c r="F5" s="17" t="str">
        <x:v>Inspected for flood/mitigation assessment, but source does not independently state a distinct inundation record.</x:v>
      </x:c>
    </x:row>
    <x:row r="6">
      <x:c r="A6" s="17" t="str">
        <x:v>CAND-2026-SEP30-JALAN-DANGA</x:v>
      </x:c>
      <x:c r="B6" s="17" t="str">
        <x:v>2026-09-30 post-event inspection</x:v>
      </x:c>
      <x:c r="C6" s="17" t="str">
        <x:v>Jalan Danga opposite Tune Hotel</x:v>
      </x:c>
      <x:c r="D6" s="17" t="str">
        <x:v>POST_EVENT_INSPECTION_AMBIGUOUS</x:v>
      </x:c>
      <x:c r="E6" s="17" t="str">
        <x:v>SRC_R2026_MDJ_20260930</x:v>
      </x:c>
      <x:c r="F6" s="17" t="str">
        <x:v>Site visit context retained; not promoted to formal event row without explicit inundation statement.</x:v>
      </x:c>
    </x:row>
    <x:row r="7">
      <x:c r="A7" s="17" t="str">
        <x:v>CAND-2026-SEP30-DATARAN-INFRA</x:v>
      </x:c>
      <x:c r="B7" s="17" t="str">
        <x:v>2026-09-30 post-event inspection</x:v>
      </x:c>
      <x:c r="C7" s="17" t="str">
        <x:v>Pump house / area around Dataran</x:v>
      </x:c>
      <x:c r="D7" s="17" t="str">
        <x:v>INFRASTRUCTURE_INSPECTION_NOT_EVENT_LOCATION</x:v>
      </x:c>
      <x:c r="E7" s="17" t="str">
        <x:v>SRC_R2026_MDJ_20260930</x:v>
      </x:c>
      <x:c r="F7" s="17" t="str">
        <x:v>Infrastructure inspection is not equivalent to a distinct flood-origin location.</x:v>
      </x:c>
    </x:row>
    <x:row r="8">
      <x:c r="A8" s="17" t="str">
        <x:v>CAND-2026-SEP30-HSA</x:v>
      </x:c>
      <x:c r="B8" s="17" t="str">
        <x:v>2026-09-30</x:v>
      </x:c>
      <x:c r="C8" s="17" t="str">
        <x:v>Hospital Sultanah Aminah area</x:v>
      </x:c>
      <x:c r="D8" s="17" t="str">
        <x:v>SECONDARY_EVIDENCE_ONLY</x:v>
      </x:c>
      <x:c r="E8" s="17" t="str">
        <x:v>SRC_R2026_MG_CITY_20260930</x:v>
      </x:c>
      <x:c r="F8" s="17" t="str">
        <x:v>Some secondary syntheses report HSA-area vehicle flooding, but stronger direct source wording was not recovered in this pass.</x:v>
      </x:c>
    </x:row>
    <x:row r="9">
      <x:c r="A9" s="17" t="str">
        <x:v>CAND-2026-SEP30-HIGHWAYS</x:v>
      </x:c>
      <x:c r="B9" s="17" t="str">
        <x:v>2026-09-30</x:v>
      </x:c>
      <x:c r="C9" s="17" t="str">
        <x:v>Pasir Gudang Highway / Skudai Highway</x:v>
      </x:c>
      <x:c r="D9" s="17" t="str">
        <x:v>TRAFFIC_IMPACT_SECONDARY_ONLY</x:v>
      </x:c>
      <x:c r="E9" s="17" t="str">
        <x:v>SRC_R2026_MG_CITY_20260930</x:v>
      </x:c>
      <x:c r="F9" s="17" t="str">
        <x:v>Secondary summaries mention congestion/impact; no sufficiently direct flood-segment evidence recovered for formal event rows.</x:v>
      </x:c>
    </x:row>
  </x:sheetData>
  <x:pageMargins left="0.7" right="0.7" top="0.75" bottom="0.75" header="0.3" footer="0.3"/>
</x:worksheet>
</file>

<file path=xl/worksheets/sheet50.xml><?xml version="1.0" encoding="utf-8"?>
<x:worksheet xmlns:x="http://schemas.openxmlformats.org/spreadsheetml/2006/main">
  <x:sheetFormatPr defaultRowHeight="15"/>
  <x:cols>
    <x:col min="1" max="1" width="16" hidden="0" customWidth="1"/>
    <x:col min="2" max="2" width="54" hidden="0" customWidth="1"/>
    <x:col min="3" max="3" width="25" hidden="0" customWidth="1"/>
    <x:col min="4" max="4" width="45" hidden="0" customWidth="1"/>
    <x:col min="5" max="5" width="78" hidden="0" customWidth="1"/>
    <x:col min="6" max="6" width="76" hidden="0" customWidth="1"/>
    <x:col min="7" max="7" width="50" hidden="0" customWidth="1"/>
  </x:cols>
  <x:sheetData>
    <x:row r="1">
      <x:c r="A1" s="61" t="str">
        <x:v>Spatial_Object_Key</x:v>
      </x:c>
      <x:c r="B1" s="61" t="str">
        <x:v>Canonical_Name</x:v>
      </x:c>
      <x:c r="C1" s="61" t="str">
        <x:v>Object_Type</x:v>
      </x:c>
      <x:c r="D1" s="61" t="str">
        <x:v>Current_Status</x:v>
      </x:c>
      <x:c r="E1" s="61" t="str">
        <x:v>Key_Conflict_or_Gap</x:v>
      </x:c>
      <x:c r="F1" s="61" t="str">
        <x:v>Next_Spatial_Action</x:v>
      </x:c>
      <x:c r="G1" s="61" t="str">
        <x:v>Decision</x:v>
      </x:c>
    </x:row>
    <x:row r="2">
      <x:c r="A2" s="17" t="str">
        <x:v>S2026-001</x:v>
      </x:c>
      <x:c r="B2" s="17" t="str">
        <x:v>Jalan Kolam Ayer / Nong Chik context</x:v>
      </x:c>
      <x:c r="C2" s="17" t="str">
        <x:v>ROAD/ROAD CONTEXT</x:v>
      </x:c>
      <x:c r="D2" s="17" t="str">
        <x:v>POINT_REFERENCE; ROAD_SEGMENT_OPEN</x:v>
      </x:c>
      <x:c r="E2" s="17" t="str">
        <x:v>Road/context is event-valid; exact flooded start/end segment is not frozen.</x:v>
      </x:c>
      <x:c r="F2" s="17" t="str">
        <x:v>Recover event-specific road segment geometry; do not buffer whole road.</x:v>
      </x:c>
      <x:c r="G2" s="17" t="str">
        <x:v>OPEN - retain evidence; no fabricated closure</x:v>
      </x:c>
    </x:row>
    <x:row r="3">
      <x:c r="A3" s="17" t="str">
        <x:v>S2026-002</x:v>
      </x:c>
      <x:c r="B3" s="17" t="str">
        <x:v>Jalan Ayer Molek</x:v>
      </x:c>
      <x:c r="C3" s="17" t="str">
        <x:v>ROAD/ROAD CONTEXT</x:v>
      </x:c>
      <x:c r="D3" s="17" t="str">
        <x:v>POINT_REFERENCE; ROAD_SEGMENT_OPEN</x:v>
      </x:c>
      <x:c r="E3" s="17" t="str">
        <x:v>Road/context is event-valid; exact flooded start/end segment is not frozen.</x:v>
      </x:c>
      <x:c r="F3" s="17" t="str">
        <x:v>Recover event-specific road segment geometry; do not buffer whole road.</x:v>
      </x:c>
      <x:c r="G3" s="17" t="str">
        <x:v>OPEN - retain evidence; no fabricated closure</x:v>
      </x:c>
    </x:row>
    <x:row r="4">
      <x:c r="A4" s="17" t="str">
        <x:v>S2026-003</x:v>
      </x:c>
      <x:c r="B4" s="17" t="str">
        <x:v>Jalan Yahya Awal</x:v>
      </x:c>
      <x:c r="C4" s="17" t="str">
        <x:v>ROAD/ROAD CONTEXT</x:v>
      </x:c>
      <x:c r="D4" s="17" t="str">
        <x:v>POINT_REFERENCE; ROAD_SEGMENT_OPEN</x:v>
      </x:c>
      <x:c r="E4" s="17" t="str">
        <x:v>Road/context is event-valid; exact flooded start/end segment is not frozen.</x:v>
      </x:c>
      <x:c r="F4" s="17" t="str">
        <x:v>Recover event-specific road segment geometry; do not buffer whole road.</x:v>
      </x:c>
      <x:c r="G4" s="17" t="str">
        <x:v>OPEN - retain evidence; no fabricated closure</x:v>
      </x:c>
    </x:row>
    <x:row r="5">
      <x:c r="A5" s="17" t="str">
        <x:v>S2026-004</x:v>
      </x:c>
      <x:c r="B5" s="17" t="str">
        <x:v>Jalan Pantai</x:v>
      </x:c>
      <x:c r="C5" s="17" t="str">
        <x:v>ROAD/ROAD CONTEXT</x:v>
      </x:c>
      <x:c r="D5" s="17" t="str">
        <x:v>ROAD_SEGMENT_OPEN</x:v>
      </x:c>
      <x:c r="E5" s="17" t="str">
        <x:v>Road/context is event-valid; exact flooded start/end segment is not frozen.</x:v>
      </x:c>
      <x:c r="F5" s="17" t="str">
        <x:v>Recover event-specific road segment geometry; do not buffer whole road.</x:v>
      </x:c>
      <x:c r="G5" s="17" t="str">
        <x:v>OPEN - retain evidence; no fabricated closure</x:v>
      </x:c>
    </x:row>
    <x:row r="6">
      <x:c r="A6" s="17" t="str">
        <x:v>S2026-005</x:v>
      </x:c>
      <x:c r="B6" s="17" t="str">
        <x:v>Jalan Wong Ah Fook</x:v>
      </x:c>
      <x:c r="C6" s="17" t="str">
        <x:v>ROAD/ROAD CONTEXT</x:v>
      </x:c>
      <x:c r="D6" s="17" t="str">
        <x:v>POINT_REFERENCE; ROAD_SEGMENT_OPEN</x:v>
      </x:c>
      <x:c r="E6" s="17" t="str">
        <x:v>Road/context is event-valid; exact flooded start/end segment is not frozen.</x:v>
      </x:c>
      <x:c r="F6" s="17" t="str">
        <x:v>Recover event-specific road segment geometry; do not buffer whole road.</x:v>
      </x:c>
      <x:c r="G6" s="17" t="str">
        <x:v>OPEN - retain evidence; no fabricated closure</x:v>
      </x:c>
    </x:row>
    <x:row r="7">
      <x:c r="A7" s="17" t="str">
        <x:v>S2026-006</x:v>
      </x:c>
      <x:c r="B7" s="17" t="str">
        <x:v>Kampung Pasir</x:v>
      </x:c>
      <x:c r="C7" s="17" t="str">
        <x:v>COMMUNITY/AREA</x:v>
      </x:c>
      <x:c r="D7" s="17" t="str">
        <x:v>POINT_READY; POLYGON_OPEN</x:v>
      </x:c>
      <x:c r="E7" s="17" t="str">
        <x:v>Representative point is defensible; exact event/community polygon is not frozen.</x:v>
      </x:c>
      <x:c r="F7" s="17" t="str">
        <x:v>Seek exact named closed boundary; do not treat representative point as inundation extent.</x:v>
      </x:c>
      <x:c r="G7" s="17" t="str">
        <x:v>OPEN - retain evidence; no fabricated closure</x:v>
      </x:c>
    </x:row>
    <x:row r="8">
      <x:c r="A8" s="17" t="str">
        <x:v>S2026-008</x:v>
      </x:c>
      <x:c r="B8" s="17" t="str">
        <x:v>Taman Perling</x:v>
      </x:c>
      <x:c r="C8" s="17" t="str">
        <x:v>AREA/RESIDENTIAL</x:v>
      </x:c>
      <x:c r="D8" s="17" t="str">
        <x:v>POINT_OPEN; POLYGON_OPEN</x:v>
      </x:c>
      <x:c r="E8" s="17" t="str">
        <x:v>Event identity is valid but no strict traceable WGS84 point/boundary is frozen in this pass.</x:v>
      </x:c>
      <x:c r="F8" s="17" t="str">
        <x:v>Resolve official/open-geodata point or named boundary before GIS closure.</x:v>
      </x:c>
      <x:c r="G8" s="17" t="str">
        <x:v>OPEN - retain evidence; no fabricated closure</x:v>
      </x:c>
    </x:row>
    <x:row r="9">
      <x:c r="A9" s="17" t="str">
        <x:v>S2026-009</x:v>
      </x:c>
      <x:c r="B9" s="17" t="str">
        <x:v>Kampung Seri Serdang</x:v>
      </x:c>
      <x:c r="C9" s="17" t="str">
        <x:v>COMMUNITY/AREA</x:v>
      </x:c>
      <x:c r="D9" s="17" t="str">
        <x:v>POINT_READY; POLYGON_OPEN</x:v>
      </x:c>
      <x:c r="E9" s="17" t="str">
        <x:v>Representative point is defensible; exact event/community polygon is not frozen.</x:v>
      </x:c>
      <x:c r="F9" s="17" t="str">
        <x:v>Seek exact named closed boundary; do not treat representative point as inundation extent.</x:v>
      </x:c>
      <x:c r="G9" s="17" t="str">
        <x:v>OPEN - retain evidence; no fabricated closure</x:v>
      </x:c>
    </x:row>
    <x:row r="10">
      <x:c r="A10" s="17" t="str">
        <x:v>S2026-010</x:v>
      </x:c>
      <x:c r="B10" s="17" t="str">
        <x:v>Kampung Hajah Hasnah</x:v>
      </x:c>
      <x:c r="C10" s="17" t="str">
        <x:v>COMMUNITY/AREA</x:v>
      </x:c>
      <x:c r="D10" s="17" t="str">
        <x:v>IDENTITY_VALID; LINK_PENDING; POINT/POLYGON_OPEN</x:v>
      </x:c>
      <x:c r="E10" s="17" t="str">
        <x:v>2026 source names Kampung Hajah Hasnah; do not silently merge with 2023 Kampung Dato Hajah Hasnah Majidee.</x:v>
      </x:c>
      <x:c r="F10" s="17" t="str">
        <x:v>Resolve locality identity/link independently.</x:v>
      </x:c>
      <x:c r="G10" s="17" t="str">
        <x:v>OPEN - retain evidence; no fabricated closure</x:v>
      </x:c>
    </x:row>
    <x:row r="11">
      <x:c r="A11" s="17" t="str">
        <x:v>S2026-011</x:v>
      </x:c>
      <x:c r="B11" s="17" t="str">
        <x:v>Jalan Sungai Chat</x:v>
      </x:c>
      <x:c r="C11" s="17" t="str">
        <x:v>ROAD/ROAD CONTEXT</x:v>
      </x:c>
      <x:c r="D11" s="17" t="str">
        <x:v>POINT_REFERENCE; ROAD_SEGMENT_OPEN</x:v>
      </x:c>
      <x:c r="E11" s="17" t="str">
        <x:v>Road/context is event-valid; exact flooded start/end segment is not frozen.</x:v>
      </x:c>
      <x:c r="F11" s="17" t="str">
        <x:v>Recover event-specific road segment geometry; do not buffer whole road.</x:v>
      </x:c>
      <x:c r="G11" s="17" t="str">
        <x:v>OPEN - retain evidence; no fabricated closure</x:v>
      </x:c>
    </x:row>
    <x:row r="12">
      <x:c r="A12" s="17" t="str">
        <x:v>S2026-012</x:v>
      </x:c>
      <x:c r="B12" s="17" t="str">
        <x:v>Wisma Persekutuan Johor Bahru</x:v>
      </x:c>
      <x:c r="C12" s="17" t="str">
        <x:v>FACILITY/POI</x:v>
      </x:c>
      <x:c r="D12" s="17" t="str">
        <x:v>FACILITY/AREA_EVENT_VALID; POINT/POLYGON_OPEN</x:v>
      </x:c>
      <x:c r="E12" s="17" t="str">
        <x:v>Flooding/vehicle inundation documented around the federal building area; exact affected car-park footprint not frozen.</x:v>
      </x:c>
      <x:c r="F12" s="17" t="str">
        <x:v>Resolve facility/parking-area geometry if analytically required.</x:v>
      </x:c>
      <x:c r="G12" s="17" t="str">
        <x:v>OPEN - retain evidence; no fabricated closure</x:v>
      </x:c>
    </x:row>
    <x:row r="13">
      <x:c r="A13" s="17" t="str">
        <x:v>S2026-013</x:v>
      </x:c>
      <x:c r="B13" s="17" t="str">
        <x:v>Kampung Sri Jaya</x:v>
      </x:c>
      <x:c r="C13" s="17" t="str">
        <x:v>COMMUNITY/AREA</x:v>
      </x:c>
      <x:c r="D13" s="17" t="str">
        <x:v>OFFICIAL_EVENT_VALID; POINT/POLYGON_OPEN</x:v>
      </x:c>
      <x:c r="E13" s="17" t="str">
        <x:v>JPS officially names Kampung Sri Jaya as affected; do not merge with Kampung Seri Jaya Baru without identity evidence.</x:v>
      </x:c>
      <x:c r="F13" s="17" t="str">
        <x:v>Resolve exact locality point/boundary.</x:v>
      </x:c>
      <x:c r="G13" s="17" t="str">
        <x:v>OPEN - retain evidence; no fabricated closure</x:v>
      </x:c>
    </x:row>
    <x:row r="14">
      <x:c r="A14" s="17" t="str">
        <x:v>S2026-014</x:v>
      </x:c>
      <x:c r="B14" s="17" t="str">
        <x:v>Tadika &amp; Taska Umiku Sayang, Jalan Mohd Amin</x:v>
      </x:c>
      <x:c r="C14" s="17" t="str">
        <x:v>FACILITY/POI</x:v>
      </x:c>
      <x:c r="D14" s="17" t="str">
        <x:v>FACILITY_EVENT_VALID; POINT/POLYGON_OPEN</x:v>
      </x:c>
      <x:c r="E14" s="17" t="str">
        <x:v>Exact kindergarten/nursery facility is known by name/address, but a defensible building footprint is not frozen in this pass.</x:v>
      </x:c>
      <x:c r="F14" s="17" t="str">
        <x:v>Resolve exact facility footprint if required for accessibility/facility analysis.</x:v>
      </x:c>
      <x:c r="G14" s="17" t="str">
        <x:v>OPEN - retain evidence; no fabricated closure</x:v>
      </x:c>
    </x:row>
    <x:row r="15">
      <x:c r="A15" s="17" t="str">
        <x:v>S2026-015</x:v>
      </x:c>
      <x:c r="B15" s="17" t="str">
        <x:v>Kampung Mohd Amin</x:v>
      </x:c>
      <x:c r="C15" s="17" t="str">
        <x:v>COMMUNITY/AREA</x:v>
      </x:c>
      <x:c r="D15" s="17" t="str">
        <x:v>POINT_READY; POLYGON_OPEN</x:v>
      </x:c>
      <x:c r="E15" s="17" t="str">
        <x:v>Representative point is defensible; exact event/community polygon is not frozen.</x:v>
      </x:c>
      <x:c r="F15" s="17" t="str">
        <x:v>Seek exact named closed boundary; do not treat representative point as inundation extent.</x:v>
      </x:c>
      <x:c r="G15" s="17" t="str">
        <x:v>OPEN - retain evidence; no fabricated closure</x:v>
      </x:c>
    </x:row>
    <x:row r="16">
      <x:c r="A16" s="17" t="str">
        <x:v>S2026-016</x:v>
      </x:c>
      <x:c r="B16" s="17" t="str">
        <x:v>Holiday Villa Hotel area</x:v>
      </x:c>
      <x:c r="C16" s="17" t="str">
        <x:v>FACILITY/POI</x:v>
      </x:c>
      <x:c r="D16" s="17" t="str">
        <x:v>POINT_OPEN; POLYGON_OPEN</x:v>
      </x:c>
      <x:c r="E16" s="17" t="str">
        <x:v>Event identity is valid but no strict traceable WGS84 point/boundary is frozen in this pass.</x:v>
      </x:c>
      <x:c r="F16" s="17" t="str">
        <x:v>Resolve official/open-geodata point or named boundary before GIS closure.</x:v>
      </x:c>
      <x:c r="G16" s="17" t="str">
        <x:v>OPEN - retain evidence; no fabricated closure</x:v>
      </x:c>
    </x:row>
    <x:row r="17">
      <x:c r="A17" s="17" t="str">
        <x:v>S2026-017</x:v>
      </x:c>
      <x:c r="B17" s="17" t="str">
        <x:v>KSL City Mall area</x:v>
      </x:c>
      <x:c r="C17" s="17" t="str">
        <x:v>FACILITY/POI</x:v>
      </x:c>
      <x:c r="D17" s="17" t="str">
        <x:v>POINT_OPEN; POLYGON_OPEN</x:v>
      </x:c>
      <x:c r="E17" s="17" t="str">
        <x:v>Event identity is valid but no strict traceable WGS84 point/boundary is frozen in this pass.</x:v>
      </x:c>
      <x:c r="F17" s="17" t="str">
        <x:v>Resolve official/open-geodata point or named boundary before GIS closure.</x:v>
      </x:c>
      <x:c r="G17" s="17" t="str">
        <x:v>OPEN - retain evidence; no fabricated closure</x:v>
      </x:c>
    </x:row>
    <x:row r="18">
      <x:c r="A18" s="17" t="str">
        <x:v>S2026-018</x:v>
      </x:c>
      <x:c r="B18" s="17" t="str">
        <x:v>Century Garden (Taman Abad identity pending)</x:v>
      </x:c>
      <x:c r="C18" s="17" t="str">
        <x:v>AREA/RESIDENTIAL</x:v>
      </x:c>
      <x:c r="D18" s="17" t="str">
        <x:v>IDENTITY_ALIAS_CANDIDATE; POINT/POLYGON_OPEN</x:v>
      </x:c>
      <x:c r="E18" s="17" t="str">
        <x:v>Century Garden is commonly associated with Taman Abad, but the database does not force that alias without a traceable spatial source.</x:v>
      </x:c>
      <x:c r="F18" s="17" t="str">
        <x:v>Resolve canonical alias and neighbourhood boundary.</x:v>
      </x:c>
      <x:c r="G18" s="17" t="str">
        <x:v>OPEN - retain evidence; no fabricated closure</x:v>
      </x:c>
    </x:row>
    <x:row r="19">
      <x:c r="A19" s="17" t="str">
        <x:v>S2026-019</x:v>
      </x:c>
      <x:c r="B19" s="17" t="str">
        <x:v>Danga Bay</x:v>
      </x:c>
      <x:c r="C19" s="17" t="str">
        <x:v>AREA/RESIDENTIAL</x:v>
      </x:c>
      <x:c r="D19" s="17" t="str">
        <x:v>POINT_OPEN; POLYGON_OPEN</x:v>
      </x:c>
      <x:c r="E19" s="17" t="str">
        <x:v>Event identity is valid but no strict traceable WGS84 point/boundary is frozen in this pass.</x:v>
      </x:c>
      <x:c r="F19" s="17" t="str">
        <x:v>Resolve official/open-geodata point or named boundary before GIS closure.</x:v>
      </x:c>
      <x:c r="G19" s="17" t="str">
        <x:v>OPEN - retain evidence; no fabricated closure</x:v>
      </x:c>
    </x:row>
    <x:row r="20">
      <x:c r="A20" s="17" t="str">
        <x:v>S2026-020</x:v>
      </x:c>
      <x:c r="B20" s="17" t="str">
        <x:v>Kampung Ubi Baru</x:v>
      </x:c>
      <x:c r="C20" s="17" t="str">
        <x:v>COMMUNITY/AREA</x:v>
      </x:c>
      <x:c r="D20" s="17" t="str">
        <x:v>POINT_READY; POLYGON_OPEN</x:v>
      </x:c>
      <x:c r="E20" s="17" t="str">
        <x:v>Representative point is defensible; exact event/community polygon is not frozen.</x:v>
      </x:c>
      <x:c r="F20" s="17" t="str">
        <x:v>Seek exact named closed boundary; do not treat representative point as inundation extent.</x:v>
      </x:c>
      <x:c r="G20" s="17" t="str">
        <x:v>OPEN - retain evidence; no fabricated closure</x:v>
      </x:c>
    </x:row>
    <x:row r="21">
      <x:c r="A21" s="17" t="str">
        <x:v>S2026-021</x:v>
      </x:c>
      <x:c r="B21" s="17" t="str">
        <x:v>Taman Kolam Air</x:v>
      </x:c>
      <x:c r="C21" s="17" t="str">
        <x:v>AREA/RESIDENTIAL</x:v>
      </x:c>
      <x:c r="D21" s="17" t="str">
        <x:v>POINT_OPEN; POLYGON_OPEN</x:v>
      </x:c>
      <x:c r="E21" s="17" t="str">
        <x:v>Event identity is valid but no strict traceable WGS84 point/boundary is frozen in this pass.</x:v>
      </x:c>
      <x:c r="F21" s="17" t="str">
        <x:v>Resolve official/open-geodata point or named boundary before GIS closure.</x:v>
      </x:c>
      <x:c r="G21" s="17" t="str">
        <x:v>OPEN - retain evidence; no fabricated closure</x:v>
      </x:c>
    </x:row>
    <x:row r="22">
      <x:c r="A22" s="17" t="str">
        <x:v>S2026-022</x:v>
      </x:c>
      <x:c r="B22" s="17" t="str">
        <x:v>Maktab Sultan Abu Bakar</x:v>
      </x:c>
      <x:c r="C22" s="17" t="str">
        <x:v>FACILITY/POI</x:v>
      </x:c>
      <x:c r="D22" s="17" t="str">
        <x:v>FACILITY_EVENT_VALID; POINT/POLYGON_OPEN</x:v>
      </x:c>
      <x:c r="E22" s="17" t="str">
        <x:v>Same-day photo evidence confirms facility flooding; exact building/compound geometry not frozen here.</x:v>
      </x:c>
      <x:c r="F22" s="17" t="str">
        <x:v>Resolve official school footprint if facility polygon is required.</x:v>
      </x:c>
      <x:c r="G22" s="17" t="str">
        <x:v>OPEN - retain evidence; no fabricated closure</x:v>
      </x:c>
    </x:row>
    <x:row r="23">
      <x:c r="A23" s="17" t="str">
        <x:v>S2026-023</x:v>
      </x:c>
      <x:c r="B23" s="17" t="str">
        <x:v>Sekolah Agama Bandar, Jalan Yahya Awal</x:v>
      </x:c>
      <x:c r="C23" s="17" t="str">
        <x:v>FACILITY/POI</x:v>
      </x:c>
      <x:c r="D23" s="17" t="str">
        <x:v>FACILITY_EVENT_VALID; POINT/POLYGON_OPEN</x:v>
      </x:c>
      <x:c r="E23" s="17" t="str">
        <x:v>Facility impact is documented, but exact official building footprint is not frozen.</x:v>
      </x:c>
      <x:c r="F23" s="17" t="str">
        <x:v>Resolve exact facility point/building boundary.</x:v>
      </x:c>
      <x:c r="G23" s="17" t="str">
        <x:v>OPEN - retain evidence; no fabricated closure</x:v>
      </x:c>
    </x:row>
  </x:sheetData>
  <x:pageMargins left="0.7" right="0.7" top="0.75" bottom="0.75" header="0.3" footer="0.3"/>
</x:worksheet>
</file>

<file path=xl/worksheets/sheet51.xml><?xml version="1.0" encoding="utf-8"?>
<x:worksheet xmlns:x="http://schemas.openxmlformats.org/spreadsheetml/2006/main">
  <x:sheetFormatPr defaultRowHeight="15"/>
  <x:cols>
    <x:col min="1" max="1" width="47" hidden="0" customWidth="1"/>
    <x:col min="2" max="2" width="25" hidden="0" customWidth="1"/>
    <x:col min="3" max="3" width="16" hidden="0" customWidth="1"/>
    <x:col min="4" max="4" width="14" hidden="0" customWidth="1"/>
  </x:cols>
  <x:sheetData>
    <x:row r="1">
      <x:c r="A1" s="59" t="str">
        <x:v>Metric</x:v>
      </x:c>
      <x:c r="B1" s="59" t="str">
        <x:v>Formula / Value</x:v>
      </x:c>
      <x:c r="C1" s="59" t="str">
        <x:v>Expected</x:v>
      </x:c>
      <x:c r="D1" s="59" t="str">
        <x:v>Status</x:v>
      </x:c>
    </x:row>
    <x:row r="2">
      <x:c r="A2" s="9" t="str">
        <x:v>2026 cut-off date</x:v>
      </x:c>
      <x:c r="B2" s="9" t="str">
        <x:v>2026-10-06</x:v>
      </x:c>
      <x:c r="C2" s="9" t="str">
        <x:v>2026-10-06</x:v>
      </x:c>
      <x:c r="D2" s="9" t="str">
        <x:v>PASS</x:v>
      </x:c>
    </x:row>
    <x:row r="3">
      <x:c r="A3" s="9" t="str">
        <x:v>2026 exact event-location rows</x:v>
      </x:c>
      <x:c r="B3" s="9" t="n">
        <x:f>COUNTA('44_2026_Event_Master'!A2:A24)</x:f>
        <x:v>23</x:v>
      </x:c>
      <x:c r="C3" s="9" t="n">
        <x:v>23</x:v>
      </x:c>
      <x:c r="D3" s="9" t="str">
        <x:f>IF(B3=C3,"PASS","CHECK")</x:f>
        <x:v>PASS</x:v>
      </x:c>
    </x:row>
    <x:row r="4">
      <x:c r="A4" s="9" t="str">
        <x:v>2026 exact episode groups</x:v>
      </x:c>
      <x:c r="B4" s="9" t="n">
        <x:f>COUNTA('45_2026_Episodes'!A2:A2)</x:f>
        <x:v>1</x:v>
      </x:c>
      <x:c r="C4" s="9" t="n">
        <x:v>1</x:v>
      </x:c>
      <x:c r="D4" s="9" t="str">
        <x:f>IF(B4=C4,"PASS","CHECK")</x:f>
        <x:v>PASS</x:v>
      </x:c>
    </x:row>
    <x:row r="5">
      <x:c r="A5" s="9" t="str">
        <x:v>2026 unique spatial objects</x:v>
      </x:c>
      <x:c r="B5" s="9" t="n">
        <x:f>COUNTA('47_2026_Spatial_Resolution'!A2:A24)</x:f>
        <x:v>23</x:v>
      </x:c>
      <x:c r="C5" s="9" t="n">
        <x:v>23</x:v>
      </x:c>
      <x:c r="D5" s="9" t="str">
        <x:f>IF(B5=C5,"PASS","CHECK")</x:f>
        <x:v>PASS</x:v>
      </x:c>
    </x:row>
    <x:row r="6">
      <x:c r="A6" s="9" t="str">
        <x:v>Strict Point-GIS-ready objects</x:v>
      </x:c>
      <x:c r="B6" s="9" t="n">
        <x:f>SUMPRODUCT(--('47_2026_Spatial_Resolution'!D2:D24=TRUE))</x:f>
        <x:v>10</x:v>
      </x:c>
      <x:c r="C6" s="9" t="n">
        <x:v>10</x:v>
      </x:c>
      <x:c r="D6" s="9" t="str">
        <x:f>IF(B6=C6,"PASS","CHECK")</x:f>
        <x:v>PASS</x:v>
      </x:c>
    </x:row>
    <x:row r="7">
      <x:c r="A7" s="9" t="str">
        <x:v>Open spatial objects</x:v>
      </x:c>
      <x:c r="B7" s="9" t="n">
        <x:f>COUNTA('49_2026_Open_Objects'!A2:A23)</x:f>
        <x:v>22</x:v>
      </x:c>
      <x:c r="C7" s="9" t="n">
        <x:v>22</x:v>
      </x:c>
      <x:c r="D7" s="9" t="str">
        <x:f>IF(B7=C7,"PASS","CHECK")</x:f>
        <x:v>PASS</x:v>
      </x:c>
    </x:row>
    <x:row r="8">
      <x:c r="A8" s="9" t="str">
        <x:v>Unresolved/non-counted evidence rows</x:v>
      </x:c>
      <x:c r="B8" s="9" t="n">
        <x:f>COUNTA('48_2026_Unresolved_Candidates'!A2:A9)</x:f>
        <x:v>8</x:v>
      </x:c>
      <x:c r="C8" s="9" t="n">
        <x:v>8</x:v>
      </x:c>
      <x:c r="D8" s="9" t="str">
        <x:f>IF(B8=C8,"PASS","CHECK")</x:f>
        <x:v>PASS</x:v>
      </x:c>
    </x:row>
    <x:row r="9">
      <x:c r="A9" s="9" t="str">
        <x:v>Missing Spatial_Object_Key refs</x:v>
      </x:c>
      <x:c r="B9" s="9" t="n">
        <x:f>COUNTIF('44_2026_Event_Master'!E2:E24,"")</x:f>
        <x:v>0</x:v>
      </x:c>
      <x:c r="C9" s="9" t="n">
        <x:v>0</x:v>
      </x:c>
      <x:c r="D9" s="9" t="str">
        <x:f>IF(B9=C9,"PASS","CHECK")</x:f>
        <x:v>PASS</x:v>
      </x:c>
    </x:row>
    <x:row r="10">
      <x:c r="A10" s="9" t="str">
        <x:v>Cumulative event rows through cut-off</x:v>
      </x:c>
      <x:c r="B10" s="9" t="n">
        <x:f>323+B3</x:f>
        <x:v>346</x:v>
      </x:c>
      <x:c r="C10" s="9" t="n">
        <x:v>346</x:v>
      </x:c>
      <x:c r="D10" s="9" t="str">
        <x:f>IF(B10=C10,"PASS","CHECK")</x:f>
        <x:v>PASS</x:v>
      </x:c>
    </x:row>
    <x:row r="11">
      <x:c r="A11" s="9" t="str">
        <x:v>2027 records included</x:v>
      </x:c>
      <x:c r="B11" s="9" t="n">
        <x:v>0</x:v>
      </x:c>
      <x:c r="C11" s="9" t="n">
        <x:v>0</x:v>
      </x:c>
      <x:c r="D11" s="9" t="str">
        <x:f>IF(B11=C11,"PASS","CHECK")</x:f>
        <x:v>PASS</x:v>
      </x:c>
    </x:row>
  </x:sheetData>
  <x:pageMargins left="0.7" right="0.7" top="0.75" bottom="0.75" header="0.3" footer="0.3"/>
</x:worksheet>
</file>

<file path=xl/worksheets/sheet52.xml><?xml version="1.0" encoding="utf-8"?>
<x:worksheet xmlns:x="http://schemas.openxmlformats.org/spreadsheetml/2006/main">
  <x:sheetFormatPr defaultRowHeight="15"/>
  <x:cols>
    <x:col min="1" max="1" width="31" hidden="0" customWidth="1"/>
    <x:col min="2" max="2" width="40" hidden="0" customWidth="1"/>
    <x:col min="3" max="3" width="18" hidden="0" customWidth="1"/>
    <x:col min="4" max="4" width="50" hidden="0" customWidth="1"/>
    <x:col min="5" max="5" width="20" hidden="0" customWidth="1"/>
    <x:col min="6" max="6" width="72" hidden="0" customWidth="1"/>
    <x:col min="7" max="7" width="70" hidden="0" customWidth="1"/>
  </x:cols>
  <x:sheetData>
    <x:row r="1">
      <x:c r="A1" s="61" t="str">
        <x:v>Polygon_ID</x:v>
      </x:c>
      <x:c r="B1" s="61" t="str">
        <x:v>Object_Name</x:v>
      </x:c>
      <x:c r="C1" s="61" t="str">
        <x:v>Closure_Status</x:v>
      </x:c>
      <x:c r="D1" s="61" t="str">
        <x:v>Geometry_Source</x:v>
      </x:c>
      <x:c r="E1" s="61" t="str">
        <x:v>2026_Event_Use</x:v>
      </x:c>
      <x:c r="F1" s="61" t="str">
        <x:v>Interpretation</x:v>
      </x:c>
      <x:c r="G1" s="61" t="str">
        <x:v>Decision</x:v>
      </x:c>
    </x:row>
    <x:row r="2">
      <x:c r="A2" s="17" t="str">
        <x:v>PG2017-TUAH-JAYA</x:v>
      </x:c>
      <x:c r="B2" s="17" t="str">
        <x:v>Kampung Tuah Jaya</x:v>
      </x:c>
      <x:c r="C2" s="17" t="str">
        <x:v>REUSED_CLOSED</x:v>
      </x:c>
      <x:c r="D2" s="17" t="str">
        <x:v>Frozen 2017 lineage; exact named community boundary</x:v>
      </x:c>
      <x:c r="E2" s="17" t="str">
        <x:v>2026-09-30</x:v>
      </x:c>
      <x:c r="F2" s="17" t="str">
        <x:v>Parent-community analysis boundary only; NOT an observed inundation footprint.</x:v>
      </x:c>
      <x:c r="G2" s="17" t="str">
        <x:v>Reuse only for explicit Kampung Tuah Jaya community event.</x:v>
      </x:c>
    </x:row>
  </x:sheetData>
  <x:pageMargins left="0.7" right="0.7" top="0.75" bottom="0.75" header="0.3" footer="0.3"/>
</x:worksheet>
</file>

<file path=xl/worksheets/sheet53.xml><?xml version="1.0" encoding="utf-8"?>
<x:worksheet xmlns:x="http://schemas.openxmlformats.org/spreadsheetml/2006/main">
  <x:sheetFormatPr defaultRowHeight="15"/>
  <x:cols>
    <x:col min="1" max="1" width="46" hidden="0" customWidth="1"/>
    <x:col min="2" max="2" width="25" hidden="0" customWidth="1"/>
    <x:col min="3" max="3" width="16" hidden="0" customWidth="1"/>
    <x:col min="4" max="4" width="14" hidden="0" customWidth="1"/>
    <x:col min="5" max="5" width="76" hidden="0" customWidth="1"/>
  </x:cols>
  <x:sheetData>
    <x:row r="1">
      <x:c r="A1" s="59" t="str">
        <x:v>Metric</x:v>
      </x:c>
      <x:c r="B1" s="59" t="str">
        <x:v>Formula / Value</x:v>
      </x:c>
      <x:c r="C1" s="59" t="str">
        <x:v>Expected</x:v>
      </x:c>
      <x:c r="D1" s="59" t="str">
        <x:v>Status</x:v>
      </x:c>
      <x:c r="E1" s="59" t="str">
        <x:v>Interpretation</x:v>
      </x:c>
    </x:row>
    <x:row r="2">
      <x:c r="A2" s="9" t="str">
        <x:v>2026 new closed polygons</x:v>
      </x:c>
      <x:c r="B2" s="9" t="n">
        <x:v>0</x:v>
      </x:c>
      <x:c r="C2" s="9" t="n">
        <x:v>0</x:v>
      </x:c>
      <x:c r="D2" s="9" t="str">
        <x:f>IF(B2=C2,"PASS","CHECK")</x:f>
        <x:v>PASS</x:v>
      </x:c>
      <x:c r="E2" s="9" t="str">
        <x:v>No new exact named closed geometry frozen.</x:v>
      </x:c>
    </x:row>
    <x:row r="3">
      <x:c r="A3" s="9" t="str">
        <x:v>2026 reused closed polygons</x:v>
      </x:c>
      <x:c r="B3" s="9" t="n">
        <x:f>COUNTA('51_2026_Polygon_Reuse'!A2:A2)</x:f>
        <x:v>1</x:v>
      </x:c>
      <x:c r="C3" s="9" t="n">
        <x:v>1</x:v>
      </x:c>
      <x:c r="D3" s="9" t="str">
        <x:f>IF(B3=C3,"PASS","CHECK")</x:f>
        <x:v>PASS</x:v>
      </x:c>
      <x:c r="E3" s="9" t="str">
        <x:v>Kampung Tuah Jaya parent-community polygon only.</x:v>
      </x:c>
    </x:row>
    <x:row r="4">
      <x:c r="A4" s="9" t="str">
        <x:v>2026 directly usable closed analysis regions</x:v>
      </x:c>
      <x:c r="B4" s="9" t="n">
        <x:f>B2+B3</x:f>
        <x:v>1</x:v>
      </x:c>
      <x:c r="C4" s="9" t="n">
        <x:v>1</x:v>
      </x:c>
      <x:c r="D4" s="9" t="str">
        <x:f>IF(B4=C4,"PASS","CHECK")</x:f>
        <x:v>PASS</x:v>
      </x:c>
      <x:c r="E4" s="9" t="str">
        <x:v>Reuse only; no geometry duplication.</x:v>
      </x:c>
    </x:row>
    <x:row r="5">
      <x:c r="A5" s="9" t="str">
        <x:v>Cumulative Polygon_ID through cut-off</x:v>
      </x:c>
      <x:c r="B5" s="9" t="n">
        <x:v>14</x:v>
      </x:c>
      <x:c r="C5" s="9" t="n">
        <x:v>14</x:v>
      </x:c>
      <x:c r="D5" s="9" t="str">
        <x:f>IF(B5=C5,"PASS","CHECK")</x:f>
        <x:v>PASS</x:v>
      </x:c>
      <x:c r="E5" s="9" t="str">
        <x:v>R022 total remains unchanged.</x:v>
      </x:c>
    </x:row>
    <x:row r="6">
      <x:c r="A6" s="9" t="str">
        <x:v>Cumulative closed polygon WKT lineage</x:v>
      </x:c>
      <x:c r="B6" s="9" t="n">
        <x:v>14</x:v>
      </x:c>
      <x:c r="C6" s="9" t="n">
        <x:v>14</x:v>
      </x:c>
      <x:c r="D6" s="9" t="str">
        <x:f>IF(B6=C6,"PASS","CHECK")</x:f>
        <x:v>PASS</x:v>
      </x:c>
      <x:c r="E6" s="9" t="str">
        <x:v>Existing formal lineage unchanged.</x:v>
      </x:c>
    </x:row>
    <x:row r="7">
      <x:c r="A7" s="9" t="str">
        <x:v>2026 exact event-location rows</x:v>
      </x:c>
      <x:c r="B7" s="9" t="n">
        <x:f>'50_QA_2026_Event_Spatial'!B3</x:f>
        <x:v>23</x:v>
      </x:c>
      <x:c r="C7" s="9" t="n">
        <x:v>23</x:v>
      </x:c>
      <x:c r="D7" s="9" t="str">
        <x:f>IF(B7=C7,"PASS","CHECK")</x:f>
        <x:v>PASS</x:v>
      </x:c>
      <x:c r="E7" s="9" t="str">
        <x:v>Cut-off 2026-10-06.</x:v>
      </x:c>
    </x:row>
    <x:row r="8">
      <x:c r="A8" s="9" t="str">
        <x:v>2026 exact episode groups</x:v>
      </x:c>
      <x:c r="B8" s="9" t="n">
        <x:f>'50_QA_2026_Event_Spatial'!B4</x:f>
        <x:v>1</x:v>
      </x:c>
      <x:c r="C8" s="9" t="n">
        <x:v>1</x:v>
      </x:c>
      <x:c r="D8" s="9" t="str">
        <x:f>IF(B8=C8,"PASS","CHECK")</x:f>
        <x:v>PASS</x:v>
      </x:c>
      <x:c r="E8" s="9" t="str">
        <x:v>One exact dated 30 Sep episode.</x:v>
      </x:c>
    </x:row>
    <x:row r="9">
      <x:c r="A9" s="9" t="str">
        <x:v>Cumulative exact event rows through cut-off</x:v>
      </x:c>
      <x:c r="B9" s="9" t="n">
        <x:f>'50_QA_2026_Event_Spatial'!B10</x:f>
        <x:v>346</x:v>
      </x:c>
      <x:c r="C9" s="9" t="n">
        <x:v>346</x:v>
      </x:c>
      <x:c r="D9" s="9" t="str">
        <x:f>IF(B9=C9,"PASS","CHECK")</x:f>
        <x:v>PASS</x:v>
      </x:c>
      <x:c r="E9" s="9" t="str">
        <x:v>R022 323 + current 2026 exact rows.</x:v>
      </x:c>
    </x:row>
    <x:row r="10">
      <x:c r="A10" s="9" t="str">
        <x:v>Formula errors in 2026 QA</x:v>
      </x:c>
      <x:c r="B10" s="9" t="n">
        <x:v>0</x:v>
      </x:c>
      <x:c r="C10" s="9" t="n">
        <x:v>0</x:v>
      </x:c>
      <x:c r="D10" s="9" t="str">
        <x:f>IF(B10=C10,"PASS","CHECK")</x:f>
        <x:v>PASS</x:v>
      </x:c>
      <x:c r="E10" s="9" t="str">
        <x:v>Checked after workbook build.</x:v>
      </x:c>
    </x:row>
    <x:row r="11">
      <x:c r="A11" s="9" t="str">
        <x:v>2027 records included</x:v>
      </x:c>
      <x:c r="B11" s="9" t="n">
        <x:v>0</x:v>
      </x:c>
      <x:c r="C11" s="9" t="n">
        <x:v>0</x:v>
      </x:c>
      <x:c r="D11" s="9" t="str">
        <x:f>IF(B11=C11,"PASS","CHECK")</x:f>
        <x:v>PASS</x:v>
      </x:c>
      <x:c r="E11" s="9" t="str">
        <x:v>Hard stop before 2027.</x:v>
      </x:c>
    </x:row>
  </x:sheetData>
  <x:pageMargins left="0.7" right="0.7" top="0.75" bottom="0.75" header="0.3" footer="0.3"/>
</x:worksheet>
</file>