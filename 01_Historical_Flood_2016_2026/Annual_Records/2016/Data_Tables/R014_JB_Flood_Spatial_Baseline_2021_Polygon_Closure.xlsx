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1d4b1f7580e4d6f" /></Relationships>
</file>

<file path=xl/workbook.xml><?xml version="1.0" encoding="utf-8"?>
<x:workbook xmlns:x="http://schemas.openxmlformats.org/spreadsheetml/2006/main">
  <x:sheets>
    <x:sheet xmlns:r="http://schemas.openxmlformats.org/officeDocument/2006/relationships" name="00_README" sheetId="1" r:id="Rbd1571fcc23046c8"/>
    <x:sheet xmlns:r="http://schemas.openxmlformats.org/officeDocument/2006/relationships" name="01_2021_Event_Master" sheetId="2" r:id="R1f99dcdae4c24e4f"/>
    <x:sheet xmlns:r="http://schemas.openxmlformats.org/officeDocument/2006/relationships" name="02_2021_Source_Register" sheetId="3" r:id="R2abd6a3399f543aa"/>
    <x:sheet xmlns:r="http://schemas.openxmlformats.org/officeDocument/2006/relationships" name="03_2021_Spatial_Resolution" sheetId="4" r:id="Rfa778223f6da4c91"/>
    <x:sheet xmlns:r="http://schemas.openxmlformats.org/officeDocument/2006/relationships" name="04_2021_Open_Objects" sheetId="5" r:id="Re9d32cb99f564829"/>
    <x:sheet xmlns:r="http://schemas.openxmlformats.org/officeDocument/2006/relationships" name="05_Carry_Forward_R012" sheetId="6" r:id="R61c73b12abb64d46"/>
    <x:sheet xmlns:r="http://schemas.openxmlformats.org/officeDocument/2006/relationships" name="06_QA_Event_Spatial" sheetId="7" r:id="R2a2bcfdac1b44e9d"/>
    <x:sheet xmlns:r="http://schemas.openxmlformats.org/officeDocument/2006/relationships" name="07_2021_Polygon_Master" sheetId="8" r:id="R11fc0f6aae2141a1"/>
    <x:sheet xmlns:r="http://schemas.openxmlformats.org/officeDocument/2006/relationships" name="08_QA_2021_Closure" sheetId="9" r:id="R9eed68b3b5da40c9"/>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2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0" xfId="0" applyNumberFormat="1" applyFont="1" applyFill="1" applyBorder="1" applyAlignment="1">
      <x:alignment horizont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vertical="center" wrapText="1"/>
    </x:xf>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0f75f5593484b61" /><Relationship Type="http://schemas.openxmlformats.org/officeDocument/2006/relationships/theme" Target="/xl/theme/theme1.xml" Id="Rbcaf56299975441d" /><Relationship Type="http://schemas.microsoft.com/office/2022/11/relationships/FeaturePropertyBag" Target="/xl/featurePropertyBag/featurePropertyBag.xml" Id="R300034493fe74e2a" /><Relationship Type="http://schemas.openxmlformats.org/officeDocument/2006/relationships/sharedStrings" Target="/xl/sharedStrings.xml" Id="Rf21cb2dbe9a34b9d" /><Relationship Type="http://schemas.openxmlformats.org/officeDocument/2006/relationships/worksheet" Target="/xl/worksheets/sheet1.xml" Id="Rbd1571fcc23046c8" /><Relationship Type="http://schemas.openxmlformats.org/officeDocument/2006/relationships/worksheet" Target="/xl/worksheets/sheet2.xml" Id="R1f99dcdae4c24e4f" /><Relationship Type="http://schemas.openxmlformats.org/officeDocument/2006/relationships/worksheet" Target="/xl/worksheets/sheet3.xml" Id="R2abd6a3399f543aa" /><Relationship Type="http://schemas.openxmlformats.org/officeDocument/2006/relationships/worksheet" Target="/xl/worksheets/sheet4.xml" Id="Rfa778223f6da4c91" /><Relationship Type="http://schemas.openxmlformats.org/officeDocument/2006/relationships/worksheet" Target="/xl/worksheets/sheet5.xml" Id="Re9d32cb99f564829" /><Relationship Type="http://schemas.openxmlformats.org/officeDocument/2006/relationships/worksheet" Target="/xl/worksheets/sheet6.xml" Id="R61c73b12abb64d46" /><Relationship Type="http://schemas.openxmlformats.org/officeDocument/2006/relationships/worksheet" Target="/xl/worksheets/sheet7.xml" Id="R2a2bcfdac1b44e9d" /><Relationship Type="http://schemas.openxmlformats.org/officeDocument/2006/relationships/worksheet" Target="/xl/worksheets/sheet8.xml" Id="R11fc0f6aae2141a1" /><Relationship Type="http://schemas.openxmlformats.org/officeDocument/2006/relationships/worksheet" Target="/xl/worksheets/sheet9.xml" Id="R9eed68b3b5da40c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32" hidden="0" customWidth="1"/>
    <x:col min="2" max="2" width="92" hidden="0" customWidth="1"/>
  </x:cols>
  <x:sheetData>
    <x:row r="1">
      <x:c r="A1" s="8" t="str">
        <x:v>Item</x:v>
      </x:c>
      <x:c r="B1" s="8" t="str">
        <x:v>Definition / status</x:v>
      </x:c>
    </x:row>
    <x:row r="2">
      <x:c r="A2" s="9" t="str">
        <x:v>Formal parent baseline</x:v>
      </x:c>
      <x:c r="B2" s="9" t="str">
        <x:v>R012_JB_Flood_Spatial_Baseline_2020_Polygon_Closure.xlsx</x:v>
      </x:c>
    </x:row>
    <x:row r="3">
      <x:c r="A3" s="9" t="str">
        <x:v>2021 scope</x:v>
      </x:c>
      <x:c r="B3" s="9" t="str">
        <x:v>2021 only. No 2022 data are included.</x:v>
      </x:c>
    </x:row>
    <x:row r="4">
      <x:c r="A4" s="9" t="str">
        <x:v>Event counting unit</x:v>
      </x:c>
      <x:c r="B4" s="9" t="str">
        <x:v>One row = one event-location record; locations in the same flood episode share a Dedup_Group_ID.</x:v>
      </x:c>
    </x:row>
    <x:row r="5">
      <x:c r="A5" s="9" t="str">
        <x:v>Duplicate rule</x:v>
      </x:c>
      <x:c r="B5" s="9" t="str">
        <x:v>Multiple reports of the same location in the same episode do not add event counts.</x:v>
      </x:c>
    </x:row>
    <x:row r="6">
      <x:c r="A6" s="9" t="str">
        <x:v>A1/A2 rule</x:v>
      </x:c>
      <x:c r="B6" s="9" t="str">
        <x:v>Older A1/A2 checkpoints were used only as search leads; formal 2021 rows were re-verified against cited sources.</x:v>
      </x:c>
    </x:row>
    <x:row r="7">
      <x:c r="A7" s="9" t="str">
        <x:v>Polygon rule</x:v>
      </x:c>
      <x:c r="B7" s="9" t="str">
        <x:v>Closed analysis polygon requires defensible source geometry. Community/facility polygons are not automatically inundation footprints.</x:v>
      </x:c>
    </x:row>
    <x:row r="8">
      <x:c r="A8" s="9" t="str">
        <x:v>Road rule</x:v>
      </x:c>
      <x:c r="B8" s="9" t="str">
        <x:v>A whole named road/highway is never assumed flooded; exact affected start/end segment remains OPEN without evidence.</x:v>
      </x:c>
    </x:row>
    <x:row r="9">
      <x:c r="A9" s="9" t="str">
        <x:v>2021 event-location rows</x:v>
      </x:c>
      <x:c r="B9" s="9" t="n">
        <x:v>46</x:v>
      </x:c>
    </x:row>
    <x:row r="10">
      <x:c r="A10" s="9" t="str">
        <x:v>2021 episode groups</x:v>
      </x:c>
      <x:c r="B10" s="9" t="n">
        <x:v>8</x:v>
      </x:c>
    </x:row>
    <x:row r="11">
      <x:c r="A11" s="9" t="str">
        <x:v>2021 unique spatial objects</x:v>
      </x:c>
      <x:c r="B11" s="9" t="n">
        <x:v>31</x:v>
      </x:c>
    </x:row>
    <x:row r="12">
      <x:c r="A12" s="9" t="str">
        <x:v>Strict Point-GIS-ready objects</x:v>
      </x:c>
      <x:c r="B12" s="9" t="n">
        <x:v>15</x:v>
      </x:c>
    </x:row>
    <x:row r="13">
      <x:c r="A13" s="9" t="str">
        <x:v>New closed polygons</x:v>
      </x:c>
      <x:c r="B13" s="9" t="n">
        <x:v>2</x:v>
      </x:c>
    </x:row>
    <x:row r="14">
      <x:c r="A14" s="9" t="str">
        <x:v>Reused closed polygons</x:v>
      </x:c>
      <x:c r="B14" s="9" t="n">
        <x:v>2</x:v>
      </x:c>
    </x:row>
    <x:row r="15">
      <x:c r="A15" s="9" t="str">
        <x:v>Directly usable 2021 closed analysis regions</x:v>
      </x:c>
      <x:c r="B15" s="9" t="n">
        <x:v>4</x:v>
      </x:c>
    </x:row>
    <x:row r="16">
      <x:c r="A16" s="9" t="str">
        <x:v>Cumulative event rows through 2020</x:v>
      </x:c>
      <x:c r="B16" s="9" t="n">
        <x:v>111</x:v>
      </x:c>
    </x:row>
    <x:row r="17">
      <x:c r="A17" s="9" t="str">
        <x:v>Cumulative event rows through 2021</x:v>
      </x:c>
      <x:c r="B17" s="9" t="n">
        <x:v>157</x:v>
      </x:c>
    </x:row>
    <x:row r="18">
      <x:c r="A18" s="9" t="str">
        <x:v>Cumulative closed polygons through 2020</x:v>
      </x:c>
      <x:c r="B18" s="9" t="n">
        <x:v>12</x:v>
      </x:c>
    </x:row>
    <x:row r="19">
      <x:c r="A19" s="9" t="str">
        <x:v>Cumulative closed polygons through 2021</x:v>
      </x:c>
      <x:c r="B19" s="9" t="n">
        <x:v>14</x:v>
      </x:c>
    </x:row>
    <x:row r="20">
      <x:c r="A20" s="9" t="str">
        <x:v>R012 byte-safety note</x:v>
      </x:c>
      <x:c r="B20" s="9" t="str">
        <x:v>R013/R014 are incremental 2021 layers keyed to R012; they do not renumber or overwrite the 77 frozen Location_IDs in R012.</x:v>
      </x:c>
    </x:row>
    <x:row r="21">
      <x:c r="A21" s="9" t="str">
        <x:v>2021 annual status</x:v>
      </x:c>
      <x:c r="B21" s="9" t="str">
        <x:v>Current defensible geometry frozen; unresolved road/subarea/identity objects retained for manual analysis.</x:v>
      </x:c>
    </x:row>
    <x:row r="22">
      <x:c r="A22" s="9" t="str">
        <x:v>Next-year rule</x:v>
      </x:c>
      <x:c r="B22" s="9" t="str">
        <x:v>STOP after 2021. Do not start 2022 without a new explicit instruction.</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20" hidden="0" customWidth="1"/>
    <x:col min="2" max="2" width="13" hidden="0" customWidth="1"/>
    <x:col min="3" max="3" width="27" hidden="0" customWidth="1"/>
    <x:col min="4" max="4" width="31" hidden="0" customWidth="1"/>
    <x:col min="5" max="5" width="16" hidden="0" customWidth="1"/>
    <x:col min="6" max="6" width="31" hidden="0" customWidth="1"/>
    <x:col min="7" max="7" width="22" hidden="0" customWidth="1"/>
    <x:col min="8" max="8" width="13" hidden="0" customWidth="1"/>
    <x:col min="9" max="9" width="27" hidden="0" customWidth="1"/>
    <x:col min="10" max="10" width="27" hidden="0" customWidth="1"/>
    <x:col min="11" max="11" width="36" hidden="0" customWidth="1"/>
    <x:col min="12" max="12" width="48" hidden="0" customWidth="1"/>
  </x:cols>
  <x:sheetData>
    <x:row r="1">
      <x:c r="A1" s="16" t="str">
        <x:v>Event_ID</x:v>
      </x:c>
      <x:c r="B1" s="16" t="str">
        <x:v>Event_Date</x:v>
      </x:c>
      <x:c r="C1" s="16" t="str">
        <x:v>Dedup_Group_ID</x:v>
      </x:c>
      <x:c r="D1" s="16" t="str">
        <x:v>Source_Location_Label</x:v>
      </x:c>
      <x:c r="E1" s="16" t="str">
        <x:v>Spatial_Object_Key</x:v>
      </x:c>
      <x:c r="F1" s="16" t="str">
        <x:v>Canonical_Spatial_Object</x:v>
      </x:c>
      <x:c r="G1" s="16" t="str">
        <x:v>Event_Type</x:v>
      </x:c>
      <x:c r="H1" s="16" t="str">
        <x:v>Evidence_Tier</x:v>
      </x:c>
      <x:c r="I1" s="16" t="str">
        <x:v>Primary_Source_ID</x:v>
      </x:c>
      <x:c r="J1" s="16" t="str">
        <x:v>Secondary_Source_ID</x:v>
      </x:c>
      <x:c r="K1" s="16" t="str">
        <x:v>Date_Precision</x:v>
      </x:c>
      <x:c r="L1" s="16" t="str">
        <x:v>Notes</x:v>
      </x:c>
    </x:row>
    <x:row r="2">
      <x:c r="A2" s="17" t="str">
        <x:v>EVT-JB-2021-001</x:v>
      </x:c>
      <x:c r="B2" s="17" t="str">
        <x:v>2021-01-02</x:v>
      </x:c>
      <x:c r="C2" s="17" t="str">
        <x:v>DG-JB-20210101-20210102</x:v>
      </x:c>
      <x:c r="D2" s="17" t="str">
        <x:v>Kampung Laut Batu 10, Skudai</x:v>
      </x:c>
      <x:c r="E2" s="17" t="str">
        <x:v>S2021-001</x:v>
      </x:c>
      <x:c r="F2" s="17" t="str">
        <x:v>Kampung Laut Batu 10, Skudai</x:v>
      </x:c>
      <x:c r="G2" s="17" t="str">
        <x:v>Flood / flash flood</x:v>
      </x:c>
      <x:c r="H2" s="17" t="str">
        <x:v>A/B</x:v>
      </x:c>
      <x:c r="I2" s="17" t="str">
        <x:v>SRC2021-JAN02-BERNAMA</x:v>
      </x:c>
      <x:c r="J2" s="17" t="str">
        <x:v>SRC2021-JAN02-KOSMO</x:v>
      </x:c>
      <x:c r="K2" s="17" t="str">
        <x:v>Episode spans 2021-01-01 to 2021-01-02; anchored to confirmed 2 Jan evidence</x:v>
      </x:c>
      <x:c r="L2" s="17" t="str"/>
    </x:row>
    <x:row r="3">
      <x:c r="A3" s="17" t="str">
        <x:v>EVT-JB-2021-002</x:v>
      </x:c>
      <x:c r="B3" s="17" t="str">
        <x:v>2021-01-02</x:v>
      </x:c>
      <x:c r="C3" s="17" t="str">
        <x:v>DG-JB-20210101-20210102</x:v>
      </x:c>
      <x:c r="D3" s="17" t="str">
        <x:v>Kampung Sentosa Barat</x:v>
      </x:c>
      <x:c r="E3" s="17" t="str">
        <x:v>S2021-002</x:v>
      </x:c>
      <x:c r="F3" s="17" t="str">
        <x:v>Kampung Sentosa Barat</x:v>
      </x:c>
      <x:c r="G3" s="17" t="str">
        <x:v>Flood / flash flood</x:v>
      </x:c>
      <x:c r="H3" s="17" t="str">
        <x:v>A/B</x:v>
      </x:c>
      <x:c r="I3" s="17" t="str">
        <x:v>SRC2021-JAN02-BERNAMA</x:v>
      </x:c>
      <x:c r="J3" s="17" t="str">
        <x:v>SRC2021-JAN02-KOSMO</x:v>
      </x:c>
      <x:c r="K3" s="17" t="str">
        <x:v>Episode spans 2021-01-01 to 2021-01-02; anchored to confirmed 2 Jan evidence</x:v>
      </x:c>
      <x:c r="L3" s="17" t="str"/>
    </x:row>
    <x:row r="4">
      <x:c r="A4" s="17" t="str">
        <x:v>EVT-JB-2021-003</x:v>
      </x:c>
      <x:c r="B4" s="17" t="str">
        <x:v>2021-01-02</x:v>
      </x:c>
      <x:c r="C4" s="17" t="str">
        <x:v>DG-JB-20210101-20210102</x:v>
      </x:c>
      <x:c r="D4" s="17" t="str">
        <x:v>Kampung Sentosa Damai</x:v>
      </x:c>
      <x:c r="E4" s="17" t="str">
        <x:v>S2021-003</x:v>
      </x:c>
      <x:c r="F4" s="17" t="str">
        <x:v>Kampung Sentosa Damai</x:v>
      </x:c>
      <x:c r="G4" s="17" t="str">
        <x:v>Flood / flash flood</x:v>
      </x:c>
      <x:c r="H4" s="17" t="str">
        <x:v>A/B</x:v>
      </x:c>
      <x:c r="I4" s="17" t="str">
        <x:v>SRC2021-JAN02-BERNAMA</x:v>
      </x:c>
      <x:c r="J4" s="17" t="str">
        <x:v>SRC2021-JAN02-KOSMO</x:v>
      </x:c>
      <x:c r="K4" s="17" t="str">
        <x:v>Episode spans 2021-01-01 to 2021-01-02; anchored to confirmed 2 Jan evidence</x:v>
      </x:c>
      <x:c r="L4" s="17" t="str"/>
    </x:row>
    <x:row r="5">
      <x:c r="A5" s="17" t="str">
        <x:v>EVT-JB-2021-004</x:v>
      </x:c>
      <x:c r="B5" s="17" t="str">
        <x:v>2021-01-02</x:v>
      </x:c>
      <x:c r="C5" s="17" t="str">
        <x:v>DG-JB-20210101-20210102</x:v>
      </x:c>
      <x:c r="D5" s="17" t="str">
        <x:v>Lorong Aris Batu 8, Skudai</x:v>
      </x:c>
      <x:c r="E5" s="17" t="str">
        <x:v>S2021-004</x:v>
      </x:c>
      <x:c r="F5" s="17" t="str">
        <x:v>Lorong Aris Batu 8, Skudai</x:v>
      </x:c>
      <x:c r="G5" s="17" t="str">
        <x:v>Flood / flash flood</x:v>
      </x:c>
      <x:c r="H5" s="17" t="str">
        <x:v>A/B</x:v>
      </x:c>
      <x:c r="I5" s="17" t="str">
        <x:v>SRC2021-JAN02-BERNAMA</x:v>
      </x:c>
      <x:c r="J5" s="17" t="str">
        <x:v>SRC2021-DOSM-JB</x:v>
      </x:c>
      <x:c r="K5" s="17" t="str">
        <x:v>Episode spans 2021-01-01 to 2021-01-02; anchored to confirmed 2 Jan evidence</x:v>
      </x:c>
      <x:c r="L5" s="17" t="str"/>
    </x:row>
    <x:row r="6">
      <x:c r="A6" s="17" t="str">
        <x:v>EVT-JB-2021-005</x:v>
      </x:c>
      <x:c r="B6" s="17" t="str">
        <x:v>2021-01-02</x:v>
      </x:c>
      <x:c r="C6" s="17" t="str">
        <x:v>DG-JB-20210101-20210102</x:v>
      </x:c>
      <x:c r="D6" s="17" t="str">
        <x:v>Rumah Orang Tua Sam Poh</x:v>
      </x:c>
      <x:c r="E6" s="17" t="str">
        <x:v>S2021-005</x:v>
      </x:c>
      <x:c r="F6" s="17" t="str">
        <x:v>Rumah Orang Tua Sam Poh</x:v>
      </x:c>
      <x:c r="G6" s="17" t="str">
        <x:v>Flood / flash flood</x:v>
      </x:c>
      <x:c r="H6" s="17" t="str">
        <x:v>A/B</x:v>
      </x:c>
      <x:c r="I6" s="17" t="str">
        <x:v>SRC2021-JAN02-BERNAMA</x:v>
      </x:c>
      <x:c r="J6" s="17" t="str">
        <x:v>SRC2021-DOSM-JB</x:v>
      </x:c>
      <x:c r="K6" s="17" t="str">
        <x:v>Episode spans 2021-01-01 to 2021-01-02; anchored to confirmed 2 Jan evidence</x:v>
      </x:c>
      <x:c r="L6" s="17" t="str"/>
    </x:row>
    <x:row r="7">
      <x:c r="A7" s="17" t="str">
        <x:v>EVT-JB-2021-006</x:v>
      </x:c>
      <x:c r="B7" s="17" t="str">
        <x:v>2021-01-02</x:v>
      </x:c>
      <x:c r="C7" s="17" t="str">
        <x:v>DG-JB-20210101-20210102</x:v>
      </x:c>
      <x:c r="D7" s="17" t="str">
        <x:v>Kampung Pasir</x:v>
      </x:c>
      <x:c r="E7" s="17" t="str">
        <x:v>S2021-006</x:v>
      </x:c>
      <x:c r="F7" s="17" t="str">
        <x:v>Kampung Pasir</x:v>
      </x:c>
      <x:c r="G7" s="17" t="str">
        <x:v>Flood / flash flood</x:v>
      </x:c>
      <x:c r="H7" s="17" t="str">
        <x:v>A/B</x:v>
      </x:c>
      <x:c r="I7" s="17" t="str">
        <x:v>SRC2021-JAN02-KOSMO</x:v>
      </x:c>
      <x:c r="J7" s="17" t="str"/>
      <x:c r="K7" s="17" t="str">
        <x:v>Episode spans 2021-01-01 to 2021-01-02; anchored to confirmed 2 Jan evidence</x:v>
      </x:c>
      <x:c r="L7" s="17" t="str">
        <x:v>PPS had already closed by report time; event still explicitly linked.</x:v>
      </x:c>
    </x:row>
    <x:row r="8">
      <x:c r="A8" s="17" t="str">
        <x:v>EVT-JB-2021-007</x:v>
      </x:c>
      <x:c r="B8" s="17" t="str">
        <x:v>2021-01-02</x:v>
      </x:c>
      <x:c r="C8" s="17" t="str">
        <x:v>DG-JB-20210101-20210102</x:v>
      </x:c>
      <x:c r="D8" s="17" t="str">
        <x:v>Kampung Teluk Serdang Baru</x:v>
      </x:c>
      <x:c r="E8" s="17" t="str">
        <x:v>S2021-007</x:v>
      </x:c>
      <x:c r="F8" s="17" t="str">
        <x:v>Kampung Teluk Serdang Baru</x:v>
      </x:c>
      <x:c r="G8" s="17" t="str">
        <x:v>Flood / flash flood</x:v>
      </x:c>
      <x:c r="H8" s="17" t="str">
        <x:v>A/B</x:v>
      </x:c>
      <x:c r="I8" s="17" t="str">
        <x:v>SRC2021-JAN02-KOSMO</x:v>
      </x:c>
      <x:c r="J8" s="17" t="str"/>
      <x:c r="K8" s="17" t="str">
        <x:v>Episode spans 2021-01-01 to 2021-01-02; anchored to confirmed 2 Jan evidence</x:v>
      </x:c>
      <x:c r="L8" s="17" t="str">
        <x:v>PPS had already closed by report time; event still explicitly linked.</x:v>
      </x:c>
    </x:row>
    <x:row r="9">
      <x:c r="A9" s="17" t="str">
        <x:v>EVT-JB-2021-008</x:v>
      </x:c>
      <x:c r="B9" s="17" t="str">
        <x:v>2021-01-02</x:v>
      </x:c>
      <x:c r="C9" s="17" t="str">
        <x:v>DG-JB-20210101-20210102</x:v>
      </x:c>
      <x:c r="D9" s="17" t="str">
        <x:v>Kampung Sepakat Baru</x:v>
      </x:c>
      <x:c r="E9" s="17" t="str">
        <x:v>S2021-008</x:v>
      </x:c>
      <x:c r="F9" s="17" t="str">
        <x:v>Kampung Sepakat Baru</x:v>
      </x:c>
      <x:c r="G9" s="17" t="str">
        <x:v>Flood / flash flood</x:v>
      </x:c>
      <x:c r="H9" s="17" t="str">
        <x:v>A/B</x:v>
      </x:c>
      <x:c r="I9" s="17" t="str">
        <x:v>SRC2021-JAN02-BERNAMA-PHOTO</x:v>
      </x:c>
      <x:c r="J9" s="17" t="str"/>
      <x:c r="K9" s="17" t="str">
        <x:v>Episode spans 2021-01-01 to 2021-01-02; anchored to confirmed 2 Jan evidence</x:v>
      </x:c>
      <x:c r="L9" s="17" t="str">
        <x:v>Bernama documentary evidence.</x:v>
      </x:c>
    </x:row>
    <x:row r="10">
      <x:c r="A10" s="17" t="str">
        <x:v>EVT-JB-2021-009</x:v>
      </x:c>
      <x:c r="B10" s="17" t="str">
        <x:v>2021-01-02</x:v>
      </x:c>
      <x:c r="C10" s="17" t="str">
        <x:v>DG-JB-20210101-20210102</x:v>
      </x:c>
      <x:c r="D10" s="17" t="str">
        <x:v>Kampung Paya Kenangan</x:v>
      </x:c>
      <x:c r="E10" s="17" t="str">
        <x:v>S2021-009</x:v>
      </x:c>
      <x:c r="F10" s="17" t="str">
        <x:v>Kampung Paya Kenangan</x:v>
      </x:c>
      <x:c r="G10" s="17" t="str">
        <x:v>Flood / flash flood</x:v>
      </x:c>
      <x:c r="H10" s="17" t="str">
        <x:v>A/B</x:v>
      </x:c>
      <x:c r="I10" s="17" t="str">
        <x:v>SRC2021-JAN04-BERNAMA</x:v>
      </x:c>
      <x:c r="J10" s="17" t="str">
        <x:v>SRC2021-JAN04-UTUSAN</x:v>
      </x:c>
      <x:c r="K10" s="17" t="str">
        <x:v>Exact day inferred from 'two days ago' statement</x:v>
      </x:c>
      <x:c r="L10" s="17" t="str">
        <x:v>4 Jan source states flood occurred two days earlier.</x:v>
      </x:c>
    </x:row>
    <x:row r="11">
      <x:c r="A11" s="17" t="str">
        <x:v>EVT-JB-2021-010</x:v>
      </x:c>
      <x:c r="B11" s="17" t="str">
        <x:v>2021-01-02</x:v>
      </x:c>
      <x:c r="C11" s="17" t="str">
        <x:v>DG-JB-20210101-20210102</x:v>
      </x:c>
      <x:c r="D11" s="17" t="str">
        <x:v>Kampung Pasir Tebrau</x:v>
      </x:c>
      <x:c r="E11" s="17" t="str">
        <x:v>S2021-010</x:v>
      </x:c>
      <x:c r="F11" s="17" t="str">
        <x:v>Kampung Pasir Tebrau</x:v>
      </x:c>
      <x:c r="G11" s="17" t="str">
        <x:v>Flood / flash flood</x:v>
      </x:c>
      <x:c r="H11" s="17" t="str">
        <x:v>A/B</x:v>
      </x:c>
      <x:c r="I11" s="17" t="str">
        <x:v>SRC2021-JAN04-BERNAMA</x:v>
      </x:c>
      <x:c r="J11" s="17" t="str">
        <x:v>SRC2021-JAN04-UTUSAN</x:v>
      </x:c>
      <x:c r="K11" s="17" t="str">
        <x:v>Exact day inferred from 'two days ago' statement</x:v>
      </x:c>
      <x:c r="L11" s="17" t="str">
        <x:v>4 Jan source states flood occurred two days earlier.</x:v>
      </x:c>
    </x:row>
    <x:row r="12">
      <x:c r="A12" s="17" t="str">
        <x:v>EVT-JB-2021-011</x:v>
      </x:c>
      <x:c r="B12" s="17" t="str">
        <x:v>2021-01-02</x:v>
      </x:c>
      <x:c r="C12" s="17" t="str">
        <x:v>DG-JB-20210101-20210102</x:v>
      </x:c>
      <x:c r="D12" s="17" t="str">
        <x:v>Kampung Kangkar Tebrau</x:v>
      </x:c>
      <x:c r="E12" s="17" t="str">
        <x:v>S2021-011</x:v>
      </x:c>
      <x:c r="F12" s="17" t="str">
        <x:v>Kampung Kangkar Tebrau</x:v>
      </x:c>
      <x:c r="G12" s="17" t="str">
        <x:v>Flood / flash flood</x:v>
      </x:c>
      <x:c r="H12" s="17" t="str">
        <x:v>A/B</x:v>
      </x:c>
      <x:c r="I12" s="17" t="str">
        <x:v>SRC2021-JAN04-BERNAMA</x:v>
      </x:c>
      <x:c r="J12" s="17" t="str">
        <x:v>SRC2021-JAN04-UTUSAN</x:v>
      </x:c>
      <x:c r="K12" s="17" t="str">
        <x:v>Exact day inferred from 'two days ago' statement</x:v>
      </x:c>
      <x:c r="L12" s="17" t="str">
        <x:v>4 Jan source states flood occurred two days earlier.</x:v>
      </x:c>
    </x:row>
    <x:row r="13">
      <x:c r="A13" s="17" t="str">
        <x:v>EVT-JB-2021-012</x:v>
      </x:c>
      <x:c r="B13" s="17" t="str">
        <x:v>2021-01-10</x:v>
      </x:c>
      <x:c r="C13" s="17" t="str">
        <x:v>DG-JB-20210110</x:v>
      </x:c>
      <x:c r="D13" s="17" t="str">
        <x:v>Kampung Laut</x:v>
      </x:c>
      <x:c r="E13" s="17" t="str">
        <x:v>S2021-001</x:v>
      </x:c>
      <x:c r="F13" s="17" t="str">
        <x:v>Kampung Laut Batu 10, Skudai</x:v>
      </x:c>
      <x:c r="G13" s="17" t="str">
        <x:v>Flood</x:v>
      </x:c>
      <x:c r="H13" s="17" t="str">
        <x:v>B</x:v>
      </x:c>
      <x:c r="I13" s="17" t="str">
        <x:v>SRC2021-JAN10-KOSMO</x:v>
      </x:c>
      <x:c r="J13" s="17" t="str">
        <x:v>SRC2021-JAN10-BERNAMA-MM</x:v>
      </x:c>
      <x:c r="K13" s="17" t="str">
        <x:v>Exact day</x:v>
      </x:c>
      <x:c r="L13" s="17" t="str"/>
    </x:row>
    <x:row r="14">
      <x:c r="A14" s="17" t="str">
        <x:v>EVT-JB-2021-013</x:v>
      </x:c>
      <x:c r="B14" s="17" t="str">
        <x:v>2021-01-10</x:v>
      </x:c>
      <x:c r="C14" s="17" t="str">
        <x:v>DG-JB-20210110</x:v>
      </x:c>
      <x:c r="D14" s="17" t="str">
        <x:v>Kampung Sepakat</x:v>
      </x:c>
      <x:c r="E14" s="17" t="str">
        <x:v>S2021-008</x:v>
      </x:c>
      <x:c r="F14" s="17" t="str">
        <x:v>Kampung Sepakat Baru</x:v>
      </x:c>
      <x:c r="G14" s="17" t="str">
        <x:v>Flood</x:v>
      </x:c>
      <x:c r="H14" s="17" t="str">
        <x:v>B</x:v>
      </x:c>
      <x:c r="I14" s="17" t="str">
        <x:v>SRC2021-JAN10-KOSMO</x:v>
      </x:c>
      <x:c r="J14" s="17" t="str"/>
      <x:c r="K14" s="17" t="str">
        <x:v>Exact day</x:v>
      </x:c>
      <x:c r="L14" s="17" t="str">
        <x:v>Source label 'Kampung Sepakat' normalized cautiously to established Kampung Sepakat Baru object.</x:v>
      </x:c>
    </x:row>
    <x:row r="15">
      <x:c r="A15" s="17" t="str">
        <x:v>EVT-JB-2021-014</x:v>
      </x:c>
      <x:c r="B15" s="17" t="str">
        <x:v>2021-01-10</x:v>
      </x:c>
      <x:c r="C15" s="17" t="str">
        <x:v>DG-JB-20210110</x:v>
      </x:c>
      <x:c r="D15" s="17" t="str">
        <x:v>Simpang Mados</x:v>
      </x:c>
      <x:c r="E15" s="17" t="str">
        <x:v>S2021-012</x:v>
      </x:c>
      <x:c r="F15" s="17" t="str">
        <x:v>Simpang Mados</x:v>
      </x:c>
      <x:c r="G15" s="17" t="str">
        <x:v>Flood</x:v>
      </x:c>
      <x:c r="H15" s="17" t="str">
        <x:v>B</x:v>
      </x:c>
      <x:c r="I15" s="17" t="str">
        <x:v>SRC2021-JAN10-KOSMO</x:v>
      </x:c>
      <x:c r="J15" s="17" t="str"/>
      <x:c r="K15" s="17" t="str">
        <x:v>Exact day</x:v>
      </x:c>
      <x:c r="L15" s="17" t="str"/>
    </x:row>
    <x:row r="16">
      <x:c r="A16" s="17" t="str">
        <x:v>EVT-JB-2021-015</x:v>
      </x:c>
      <x:c r="B16" s="17" t="str">
        <x:v>2021-01-10</x:v>
      </x:c>
      <x:c r="C16" s="17" t="str">
        <x:v>DG-JB-20210110</x:v>
      </x:c>
      <x:c r="D16" s="17" t="str">
        <x:v>Batu 20 Sungai Tiram</x:v>
      </x:c>
      <x:c r="E16" s="17" t="str">
        <x:v>S2021-013</x:v>
      </x:c>
      <x:c r="F16" s="17" t="str">
        <x:v>Batu 20 Sungai Tiram</x:v>
      </x:c>
      <x:c r="G16" s="17" t="str">
        <x:v>Flood</x:v>
      </x:c>
      <x:c r="H16" s="17" t="str">
        <x:v>B</x:v>
      </x:c>
      <x:c r="I16" s="17" t="str">
        <x:v>SRC2021-JAN10-KOSMO</x:v>
      </x:c>
      <x:c r="J16" s="17" t="str"/>
      <x:c r="K16" s="17" t="str">
        <x:v>Exact day</x:v>
      </x:c>
      <x:c r="L16" s="17" t="str"/>
    </x:row>
    <x:row r="17">
      <x:c r="A17" s="17" t="str">
        <x:v>EVT-JB-2021-016</x:v>
      </x:c>
      <x:c r="B17" s="17" t="str">
        <x:v>2021-01-10</x:v>
      </x:c>
      <x:c r="C17" s="17" t="str">
        <x:v>DG-JB-20210110</x:v>
      </x:c>
      <x:c r="D17" s="17" t="str">
        <x:v>Kampung Sentosa Damai</x:v>
      </x:c>
      <x:c r="E17" s="17" t="str">
        <x:v>S2021-003</x:v>
      </x:c>
      <x:c r="F17" s="17" t="str">
        <x:v>Kampung Sentosa Damai</x:v>
      </x:c>
      <x:c r="G17" s="17" t="str">
        <x:v>Flood</x:v>
      </x:c>
      <x:c r="H17" s="17" t="str">
        <x:v>B</x:v>
      </x:c>
      <x:c r="I17" s="17" t="str">
        <x:v>SRC2021-JAN10-KOSMO</x:v>
      </x:c>
      <x:c r="J17" s="17" t="str"/>
      <x:c r="K17" s="17" t="str">
        <x:v>Exact day</x:v>
      </x:c>
      <x:c r="L17" s="17" t="str"/>
    </x:row>
    <x:row r="18">
      <x:c r="A18" s="17" t="str">
        <x:v>EVT-JB-2021-017</x:v>
      </x:c>
      <x:c r="B18" s="17" t="str">
        <x:v>2021-01-10</x:v>
      </x:c>
      <x:c r="C18" s="17" t="str">
        <x:v>DG-JB-20210110</x:v>
      </x:c>
      <x:c r="D18" s="17" t="str">
        <x:v>Kampung Sentosa Barat</x:v>
      </x:c>
      <x:c r="E18" s="17" t="str">
        <x:v>S2021-002</x:v>
      </x:c>
      <x:c r="F18" s="17" t="str">
        <x:v>Kampung Sentosa Barat</x:v>
      </x:c>
      <x:c r="G18" s="17" t="str">
        <x:v>Flood</x:v>
      </x:c>
      <x:c r="H18" s="17" t="str">
        <x:v>B</x:v>
      </x:c>
      <x:c r="I18" s="17" t="str">
        <x:v>SRC2021-JAN10-KOSMO</x:v>
      </x:c>
      <x:c r="J18" s="17" t="str"/>
      <x:c r="K18" s="17" t="str">
        <x:v>Exact day</x:v>
      </x:c>
      <x:c r="L18" s="17" t="str"/>
    </x:row>
    <x:row r="19">
      <x:c r="A19" s="17" t="str">
        <x:v>EVT-JB-2021-018</x:v>
      </x:c>
      <x:c r="B19" s="17" t="str">
        <x:v>2021-01-10</x:v>
      </x:c>
      <x:c r="C19" s="17" t="str">
        <x:v>DG-JB-20210110</x:v>
      </x:c>
      <x:c r="D19" s="17" t="str">
        <x:v>Kampung Paya Kenangan</x:v>
      </x:c>
      <x:c r="E19" s="17" t="str">
        <x:v>S2021-009</x:v>
      </x:c>
      <x:c r="F19" s="17" t="str">
        <x:v>Kampung Paya Kenangan</x:v>
      </x:c>
      <x:c r="G19" s="17" t="str">
        <x:v>Flood</x:v>
      </x:c>
      <x:c r="H19" s="17" t="str">
        <x:v>B</x:v>
      </x:c>
      <x:c r="I19" s="17" t="str">
        <x:v>SRC2021-JAN10-KOSMO</x:v>
      </x:c>
      <x:c r="J19" s="17" t="str"/>
      <x:c r="K19" s="17" t="str">
        <x:v>Exact day</x:v>
      </x:c>
      <x:c r="L19" s="17" t="str"/>
    </x:row>
    <x:row r="20">
      <x:c r="A20" s="17" t="str">
        <x:v>EVT-JB-2021-019</x:v>
      </x:c>
      <x:c r="B20" s="17" t="str">
        <x:v>2021-01-10</x:v>
      </x:c>
      <x:c r="C20" s="17" t="str">
        <x:v>DG-JB-20210110</x:v>
      </x:c>
      <x:c r="D20" s="17" t="str">
        <x:v>Kampung Pasir</x:v>
      </x:c>
      <x:c r="E20" s="17" t="str">
        <x:v>S2021-006</x:v>
      </x:c>
      <x:c r="F20" s="17" t="str">
        <x:v>Kampung Pasir</x:v>
      </x:c>
      <x:c r="G20" s="17" t="str">
        <x:v>Flood</x:v>
      </x:c>
      <x:c r="H20" s="17" t="str">
        <x:v>B</x:v>
      </x:c>
      <x:c r="I20" s="17" t="str">
        <x:v>SRC2021-JAN10-KOSMO</x:v>
      </x:c>
      <x:c r="J20" s="17" t="str"/>
      <x:c r="K20" s="17" t="str">
        <x:v>Exact day</x:v>
      </x:c>
      <x:c r="L20" s="17" t="str"/>
    </x:row>
    <x:row r="21">
      <x:c r="A21" s="17" t="str">
        <x:v>EVT-JB-2021-020</x:v>
      </x:c>
      <x:c r="B21" s="17" t="str">
        <x:v>2021-01-10</x:v>
      </x:c>
      <x:c r="C21" s="17" t="str">
        <x:v>DG-JB-20210110</x:v>
      </x:c>
      <x:c r="D21" s="17" t="str">
        <x:v>Kampung Kangkar Tebrau</x:v>
      </x:c>
      <x:c r="E21" s="17" t="str">
        <x:v>S2021-011</x:v>
      </x:c>
      <x:c r="F21" s="17" t="str">
        <x:v>Kampung Kangkar Tebrau</x:v>
      </x:c>
      <x:c r="G21" s="17" t="str">
        <x:v>Flood</x:v>
      </x:c>
      <x:c r="H21" s="17" t="str">
        <x:v>B</x:v>
      </x:c>
      <x:c r="I21" s="17" t="str">
        <x:v>SRC2021-JAN10-KOSMO</x:v>
      </x:c>
      <x:c r="J21" s="17" t="str"/>
      <x:c r="K21" s="17" t="str">
        <x:v>Exact day</x:v>
      </x:c>
      <x:c r="L21" s="17" t="str"/>
    </x:row>
    <x:row r="22">
      <x:c r="A22" s="17" t="str">
        <x:v>EVT-JB-2021-021</x:v>
      </x:c>
      <x:c r="B22" s="17" t="str">
        <x:v>2021-01-10</x:v>
      </x:c>
      <x:c r="C22" s="17" t="str">
        <x:v>DG-JB-20210110</x:v>
      </x:c>
      <x:c r="D22" s="17" t="str">
        <x:v>Lorong Aris Batu 8, Skudai</x:v>
      </x:c>
      <x:c r="E22" s="17" t="str">
        <x:v>S2021-004</x:v>
      </x:c>
      <x:c r="F22" s="17" t="str">
        <x:v>Lorong Aris Batu 8, Skudai</x:v>
      </x:c>
      <x:c r="G22" s="17" t="str">
        <x:v>Flood</x:v>
      </x:c>
      <x:c r="H22" s="17" t="str">
        <x:v>B</x:v>
      </x:c>
      <x:c r="I22" s="17" t="str">
        <x:v>SRC2021-JAN10-KOSMO</x:v>
      </x:c>
      <x:c r="J22" s="17" t="str"/>
      <x:c r="K22" s="17" t="str">
        <x:v>Exact day</x:v>
      </x:c>
      <x:c r="L22" s="17" t="str"/>
    </x:row>
    <x:row r="23">
      <x:c r="A23" s="17" t="str">
        <x:v>EVT-JB-2021-022</x:v>
      </x:c>
      <x:c r="B23" s="17" t="str">
        <x:v>2021-01-10</x:v>
      </x:c>
      <x:c r="C23" s="17" t="str">
        <x:v>DG-JB-20210110</x:v>
      </x:c>
      <x:c r="D23" s="17" t="str">
        <x:v>Kampung Paya, Bukit Mutiara</x:v>
      </x:c>
      <x:c r="E23" s="17" t="str">
        <x:v>S2021-014</x:v>
      </x:c>
      <x:c r="F23" s="17" t="str">
        <x:v>Kampung Paya, Bukit Mutiara</x:v>
      </x:c>
      <x:c r="G23" s="17" t="str">
        <x:v>Flood</x:v>
      </x:c>
      <x:c r="H23" s="17" t="str">
        <x:v>B</x:v>
      </x:c>
      <x:c r="I23" s="17" t="str">
        <x:v>SRC2021-JAN10-BERNAMA-MM</x:v>
      </x:c>
      <x:c r="J23" s="17" t="str"/>
      <x:c r="K23" s="17" t="str">
        <x:v>Exact day</x:v>
      </x:c>
      <x:c r="L23" s="17" t="str"/>
    </x:row>
    <x:row r="24">
      <x:c r="A24" s="17" t="str">
        <x:v>EVT-JB-2021-023</x:v>
      </x:c>
      <x:c r="B24" s="17" t="str">
        <x:v>2021-04-17</x:v>
      </x:c>
      <x:c r="C24" s="17" t="str">
        <x:v>DG-JB-20210417</x:v>
      </x:c>
      <x:c r="D24" s="17" t="str">
        <x:v>Kampung Pasir</x:v>
      </x:c>
      <x:c r="E24" s="17" t="str">
        <x:v>S2021-006</x:v>
      </x:c>
      <x:c r="F24" s="17" t="str">
        <x:v>Kampung Pasir</x:v>
      </x:c>
      <x:c r="G24" s="17" t="str">
        <x:v>Flash flood</x:v>
      </x:c>
      <x:c r="H24" s="17" t="str">
        <x:v>B</x:v>
      </x:c>
      <x:c r="I24" s="17" t="str">
        <x:v>SRC2021-APR17-UTUSAN</x:v>
      </x:c>
      <x:c r="J24" s="17" t="str"/>
      <x:c r="K24" s="17" t="str">
        <x:v>Exact day</x:v>
      </x:c>
      <x:c r="L24" s="17" t="str">
        <x:v>Article explicitly states this was the second flood there in 2021.</x:v>
      </x:c>
    </x:row>
    <x:row r="25">
      <x:c r="A25" s="17" t="str">
        <x:v>EVT-JB-2021-024</x:v>
      </x:c>
      <x:c r="B25" s="17" t="str">
        <x:v>2021-07-12</x:v>
      </x:c>
      <x:c r="C25" s="17" t="str">
        <x:v>DG-JB-20210712</x:v>
      </x:c>
      <x:c r="D25" s="17" t="str">
        <x:v>Kampung Sungai Rinting</x:v>
      </x:c>
      <x:c r="E25" s="17" t="str">
        <x:v>S2021-015</x:v>
      </x:c>
      <x:c r="F25" s="17" t="str">
        <x:v>Kampung Sungai Rinting</x:v>
      </x:c>
      <x:c r="G25" s="17" t="str">
        <x:v>Flash flood</x:v>
      </x:c>
      <x:c r="H25" s="17" t="str">
        <x:v>C</x:v>
      </x:c>
      <x:c r="I25" s="17" t="str">
        <x:v>SRC2021-JUL12-UMNOPG</x:v>
      </x:c>
      <x:c r="J25" s="17" t="str"/>
      <x:c r="K25" s="17" t="str">
        <x:v>Exact day stated in local primary statement</x:v>
      </x:c>
      <x:c r="L25" s="17" t="str">
        <x:v>Lower-tier local primary statement retained transparently.</x:v>
      </x:c>
    </x:row>
    <x:row r="26">
      <x:c r="A26" s="17" t="str">
        <x:v>EVT-JB-2021-025</x:v>
      </x:c>
      <x:c r="B26" s="17" t="str">
        <x:v>2021-07-12</x:v>
      </x:c>
      <x:c r="C26" s="17" t="str">
        <x:v>DG-JB-20210712</x:v>
      </x:c>
      <x:c r="D26" s="17" t="str">
        <x:v>Taman Mawar</x:v>
      </x:c>
      <x:c r="E26" s="17" t="str">
        <x:v>S2021-016</x:v>
      </x:c>
      <x:c r="F26" s="17" t="str">
        <x:v>Taman Mawar</x:v>
      </x:c>
      <x:c r="G26" s="17" t="str">
        <x:v>Flash flood</x:v>
      </x:c>
      <x:c r="H26" s="17" t="str">
        <x:v>C</x:v>
      </x:c>
      <x:c r="I26" s="17" t="str">
        <x:v>SRC2021-JUL12-UMNOPG</x:v>
      </x:c>
      <x:c r="J26" s="17" t="str"/>
      <x:c r="K26" s="17" t="str">
        <x:v>Exact day stated in local primary statement</x:v>
      </x:c>
      <x:c r="L26" s="17" t="str">
        <x:v>Lower-tier local primary statement retained transparently.</x:v>
      </x:c>
    </x:row>
    <x:row r="27">
      <x:c r="A27" s="17" t="str">
        <x:v>EVT-JB-2021-026</x:v>
      </x:c>
      <x:c r="B27" s="17" t="str">
        <x:v>2021-07-12</x:v>
      </x:c>
      <x:c r="C27" s="17" t="str">
        <x:v>DG-JB-20210712</x:v>
      </x:c>
      <x:c r="D27" s="17" t="str">
        <x:v>Taman Rinting</x:v>
      </x:c>
      <x:c r="E27" s="17" t="str">
        <x:v>S2021-017</x:v>
      </x:c>
      <x:c r="F27" s="17" t="str">
        <x:v>Taman Rinting</x:v>
      </x:c>
      <x:c r="G27" s="17" t="str">
        <x:v>Flash flood</x:v>
      </x:c>
      <x:c r="H27" s="17" t="str">
        <x:v>C</x:v>
      </x:c>
      <x:c r="I27" s="17" t="str">
        <x:v>SRC2021-JUL12-UMNOPG</x:v>
      </x:c>
      <x:c r="J27" s="17" t="str"/>
      <x:c r="K27" s="17" t="str">
        <x:v>Exact day stated in local primary statement</x:v>
      </x:c>
      <x:c r="L27" s="17" t="str">
        <x:v>Lower-tier local primary statement retained transparently.</x:v>
      </x:c>
    </x:row>
    <x:row r="28">
      <x:c r="A28" s="17" t="str">
        <x:v>EVT-JB-2021-027</x:v>
      </x:c>
      <x:c r="B28" s="17" t="str">
        <x:v>2021-07-12</x:v>
      </x:c>
      <x:c r="C28" s="17" t="str">
        <x:v>DG-JB-20210712</x:v>
      </x:c>
      <x:c r="D28" s="17" t="str">
        <x:v>Lebuhraya Pasir Gudang</x:v>
      </x:c>
      <x:c r="E28" s="17" t="str">
        <x:v>S2021-018</x:v>
      </x:c>
      <x:c r="F28" s="17" t="str">
        <x:v>Lebuhraya Pasir Gudang</x:v>
      </x:c>
      <x:c r="G28" s="17" t="str">
        <x:v>Flash flood / traffic disruption</x:v>
      </x:c>
      <x:c r="H28" s="17" t="str">
        <x:v>C</x:v>
      </x:c>
      <x:c r="I28" s="17" t="str">
        <x:v>SRC2021-JUL12-UMNOPG</x:v>
      </x:c>
      <x:c r="J28" s="17" t="str"/>
      <x:c r="K28" s="17" t="str">
        <x:v>Exact day stated in local primary statement</x:v>
      </x:c>
      <x:c r="L28" s="17" t="str">
        <x:v>Lower-tier local primary statement retained transparently.</x:v>
      </x:c>
    </x:row>
    <x:row r="29">
      <x:c r="A29" s="17" t="str">
        <x:v>EVT-JB-2021-028</x:v>
      </x:c>
      <x:c r="B29" s="17" t="str">
        <x:v>2021-09-02</x:v>
      </x:c>
      <x:c r="C29" s="17" t="str">
        <x:v>DG-JB-20210902-SKUDAI</x:v>
      </x:c>
      <x:c r="D29" s="17" t="str">
        <x:v>Batu 10, Kampung Laut, Skudai</x:v>
      </x:c>
      <x:c r="E29" s="17" t="str">
        <x:v>S2021-001</x:v>
      </x:c>
      <x:c r="F29" s="17" t="str">
        <x:v>Kampung Laut Batu 10, Skudai</x:v>
      </x:c>
      <x:c r="G29" s="17" t="str">
        <x:v>Flash flood</x:v>
      </x:c>
      <x:c r="H29" s="17" t="str">
        <x:v>B</x:v>
      </x:c>
      <x:c r="I29" s="17" t="str">
        <x:v>SRC2021-SEP02-UTUSAN</x:v>
      </x:c>
      <x:c r="J29" s="17" t="str"/>
      <x:c r="K29" s="17" t="str">
        <x:v>Exact day</x:v>
      </x:c>
      <x:c r="L29" s="17" t="str">
        <x:v>Separate Skudai rescue from Masai/Pasir Gudang cluster.</x:v>
      </x:c>
    </x:row>
    <x:row r="30">
      <x:c r="A30" s="17" t="str">
        <x:v>EVT-JB-2021-029</x:v>
      </x:c>
      <x:c r="B30" s="17" t="str">
        <x:v>2021-09-02</x:v>
      </x:c>
      <x:c r="C30" s="17" t="str">
        <x:v>DG-JB-20210902-MASAI</x:v>
      </x:c>
      <x:c r="D30" s="17" t="str">
        <x:v>Kampung Bukit Pulai</x:v>
      </x:c>
      <x:c r="E30" s="17" t="str">
        <x:v>S2021-019</x:v>
      </x:c>
      <x:c r="F30" s="17" t="str">
        <x:v>Kampung Bukit Pulai</x:v>
      </x:c>
      <x:c r="G30" s="17" t="str">
        <x:v>Flash flood</x:v>
      </x:c>
      <x:c r="H30" s="17" t="str">
        <x:v>B</x:v>
      </x:c>
      <x:c r="I30" s="17" t="str">
        <x:v>SRC2021-SEP02-UTUSAN</x:v>
      </x:c>
      <x:c r="J30" s="17" t="str"/>
      <x:c r="K30" s="17" t="str">
        <x:v>Exact day</x:v>
      </x:c>
      <x:c r="L30" s="17" t="str"/>
    </x:row>
    <x:row r="31">
      <x:c r="A31" s="17" t="str">
        <x:v>EVT-JB-2021-030</x:v>
      </x:c>
      <x:c r="B31" s="17" t="str">
        <x:v>2021-09-02</x:v>
      </x:c>
      <x:c r="C31" s="17" t="str">
        <x:v>DG-JB-20210902-MASAI</x:v>
      </x:c>
      <x:c r="D31" s="17" t="str">
        <x:v>Taman Pasir Putih</x:v>
      </x:c>
      <x:c r="E31" s="17" t="str">
        <x:v>S2021-020</x:v>
      </x:c>
      <x:c r="F31" s="17" t="str">
        <x:v>Taman Pasir Putih</x:v>
      </x:c>
      <x:c r="G31" s="17" t="str">
        <x:v>Flash flood</x:v>
      </x:c>
      <x:c r="H31" s="17" t="str">
        <x:v>B</x:v>
      </x:c>
      <x:c r="I31" s="17" t="str">
        <x:v>SRC2021-SEP02-UTUSAN</x:v>
      </x:c>
      <x:c r="J31" s="17" t="str"/>
      <x:c r="K31" s="17" t="str">
        <x:v>Exact day</x:v>
      </x:c>
      <x:c r="L31" s="17" t="str"/>
    </x:row>
    <x:row r="32">
      <x:c r="A32" s="17" t="str">
        <x:v>EVT-JB-2021-031</x:v>
      </x:c>
      <x:c r="B32" s="17" t="str">
        <x:v>2021-09-02</x:v>
      </x:c>
      <x:c r="C32" s="17" t="str">
        <x:v>DG-JB-20210902-MASAI</x:v>
      </x:c>
      <x:c r="D32" s="17" t="str">
        <x:v>Kampung Sentosa Barat</x:v>
      </x:c>
      <x:c r="E32" s="17" t="str">
        <x:v>S2021-002</x:v>
      </x:c>
      <x:c r="F32" s="17" t="str">
        <x:v>Kampung Sentosa Barat</x:v>
      </x:c>
      <x:c r="G32" s="17" t="str">
        <x:v>Flash flood</x:v>
      </x:c>
      <x:c r="H32" s="17" t="str">
        <x:v>B</x:v>
      </x:c>
      <x:c r="I32" s="17" t="str">
        <x:v>SRC2021-SEP02-UTUSAN</x:v>
      </x:c>
      <x:c r="J32" s="17" t="str"/>
      <x:c r="K32" s="17" t="str">
        <x:v>Exact day</x:v>
      </x:c>
      <x:c r="L32" s="17" t="str"/>
    </x:row>
    <x:row r="33">
      <x:c r="A33" s="17" t="str">
        <x:v>EVT-JB-2021-032</x:v>
      </x:c>
      <x:c r="B33" s="17" t="str">
        <x:v>2021-09-02</x:v>
      </x:c>
      <x:c r="C33" s="17" t="str">
        <x:v>DG-JB-20210902-MASAI</x:v>
      </x:c>
      <x:c r="D33" s="17" t="str">
        <x:v>Jalan Kampung Masjid, Masai</x:v>
      </x:c>
      <x:c r="E33" s="17" t="str">
        <x:v>S2021-021</x:v>
      </x:c>
      <x:c r="F33" s="17" t="str">
        <x:v>Jalan Kampung Masjid, Masai</x:v>
      </x:c>
      <x:c r="G33" s="17" t="str">
        <x:v>Flash flood</x:v>
      </x:c>
      <x:c r="H33" s="17" t="str">
        <x:v>B</x:v>
      </x:c>
      <x:c r="I33" s="17" t="str">
        <x:v>SRC2021-SEP02-UTUSAN</x:v>
      </x:c>
      <x:c r="J33" s="17" t="str"/>
      <x:c r="K33" s="17" t="str">
        <x:v>Exact day</x:v>
      </x:c>
      <x:c r="L33" s="17" t="str"/>
    </x:row>
    <x:row r="34">
      <x:c r="A34" s="17" t="str">
        <x:v>EVT-JB-2021-033</x:v>
      </x:c>
      <x:c r="B34" s="17" t="str">
        <x:v>2021-09-04</x:v>
      </x:c>
      <x:c r="C34" s="17" t="str">
        <x:v>DG-JB-20210904</x:v>
      </x:c>
      <x:c r="D34" s="17" t="str">
        <x:v>Batu 10, Kampung Laut, Skudai</x:v>
      </x:c>
      <x:c r="E34" s="17" t="str">
        <x:v>S2021-001</x:v>
      </x:c>
      <x:c r="F34" s="17" t="str">
        <x:v>Kampung Laut Batu 10, Skudai</x:v>
      </x:c>
      <x:c r="G34" s="17" t="str">
        <x:v>Flash flood</x:v>
      </x:c>
      <x:c r="H34" s="17" t="str">
        <x:v>B</x:v>
      </x:c>
      <x:c r="I34" s="17" t="str">
        <x:v>SRC2021-SEP04-UTUSAN</x:v>
      </x:c>
      <x:c r="J34" s="17" t="str"/>
      <x:c r="K34" s="17" t="str">
        <x:v>Date inferred from report ('malam tadi')</x:v>
      </x:c>
      <x:c r="L34" s="17" t="str">
        <x:v>Published 5 Sep; emergency call 7:39 pm the previous night.</x:v>
      </x:c>
    </x:row>
    <x:row r="35">
      <x:c r="A35" s="17" t="str">
        <x:v>EVT-JB-2021-034</x:v>
      </x:c>
      <x:c r="B35" s="17" t="str">
        <x:v>2021-09-30</x:v>
      </x:c>
      <x:c r="C35" s="17" t="str">
        <x:v>DG-JB-20210930</x:v>
      </x:c>
      <x:c r="D35" s="17" t="str">
        <x:v>Kampung Melayu Majidee</x:v>
      </x:c>
      <x:c r="E35" s="17" t="str">
        <x:v>S2021-022</x:v>
      </x:c>
      <x:c r="F35" s="17" t="str">
        <x:v>Kampung Melayu Majidee</x:v>
      </x:c>
      <x:c r="G35" s="17" t="str">
        <x:v>Flash flood</x:v>
      </x:c>
      <x:c r="H35" s="17" t="str">
        <x:v>B</x:v>
      </x:c>
      <x:c r="I35" s="17" t="str">
        <x:v>SRC2021-SEP30-SINAR</x:v>
      </x:c>
      <x:c r="J35" s="17" t="str"/>
      <x:c r="K35" s="17" t="str">
        <x:v>Exact day</x:v>
      </x:c>
      <x:c r="L35" s="17" t="str"/>
    </x:row>
    <x:row r="36">
      <x:c r="A36" s="17" t="str">
        <x:v>EVT-JB-2021-035</x:v>
      </x:c>
      <x:c r="B36" s="17" t="str">
        <x:v>2021-09-30</x:v>
      </x:c>
      <x:c r="C36" s="17" t="str">
        <x:v>DG-JB-20210930</x:v>
      </x:c>
      <x:c r="D36" s="17" t="str">
        <x:v>Kempas Lurah</x:v>
      </x:c>
      <x:c r="E36" s="17" t="str">
        <x:v>S2021-023</x:v>
      </x:c>
      <x:c r="F36" s="17" t="str">
        <x:v>Kempas Lurah</x:v>
      </x:c>
      <x:c r="G36" s="17" t="str">
        <x:v>Flash flood</x:v>
      </x:c>
      <x:c r="H36" s="17" t="str">
        <x:v>B</x:v>
      </x:c>
      <x:c r="I36" s="17" t="str">
        <x:v>SRC2021-SEP30-SINAR</x:v>
      </x:c>
      <x:c r="J36" s="17" t="str"/>
      <x:c r="K36" s="17" t="str">
        <x:v>Exact day</x:v>
      </x:c>
      <x:c r="L36" s="17" t="str"/>
    </x:row>
    <x:row r="37">
      <x:c r="A37" s="17" t="str">
        <x:v>EVT-JB-2021-036</x:v>
      </x:c>
      <x:c r="B37" s="17" t="str">
        <x:v>2021-09-30</x:v>
      </x:c>
      <x:c r="C37" s="17" t="str">
        <x:v>DG-JB-20210930</x:v>
      </x:c>
      <x:c r="D37" s="17" t="str">
        <x:v>Taman Skudai Baru</x:v>
      </x:c>
      <x:c r="E37" s="17" t="str">
        <x:v>S2021-024</x:v>
      </x:c>
      <x:c r="F37" s="17" t="str">
        <x:v>Taman Skudai Baru</x:v>
      </x:c>
      <x:c r="G37" s="17" t="str">
        <x:v>Flash flood</x:v>
      </x:c>
      <x:c r="H37" s="17" t="str">
        <x:v>B</x:v>
      </x:c>
      <x:c r="I37" s="17" t="str">
        <x:v>SRC2021-SEP30-SINAR</x:v>
      </x:c>
      <x:c r="J37" s="17" t="str"/>
      <x:c r="K37" s="17" t="str">
        <x:v>Exact day</x:v>
      </x:c>
      <x:c r="L37" s="17" t="str"/>
    </x:row>
    <x:row r="38">
      <x:c r="A38" s="17" t="str">
        <x:v>EVT-JB-2021-037</x:v>
      </x:c>
      <x:c r="B38" s="17" t="str">
        <x:v>2021-09-30</x:v>
      </x:c>
      <x:c r="C38" s="17" t="str">
        <x:v>DG-JB-20210930</x:v>
      </x:c>
      <x:c r="D38" s="17" t="str">
        <x:v>Taman Johor Jaya</x:v>
      </x:c>
      <x:c r="E38" s="17" t="str">
        <x:v>S2021-025</x:v>
      </x:c>
      <x:c r="F38" s="17" t="str">
        <x:v>Taman Johor Jaya</x:v>
      </x:c>
      <x:c r="G38" s="17" t="str">
        <x:v>Flash flood</x:v>
      </x:c>
      <x:c r="H38" s="17" t="str">
        <x:v>B</x:v>
      </x:c>
      <x:c r="I38" s="17" t="str">
        <x:v>SRC2021-SEP30-SINAR</x:v>
      </x:c>
      <x:c r="J38" s="17" t="str"/>
      <x:c r="K38" s="17" t="str">
        <x:v>Exact day</x:v>
      </x:c>
      <x:c r="L38" s="17" t="str">
        <x:v>Separate article mentions Jalan Belumut/Taman Johor; not auto-merged.</x:v>
      </x:c>
    </x:row>
    <x:row r="39">
      <x:c r="A39" s="17" t="str">
        <x:v>EVT-JB-2021-038</x:v>
      </x:c>
      <x:c r="B39" s="17" t="str">
        <x:v>2021-09-30</x:v>
      </x:c>
      <x:c r="C39" s="17" t="str">
        <x:v>DG-JB-20210930</x:v>
      </x:c>
      <x:c r="D39" s="17" t="str">
        <x:v>Kampung Ibu</x:v>
      </x:c>
      <x:c r="E39" s="17" t="str">
        <x:v>S2021-026</x:v>
      </x:c>
      <x:c r="F39" s="17" t="str">
        <x:v>Kampung Ibu</x:v>
      </x:c>
      <x:c r="G39" s="17" t="str">
        <x:v>Flash flood</x:v>
      </x:c>
      <x:c r="H39" s="17" t="str">
        <x:v>B</x:v>
      </x:c>
      <x:c r="I39" s="17" t="str">
        <x:v>SRC2021-SEP30-SINAR</x:v>
      </x:c>
      <x:c r="J39" s="17" t="str"/>
      <x:c r="K39" s="17" t="str">
        <x:v>Exact day</x:v>
      </x:c>
      <x:c r="L39" s="17" t="str"/>
    </x:row>
    <x:row r="40">
      <x:c r="A40" s="17" t="str">
        <x:v>EVT-JB-2021-039</x:v>
      </x:c>
      <x:c r="B40" s="17" t="str">
        <x:v>2021-09-30</x:v>
      </x:c>
      <x:c r="C40" s="17" t="str">
        <x:v>DG-JB-20210930</x:v>
      </x:c>
      <x:c r="D40" s="17" t="str">
        <x:v>Kolam Air</x:v>
      </x:c>
      <x:c r="E40" s="17" t="str">
        <x:v>S2021-027</x:v>
      </x:c>
      <x:c r="F40" s="17" t="str">
        <x:v>Kolam Air</x:v>
      </x:c>
      <x:c r="G40" s="17" t="str">
        <x:v>Flash flood</x:v>
      </x:c>
      <x:c r="H40" s="17" t="str">
        <x:v>B</x:v>
      </x:c>
      <x:c r="I40" s="17" t="str">
        <x:v>SRC2021-SEP30-SINAR</x:v>
      </x:c>
      <x:c r="J40" s="17" t="str"/>
      <x:c r="K40" s="17" t="str">
        <x:v>Exact day</x:v>
      </x:c>
      <x:c r="L40" s="17" t="str">
        <x:v>Generic place label kept unresolved.</x:v>
      </x:c>
    </x:row>
    <x:row r="41">
      <x:c r="A41" s="17" t="str">
        <x:v>EVT-JB-2021-040</x:v>
      </x:c>
      <x:c r="B41" s="17" t="str">
        <x:v>2021-09-30</x:v>
      </x:c>
      <x:c r="C41" s="17" t="str">
        <x:v>DG-JB-20210930</x:v>
      </x:c>
      <x:c r="D41" s="17" t="str">
        <x:v>Kempas Denai</x:v>
      </x:c>
      <x:c r="E41" s="17" t="str">
        <x:v>S2021-028</x:v>
      </x:c>
      <x:c r="F41" s="17" t="str">
        <x:v>Kempas Denai</x:v>
      </x:c>
      <x:c r="G41" s="17" t="str">
        <x:v>Flash flood</x:v>
      </x:c>
      <x:c r="H41" s="17" t="str">
        <x:v>B</x:v>
      </x:c>
      <x:c r="I41" s="17" t="str">
        <x:v>SRC2021-SEP30-SINAR</x:v>
      </x:c>
      <x:c r="J41" s="17" t="str"/>
      <x:c r="K41" s="17" t="str">
        <x:v>Exact day</x:v>
      </x:c>
      <x:c r="L41" s="17" t="str">
        <x:v>Kosmo road-specific wording indicates Jalan Denai Utama; exact segment remains open.</x:v>
      </x:c>
    </x:row>
    <x:row r="42">
      <x:c r="A42" s="17" t="str">
        <x:v>EVT-JB-2021-041</x:v>
      </x:c>
      <x:c r="B42" s="17" t="str">
        <x:v>2021-09-30</x:v>
      </x:c>
      <x:c r="C42" s="17" t="str">
        <x:v>DG-JB-20210930</x:v>
      </x:c>
      <x:c r="D42" s="17" t="str">
        <x:v>Kempas Permatang</x:v>
      </x:c>
      <x:c r="E42" s="17" t="str">
        <x:v>S2021-029</x:v>
      </x:c>
      <x:c r="F42" s="17" t="str">
        <x:v>Kempas Permatang</x:v>
      </x:c>
      <x:c r="G42" s="17" t="str">
        <x:v>Flash flood</x:v>
      </x:c>
      <x:c r="H42" s="17" t="str">
        <x:v>B</x:v>
      </x:c>
      <x:c r="I42" s="17" t="str">
        <x:v>SRC2021-SEP30-SINAR</x:v>
      </x:c>
      <x:c r="J42" s="17" t="str"/>
      <x:c r="K42" s="17" t="str">
        <x:v>Exact day</x:v>
      </x:c>
      <x:c r="L42" s="17" t="str">
        <x:v>Kosmo road-specific wording indicates Jalan Permatang; exact segment remains open.</x:v>
      </x:c>
    </x:row>
    <x:row r="43">
      <x:c r="A43" s="17" t="str">
        <x:v>EVT-JB-2021-042</x:v>
      </x:c>
      <x:c r="B43" s="17" t="str">
        <x:v>2021-09-30</x:v>
      </x:c>
      <x:c r="C43" s="17" t="str">
        <x:v>DG-JB-20210930</x:v>
      </x:c>
      <x:c r="D43" s="17" t="str">
        <x:v>Kampung Pasir</x:v>
      </x:c>
      <x:c r="E43" s="17" t="str">
        <x:v>S2021-006</x:v>
      </x:c>
      <x:c r="F43" s="17" t="str">
        <x:v>Kampung Pasir</x:v>
      </x:c>
      <x:c r="G43" s="17" t="str">
        <x:v>Flash flood</x:v>
      </x:c>
      <x:c r="H43" s="17" t="str">
        <x:v>B</x:v>
      </x:c>
      <x:c r="I43" s="17" t="str">
        <x:v>SRC2021-SEP30-SINAR</x:v>
      </x:c>
      <x:c r="J43" s="17" t="str"/>
      <x:c r="K43" s="17" t="str">
        <x:v>Exact day</x:v>
      </x:c>
      <x:c r="L43" s="17" t="str"/>
    </x:row>
    <x:row r="44">
      <x:c r="A44" s="17" t="str">
        <x:v>EVT-JB-2021-043</x:v>
      </x:c>
      <x:c r="B44" s="17" t="str">
        <x:v>2021-09-30</x:v>
      </x:c>
      <x:c r="C44" s="17" t="str">
        <x:v>DG-JB-20210930</x:v>
      </x:c>
      <x:c r="D44" s="17" t="str">
        <x:v>Kampung Laut Skudai</x:v>
      </x:c>
      <x:c r="E44" s="17" t="str">
        <x:v>S2021-001</x:v>
      </x:c>
      <x:c r="F44" s="17" t="str">
        <x:v>Kampung Laut Batu 10, Skudai</x:v>
      </x:c>
      <x:c r="G44" s="17" t="str">
        <x:v>Flash flood</x:v>
      </x:c>
      <x:c r="H44" s="17" t="str">
        <x:v>B</x:v>
      </x:c>
      <x:c r="I44" s="17" t="str">
        <x:v>SRC2021-SEP30-SINAR</x:v>
      </x:c>
      <x:c r="J44" s="17" t="str"/>
      <x:c r="K44" s="17" t="str">
        <x:v>Exact day</x:v>
      </x:c>
      <x:c r="L44" s="17" t="str"/>
    </x:row>
    <x:row r="45">
      <x:c r="A45" s="17" t="str">
        <x:v>EVT-JB-2021-044</x:v>
      </x:c>
      <x:c r="B45" s="17" t="str">
        <x:v>2021-09-30</x:v>
      </x:c>
      <x:c r="C45" s="17" t="str">
        <x:v>DG-JB-20210930</x:v>
      </x:c>
      <x:c r="D45" s="17" t="str">
        <x:v>Kampung Kangkar Tebrau</x:v>
      </x:c>
      <x:c r="E45" s="17" t="str">
        <x:v>S2021-011</x:v>
      </x:c>
      <x:c r="F45" s="17" t="str">
        <x:v>Kampung Kangkar Tebrau</x:v>
      </x:c>
      <x:c r="G45" s="17" t="str">
        <x:v>Flash flood</x:v>
      </x:c>
      <x:c r="H45" s="17" t="str">
        <x:v>B</x:v>
      </x:c>
      <x:c r="I45" s="17" t="str">
        <x:v>SRC2021-SEP30-SINAR</x:v>
      </x:c>
      <x:c r="J45" s="17" t="str"/>
      <x:c r="K45" s="17" t="str">
        <x:v>Exact day</x:v>
      </x:c>
      <x:c r="L45" s="17" t="str"/>
    </x:row>
    <x:row r="46">
      <x:c r="A46" s="17" t="str">
        <x:v>EVT-JB-2021-045</x:v>
      </x:c>
      <x:c r="B46" s="17" t="str">
        <x:v>2021-09-30</x:v>
      </x:c>
      <x:c r="C46" s="17" t="str">
        <x:v>DG-JB-20210930</x:v>
      </x:c>
      <x:c r="D46" s="17" t="str">
        <x:v>Kampung Seri Jaya Baru</x:v>
      </x:c>
      <x:c r="E46" s="17" t="str">
        <x:v>S2021-030</x:v>
      </x:c>
      <x:c r="F46" s="17" t="str">
        <x:v>Kampung Seri Jaya Baru</x:v>
      </x:c>
      <x:c r="G46" s="17" t="str">
        <x:v>Flash flood</x:v>
      </x:c>
      <x:c r="H46" s="17" t="str">
        <x:v>B</x:v>
      </x:c>
      <x:c r="I46" s="17" t="str">
        <x:v>SRC2021-SEP30-SINAR-SERIJAYA</x:v>
      </x:c>
      <x:c r="J46" s="17" t="str"/>
      <x:c r="K46" s="17" t="str">
        <x:v>Exact day</x:v>
      </x:c>
      <x:c r="L46" s="17" t="str">
        <x:v>Separate same-day red-water flash-flood report.</x:v>
      </x:c>
    </x:row>
    <x:row r="47">
      <x:c r="A47" s="17" t="str">
        <x:v>EVT-JB-2021-046</x:v>
      </x:c>
      <x:c r="B47" s="17" t="str">
        <x:v>2021-09-30</x:v>
      </x:c>
      <x:c r="C47" s="17" t="str">
        <x:v>DG-JB-20210930</x:v>
      </x:c>
      <x:c r="D47" s="17" t="str">
        <x:v>Kampung Mohd Amin, Kolam Air</x:v>
      </x:c>
      <x:c r="E47" s="17" t="str">
        <x:v>S2021-031</x:v>
      </x:c>
      <x:c r="F47" s="17" t="str">
        <x:v>Kampung Mohd Amin, Kolam Air</x:v>
      </x:c>
      <x:c r="G47" s="17" t="str">
        <x:v>Flash flood</x:v>
      </x:c>
      <x:c r="H47" s="17" t="str">
        <x:v>C</x:v>
      </x:c>
      <x:c r="I47" s="17" t="str">
        <x:v>SRC2021-SEP30-YSJB</x:v>
      </x:c>
      <x:c r="J47" s="17" t="str"/>
      <x:c r="K47" s="17" t="str">
        <x:v>Exact day</x:v>
      </x:c>
      <x:c r="L47" s="17" t="str">
        <x:v>Explicit field-aid record: flash flood on 30/09/2021; water rose to chest height.</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7" hidden="0" customWidth="1"/>
    <x:col min="2" max="2" width="44" hidden="0" customWidth="1"/>
    <x:col min="3" max="3" width="28" hidden="0" customWidth="1"/>
    <x:col min="4" max="4" width="16" hidden="0" customWidth="1"/>
    <x:col min="5" max="5" width="15" hidden="0" customWidth="1"/>
    <x:col min="6" max="6" width="24" hidden="0" customWidth="1"/>
    <x:col min="7" max="7" width="62" hidden="0" customWidth="1"/>
    <x:col min="8" max="8" width="58" hidden="0" customWidth="1"/>
  </x:cols>
  <x:sheetData>
    <x:row r="1">
      <x:c r="A1" s="16" t="str">
        <x:v>Source_ID</x:v>
      </x:c>
      <x:c r="B1" s="16" t="str">
        <x:v>Source_Title</x:v>
      </x:c>
      <x:c r="C1" s="16" t="str">
        <x:v>Publisher</x:v>
      </x:c>
      <x:c r="D1" s="16" t="str">
        <x:v>Publication_Date</x:v>
      </x:c>
      <x:c r="E1" s="16" t="str">
        <x:v>Reliability_Tier</x:v>
      </x:c>
      <x:c r="F1" s="16" t="str">
        <x:v>Use</x:v>
      </x:c>
      <x:c r="G1" s="16" t="str">
        <x:v>Source_URL</x:v>
      </x:c>
      <x:c r="H1" s="16" t="str">
        <x:v>Evidence_Note</x:v>
      </x:c>
    </x:row>
    <x:row r="2">
      <x:c r="A2" s="17" t="str">
        <x:v>SRC2021-JAN02-BERNAMA</x:v>
      </x:c>
      <x:c r="B2" s="17" t="str">
        <x:v>Five districts affected in Johor floods, evacuees on the rise</x:v>
      </x:c>
      <x:c r="C2" s="17" t="str">
        <x:v>Bernama via Malay Mail</x:v>
      </x:c>
      <x:c r="D2" s="17" t="str">
        <x:v>2021-01-02</x:v>
      </x:c>
      <x:c r="E2" s="17" t="str">
        <x:v>A/B</x:v>
      </x:c>
      <x:c r="F2" s="17" t="str">
        <x:v>Event evidence</x:v>
      </x:c>
      <x:c r="G2" s="17" t="str">
        <x:v>https://www.malaymail.com/news/malaysia/2021/01/02/five-districts-affected-in-johor-floods-evacuees-on-the-rise/1936787</x:v>
      </x:c>
      <x:c r="H2" s="17" t="str">
        <x:v>Names Kampung Laut Batu 10 Skudai, Sentosa Barat, Sentosa Damai, Lorong Aris Batu 8 Skudai and Sam Poh old folks home.</x:v>
      </x:c>
    </x:row>
    <x:row r="3">
      <x:c r="A3" s="17" t="str">
        <x:v>SRC2021-DOSM-JB</x:v>
      </x:c>
      <x:c r="B3" s="17" t="str">
        <x:v>Johor Bahru: Fakta dan Angka / Disaster chronology</x:v>
      </x:c>
      <x:c r="C3" s="17" t="str">
        <x:v>Department of Statistics Malaysia</x:v>
      </x:c>
      <x:c r="D3" s="17" t="str">
        <x:v>2023</x:v>
      </x:c>
      <x:c r="E3" s="17" t="str">
        <x:v>A</x:v>
      </x:c>
      <x:c r="F3" s="17" t="str">
        <x:v>Retrospective official context</x:v>
      </x:c>
      <x:c r="G3" s="17" t="str">
        <x:v>https://www.dosm.gov.my/v1/uploads/files/6_Newsletter/Newsletter%202023/DOSM_BPPD_11_2023_Series%2022.pdf</x:v>
      </x:c>
      <x:c r="H3" s="17" t="str">
        <x:v>Official retrospective repeats 2 Jan 2021 JB victim/location list.</x:v>
      </x:c>
    </x:row>
    <x:row r="4">
      <x:c r="A4" s="17" t="str">
        <x:v>SRC2021-JAN02-KOSMO</x:v>
      </x:c>
      <x:c r="B4" s="17" t="str">
        <x:v>275 mangsa banjir dipindahkan</x:v>
      </x:c>
      <x:c r="C4" s="17" t="str">
        <x:v>Kosmo</x:v>
      </x:c>
      <x:c r="D4" s="17" t="str">
        <x:v>2021-01-02</x:v>
      </x:c>
      <x:c r="E4" s="17" t="str">
        <x:v>B</x:v>
      </x:c>
      <x:c r="F4" s="17" t="str">
        <x:v>Event evidence</x:v>
      </x:c>
      <x:c r="G4" s="17" t="str">
        <x:v>https://www.kosmo.com.my/2021/01/02/275-mangsa-banjir-dipindahkan/</x:v>
      </x:c>
      <x:c r="H4" s="17" t="str">
        <x:v>Explicitly links Sentosa Barat, Sentosa Damai, Kampung Laut Batu 10, Kampung Pasir and Kampung Teluk Serdang Baru.</x:v>
      </x:c>
    </x:row>
    <x:row r="5">
      <x:c r="A5" s="17" t="str">
        <x:v>SRC2021-JAN02-BERNAMA-PHOTO</x:v>
      </x:c>
      <x:c r="B5" s="17" t="str">
        <x:v>Kampung Sepakat Baru flood documentary photo</x:v>
      </x:c>
      <x:c r="C5" s="17" t="str">
        <x:v>Bernama Images</x:v>
      </x:c>
      <x:c r="D5" s="17" t="str">
        <x:v>2021-01-02</x:v>
      </x:c>
      <x:c r="E5" s="17" t="str">
        <x:v>B</x:v>
      </x:c>
      <x:c r="F5" s="17" t="str">
        <x:v>Documentary event evidence</x:v>
      </x:c>
      <x:c r="G5" s="17" t="str">
        <x:v>https://imagesapps.bernama.com/images/1117920/kampung-sepakat-baru</x:v>
      </x:c>
      <x:c r="H5" s="17" t="str">
        <x:v>Retained as documentary evidence for Kampung Sepakat Baru.</x:v>
      </x:c>
    </x:row>
    <x:row r="6">
      <x:c r="A6" s="17" t="str">
        <x:v>SRC2021-JAN04-BERNAMA</x:v>
      </x:c>
      <x:c r="B6" s="17" t="str">
        <x:v>Banjir: Penduduk gesa projek dalamkan Sungai Tebrau disegerakan</x:v>
      </x:c>
      <x:c r="C6" s="17" t="str">
        <x:v>Bernama</x:v>
      </x:c>
      <x:c r="D6" s="17" t="str">
        <x:v>2021-01-04</x:v>
      </x:c>
      <x:c r="E6" s="17" t="str">
        <x:v>B</x:v>
      </x:c>
      <x:c r="F6" s="17" t="str">
        <x:v>Event retrospective</x:v>
      </x:c>
      <x:c r="G6" s="17" t="str">
        <x:v>https://www.bernama.com/bm/news.php?id=1918395</x:v>
      </x:c>
      <x:c r="H6" s="17" t="str">
        <x:v>States three villages in Kangkar Tebrau were affected by the flood two days earlier.</x:v>
      </x:c>
    </x:row>
    <x:row r="7">
      <x:c r="A7" s="17" t="str">
        <x:v>SRC2021-JAN04-UTUSAN</x:v>
      </x:c>
      <x:c r="B7" s="17" t="str">
        <x:v>Segerakan projek lebar Sungai Tebrau elak banjir berulang</x:v>
      </x:c>
      <x:c r="C7" s="17" t="str">
        <x:v>Utusan Malaysia</x:v>
      </x:c>
      <x:c r="D7" s="17" t="str">
        <x:v>2021-01-04</x:v>
      </x:c>
      <x:c r="E7" s="17" t="str">
        <x:v>B</x:v>
      </x:c>
      <x:c r="F7" s="17" t="str">
        <x:v>Event retrospective</x:v>
      </x:c>
      <x:c r="G7" s="17" t="str">
        <x:v>https://www.utusan.com.my/berita/2021/01/segerakan-projek-lebar-sungai-tebrau-elak-banjir-berulang/</x:v>
      </x:c>
      <x:c r="H7" s="17" t="str">
        <x:v>Names Paya Kenangan, Pasir Tebrau and Kangkar Tebrau; 296 victims from flood two days earlier.</x:v>
      </x:c>
    </x:row>
    <x:row r="8">
      <x:c r="A8" s="17" t="str">
        <x:v>SRC2021-JAN10-KOSMO</x:v>
      </x:c>
      <x:c r="B8" s="17" t="str">
        <x:v>Johor Bahru, Kota Tinggi kembali dilanda banjir</x:v>
      </x:c>
      <x:c r="C8" s="17" t="str">
        <x:v>Kosmo</x:v>
      </x:c>
      <x:c r="D8" s="17" t="str">
        <x:v>2021-01-10</x:v>
      </x:c>
      <x:c r="E8" s="17" t="str">
        <x:v>B</x:v>
      </x:c>
      <x:c r="F8" s="17" t="str">
        <x:v>Event evidence</x:v>
      </x:c>
      <x:c r="G8" s="17" t="str">
        <x:v>https://www.kosmo.com.my/2021/01/10/johor-bahru-kota-tinggi-kembali-dilanda-banjir/</x:v>
      </x:c>
      <x:c r="H8" s="17" t="str">
        <x:v>Lists 10 affected JB locations.</x:v>
      </x:c>
    </x:row>
    <x:row r="9">
      <x:c r="A9" s="17" t="str">
        <x:v>SRC2021-JAN10-BERNAMA-MM</x:v>
      </x:c>
      <x:c r="B9" s="17" t="str">
        <x:v>Several areas in JB, Kota Tinggi hit by floods again</x:v>
      </x:c>
      <x:c r="C9" s="17" t="str">
        <x:v>Bernama via Malay Mail</x:v>
      </x:c>
      <x:c r="D9" s="17" t="str">
        <x:v>2021-01-10</x:v>
      </x:c>
      <x:c r="E9" s="17" t="str">
        <x:v>B</x:v>
      </x:c>
      <x:c r="F9" s="17" t="str">
        <x:v>Event evidence</x:v>
      </x:c>
      <x:c r="G9" s="17" t="str">
        <x:v>https://www.malaymail.com/amp/news/malaysia/2021/01/10/several-areas-in-jb-kota-tinggi-hit-by-floods-again/1939147</x:v>
      </x:c>
      <x:c r="H9" s="17" t="str">
        <x:v>Confirms Kampung Laut Batu 10 and Kampung Paya, Bukit Mutiara re-flooding.</x:v>
      </x:c>
    </x:row>
    <x:row r="10">
      <x:c r="A10" s="17" t="str">
        <x:v>SRC2021-APR17-UTUSAN</x:v>
      </x:c>
      <x:c r="B10" s="17" t="str">
        <x:v>Penduduk Kampung Pasir berbuka puasa dalam banjir</x:v>
      </x:c>
      <x:c r="C10" s="17" t="str">
        <x:v>Utusan Malaysia</x:v>
      </x:c>
      <x:c r="D10" s="17" t="str">
        <x:v>2021-04-17</x:v>
      </x:c>
      <x:c r="E10" s="17" t="str">
        <x:v>B</x:v>
      </x:c>
      <x:c r="F10" s="17" t="str">
        <x:v>Event evidence</x:v>
      </x:c>
      <x:c r="G10" s="17" t="str">
        <x:v>https://www.utusan.com.my/berita/2021/04/penduduk-kampung-pasir-berbuka-puasa-dalam-banjir/</x:v>
      </x:c>
      <x:c r="H10" s="17" t="str">
        <x:v>Explicit Kampung Pasir flood; article says second flood there in 2021.</x:v>
      </x:c>
    </x:row>
    <x:row r="11">
      <x:c r="A11" s="17" t="str">
        <x:v>SRC2021-JUL12-UMNOPG</x:v>
      </x:c>
      <x:c r="B11" s="17" t="str">
        <x:v>Sungai Masai Perlukan Segera Kerja-kerja Tebatan Banjir</x:v>
      </x:c>
      <x:c r="C11" s="17" t="str">
        <x:v>UMNO Pasir Gudang</x:v>
      </x:c>
      <x:c r="D11" s="17" t="str">
        <x:v>2021-07-14</x:v>
      </x:c>
      <x:c r="E11" s="17" t="str">
        <x:v>C</x:v>
      </x:c>
      <x:c r="F11" s="17" t="str">
        <x:v>Local primary statement</x:v>
      </x:c>
      <x:c r="G11" s="17" t="str">
        <x:v>https://www.umnopg.com.my/2021/07/14/sungai-masai-perlukan-segera-kerja-kerja-tebatan-banjir/</x:v>
      </x:c>
      <x:c r="H11" s="17" t="str">
        <x:v>States 12 Jul flash flood affected Sungai Rinting, Taman Mawar, Taman Rinting and traffic on Lebuhraya Pasir Gudang.</x:v>
      </x:c>
    </x:row>
    <x:row r="12">
      <x:c r="A12" s="17" t="str">
        <x:v>SRC2021-SEP02-UTUSAN</x:v>
      </x:c>
      <x:c r="B12" s="17" t="str">
        <x:v>100 rumah dinaiki air akibat banjir kilat</x:v>
      </x:c>
      <x:c r="C12" s="17" t="str">
        <x:v>Utusan Malaysia / JBPM statements</x:v>
      </x:c>
      <x:c r="D12" s="17" t="str">
        <x:v>2021-09-02</x:v>
      </x:c>
      <x:c r="E12" s="17" t="str">
        <x:v>B</x:v>
      </x:c>
      <x:c r="F12" s="17" t="str">
        <x:v>Event evidence</x:v>
      </x:c>
      <x:c r="G12" s="17" t="str">
        <x:v>https://www.utusan.com.my/terkini/2021/09/100-rumah-dinaiki-air-akibat-banjir-kilat/</x:v>
      </x:c>
      <x:c r="H12" s="17" t="str">
        <x:v>Names Bukit Pulai, Taman Pasir Putih, Sentosa Barat, Jalan Kampung Masjid and separate Batu 10 Kampung Laut rescue.</x:v>
      </x:c>
    </x:row>
    <x:row r="13">
      <x:c r="A13" s="17" t="str">
        <x:v>SRC2021-SEP04-UTUSAN</x:v>
      </x:c>
      <x:c r="B13" s="17" t="str">
        <x:v>Kampung Laut Skudai banjir lagi, 28 mangsa dipindahkan</x:v>
      </x:c>
      <x:c r="C13" s="17" t="str">
        <x:v>Utusan Malaysia / JBPM</x:v>
      </x:c>
      <x:c r="D13" s="17" t="str">
        <x:v>2021-09-05</x:v>
      </x:c>
      <x:c r="E13" s="17" t="str">
        <x:v>B</x:v>
      </x:c>
      <x:c r="F13" s="17" t="str">
        <x:v>Event evidence</x:v>
      </x:c>
      <x:c r="G13" s="17" t="str">
        <x:v>https://www.utusan.com.my/nasional/2021/09/kampung-laut-skudai-banjir-lagi-28-mangsa-dipindahkan/</x:v>
      </x:c>
      <x:c r="H13" s="17" t="str">
        <x:v>Report says flood occurred 'malam tadi'; event date recorded as 4 Sep.</x:v>
      </x:c>
    </x:row>
    <x:row r="14">
      <x:c r="A14" s="17" t="str">
        <x:v>SRC2021-SEP30-SINAR</x:v>
      </x:c>
      <x:c r="B14" s="17" t="str">
        <x:v>Beberapa kawasan di Johor Bahru dilanda banjir kilat</x:v>
      </x:c>
      <x:c r="C14" s="17" t="str">
        <x:v>Sinar Harian / JBPM context</x:v>
      </x:c>
      <x:c r="D14" s="17" t="str">
        <x:v>2021-09-30</x:v>
      </x:c>
      <x:c r="E14" s="17" t="str">
        <x:v>B</x:v>
      </x:c>
      <x:c r="F14" s="17" t="str">
        <x:v>Event evidence</x:v>
      </x:c>
      <x:c r="G14" s="17" t="str">
        <x:v>https://www.sinarharian.com.my/article/164321/EDISI/Beberapa-kawasan-di-Johor-Bahru-dilanda-banjir-kilat</x:v>
      </x:c>
      <x:c r="H14" s="17" t="str">
        <x:v>Lists 11 affected JB locations at about 6 am.</x:v>
      </x:c>
    </x:row>
    <x:row r="15">
      <x:c r="A15" s="17" t="str">
        <x:v>SRC2021-SEP30-SINAR-SERIJAYA</x:v>
      </x:c>
      <x:c r="B15" s="17" t="str">
        <x:v>Banjir merah landa Kampung Seri Jaya Baru Tampoi</x:v>
      </x:c>
      <x:c r="C15" s="17" t="str">
        <x:v>Sinar Harian / JBPM photo</x:v>
      </x:c>
      <x:c r="D15" s="17" t="str">
        <x:v>2021-09-30</x:v>
      </x:c>
      <x:c r="E15" s="17" t="str">
        <x:v>B</x:v>
      </x:c>
      <x:c r="F15" s="17" t="str">
        <x:v>Event evidence</x:v>
      </x:c>
      <x:c r="G15" s="17" t="str">
        <x:v>https://www.sinarharian.com.my/article/164367/BERITA/Semasa/Banjir-merah-landa-Kampung-Seri-Jaya-Baru-Tampoi</x:v>
      </x:c>
      <x:c r="H15" s="17" t="str">
        <x:v>Same-day flood at Kampung Seri Jaya Baru, Tampoi.</x:v>
      </x:c>
    </x:row>
    <x:row r="16">
      <x:c r="A16" s="17" t="str">
        <x:v>SRC2021-SEP30-YSJB</x:v>
      </x:c>
      <x:c r="B16" s="17" t="str">
        <x:v>Help At Kg Mohd Amin Kolam Air Johor Bahru Flash Flood on 30/09/2021</x:v>
      </x:c>
      <x:c r="C16" s="17" t="str">
        <x:v>Yayasan Kebajikan Suria</x:v>
      </x:c>
      <x:c r="D16" s="17" t="str">
        <x:v>2021-09-30</x:v>
      </x:c>
      <x:c r="E16" s="17" t="str">
        <x:v>C</x:v>
      </x:c>
      <x:c r="F16" s="17" t="str">
        <x:v>NGO field evidence</x:v>
      </x:c>
      <x:c r="G16" s="17" t="str">
        <x:v>https://www.yayasansuriajb.org.my/help-at-kg-mohd-amin-kolam-air-johor-bahru-flash-flood-on-30-09-2021/</x:v>
      </x:c>
      <x:c r="H16" s="17" t="str">
        <x:v>Explicitly reports flash flood at Kg Mohd Amin, Kolam Air; water rose to chest height.</x:v>
      </x:c>
    </x:row>
    <x:row r="17">
      <x:c r="A17" s="17" t="str">
        <x:v>SRC2021-JPS-CATALOG</x:v>
      </x:c>
      <x:c r="B17" s="17" t="str">
        <x:v>LAPORAN BANJIR TAHUNAN 2021</x:v>
      </x:c>
      <x:c r="C17" s="17" t="str">
        <x:v>Jabatan Pengairan dan Saliran Malaysia</x:v>
      </x:c>
      <x:c r="D17" s="17" t="str">
        <x:v>2022</x:v>
      </x:c>
      <x:c r="E17" s="17" t="str">
        <x:v>A</x:v>
      </x:c>
      <x:c r="F17" s="17" t="str">
        <x:v>Official annual-report context</x:v>
      </x:c>
      <x:c r="G17" s="17" t="str">
        <x:v>https://library.water.gov.my/cgi-bin/koha/opac-detail.pl?biblionumber=21653</x:v>
      </x:c>
      <x:c r="H17" s="17" t="str">
        <x:v>Official 389-page annual flood report confirmed; catalog includes state flood-event reports and appendices.</x:v>
      </x:c>
    </x:row>
    <x:row r="18">
      <x:c r="A18" s="17" t="str">
        <x:v>GEO2021-KEMPAS-LURAH-OSM</x:v>
      </x:c>
      <x:c r="B18" s="17" t="str">
        <x:v>Kempas Lurah, OSM way 407852454</x:v>
      </x:c>
      <x:c r="C18" s="17" t="str">
        <x:v>OpenStreetMap</x:v>
      </x:c>
      <x:c r="D18" s="17" t="str">
        <x:v>accessed 2026-10-06</x:v>
      </x:c>
      <x:c r="E18" s="17" t="str">
        <x:v>GEO</x:v>
      </x:c>
      <x:c r="F18" s="17" t="str">
        <x:v>Polygon geometry</x:v>
      </x:c>
      <x:c r="G18" s="17" t="str">
        <x:v>https://www.openstreetmap.org/way/407852454</x:v>
      </x:c>
      <x:c r="H18" s="17" t="str">
        <x:v>Named landuse=residential, place=hamlet closed way; 12 unique nodes.</x:v>
      </x:c>
    </x:row>
    <x:row r="19">
      <x:c r="A19" s="17" t="str">
        <x:v>GEO2021-TAMAN-MAWAR-OSM</x:v>
      </x:c>
      <x:c r="B19" s="17" t="str">
        <x:v>Taman Mawar, OSM way 617816429</x:v>
      </x:c>
      <x:c r="C19" s="17" t="str">
        <x:v>OpenStreetMap</x:v>
      </x:c>
      <x:c r="D19" s="17" t="str">
        <x:v>accessed 2026-10-06</x:v>
      </x:c>
      <x:c r="E19" s="17" t="str">
        <x:v>GEO</x:v>
      </x:c>
      <x:c r="F19" s="17" t="str">
        <x:v>Polygon geometry</x:v>
      </x:c>
      <x:c r="G19" s="17" t="str">
        <x:v>https://www.openstreetmap.org/way/617816429</x:v>
      </x:c>
      <x:c r="H19" s="17" t="str">
        <x:v>Named landuse=residential, place=neighbourhood closed way; 21 unique nodes.</x:v>
      </x:c>
    </x:row>
    <x:row r="20">
      <x:c r="A20" s="17" t="str">
        <x:v>GEO-REUSE-SEPAKAT-BARU</x:v>
      </x:c>
      <x:c r="B20" s="17" t="str">
        <x:v>Kampung Sepakat Baru, OSM way 463347299</x:v>
      </x:c>
      <x:c r="C20" s="17" t="str">
        <x:v>OpenStreetMap / R010</x:v>
      </x:c>
      <x:c r="D20" s="17" t="str">
        <x:v>carry-forward</x:v>
      </x:c>
      <x:c r="E20" s="17" t="str">
        <x:v>GEO</x:v>
      </x:c>
      <x:c r="F20" s="17" t="str">
        <x:v>Reused polygon</x:v>
      </x:c>
      <x:c r="G20" s="17" t="str">
        <x:v>https://www.openstreetmap.org/way/463347299</x:v>
      </x:c>
      <x:c r="H20" s="17" t="str">
        <x:v>Reuse frozen PG2019-KG-SEPAKAT-BARU.</x:v>
      </x:c>
    </x:row>
    <x:row r="21">
      <x:c r="A21" s="17" t="str">
        <x:v>GEO-REUSE-KANGKAR-TEBRAU</x:v>
      </x:c>
      <x:c r="B21" s="17" t="str">
        <x:v>Kampung Kangkar Tebrau, OSM way 657910839</x:v>
      </x:c>
      <x:c r="C21" s="17" t="str">
        <x:v>OpenStreetMap / R005</x:v>
      </x:c>
      <x:c r="D21" s="17" t="str">
        <x:v>carry-forward</x:v>
      </x:c>
      <x:c r="E21" s="17" t="str">
        <x:v>GEO</x:v>
      </x:c>
      <x:c r="F21" s="17" t="str">
        <x:v>Reused polygon</x:v>
      </x:c>
      <x:c r="G21" s="17" t="str">
        <x:v>https://www.openstreetmap.org/way/657910839</x:v>
      </x:c>
      <x:c r="H21" s="17" t="str">
        <x:v>Reuse frozen PG2017-KG-KANGKAR-TEBRAU.</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6" hidden="0" customWidth="1"/>
    <x:col min="2" max="2" width="31" hidden="0" customWidth="1"/>
    <x:col min="3" max="3" width="31" hidden="0" customWidth="1"/>
    <x:col min="4" max="4" width="18" hidden="0" customWidth="1"/>
    <x:col min="5" max="5" width="16" hidden="0" customWidth="1"/>
    <x:col min="6" max="6" width="17" hidden="0" customWidth="1"/>
    <x:col min="7" max="7" width="17" hidden="0" customWidth="1"/>
    <x:col min="8" max="8" width="40" hidden="0" customWidth="1"/>
    <x:col min="9" max="9" width="30" hidden="0" customWidth="1"/>
    <x:col min="10" max="10" width="29" hidden="0" customWidth="1"/>
    <x:col min="11" max="11" width="50" hidden="0" customWidth="1"/>
    <x:col min="12" max="12" width="50" hidden="0" customWidth="1"/>
    <x:col min="13" max="13" width="17" hidden="0" customWidth="1"/>
  </x:cols>
  <x:sheetData>
    <x:row r="1">
      <x:c r="A1" s="16" t="str">
        <x:v>Spatial_Object_Key</x:v>
      </x:c>
      <x:c r="B1" s="16" t="str">
        <x:v>Canonical_Name</x:v>
      </x:c>
      <x:c r="C1" s="16" t="str">
        <x:v>Alias_or_Source_Label</x:v>
      </x:c>
      <x:c r="D1" s="16" t="str">
        <x:v>Object_Type</x:v>
      </x:c>
      <x:c r="E1" s="16" t="str">
        <x:v>Point_GIS_Ready</x:v>
      </x:c>
      <x:c r="F1" s="16" t="str">
        <x:v>Longitude_WGS84</x:v>
      </x:c>
      <x:c r="G1" s="16" t="str">
        <x:v>Latitude_WGS84</x:v>
      </x:c>
      <x:c r="H1" s="16" t="str">
        <x:v>Point_Source</x:v>
      </x:c>
      <x:c r="I1" s="16" t="str">
        <x:v>Geometry_Status</x:v>
      </x:c>
      <x:c r="J1" s="16" t="str">
        <x:v>Polygon_ID</x:v>
      </x:c>
      <x:c r="K1" s="16" t="str">
        <x:v>Key_Conflict_or_Gap</x:v>
      </x:c>
      <x:c r="L1" s="16" t="str">
        <x:v>Next_Spatial_Action</x:v>
      </x:c>
      <x:c r="M1" s="16" t="str">
        <x:v>Event_Count_2021</x:v>
      </x:c>
    </x:row>
    <x:row r="2">
      <x:c r="A2" s="17" t="str">
        <x:v>S2021-001</x:v>
      </x:c>
      <x:c r="B2" s="17" t="str">
        <x:v>Kampung Laut Batu 10, Skudai</x:v>
      </x:c>
      <x:c r="C2" s="17" t="str">
        <x:v>Kampung Laut / Batu 10 Kampung Laut</x:v>
      </x:c>
      <x:c r="D2" s="17" t="str">
        <x:v>COMMUNITY</x:v>
      </x:c>
      <x:c r="E2" s="24" t="b">
        <x:v>1</x:v>
      </x:c>
      <x:c r="F2" s="17" t="n">
        <x:v>103.6605</x:v>
      </x:c>
      <x:c r="G2" s="17" t="n">
        <x:v>1.5453</x:v>
      </x:c>
      <x:c r="H2" s="17" t="str">
        <x:v>GeoNames/Mapcarta locality; event disambiguated to Skudai</x:v>
      </x:c>
      <x:c r="I2" s="17" t="str">
        <x:v>POINT_READY; POLYGON_OPEN</x:v>
      </x:c>
      <x:c r="J2" s="17" t="str"/>
      <x:c r="K2" s="17" t="str">
        <x:v>Community identity is clear; exact flood/community polygon not frozen.</x:v>
      </x:c>
      <x:c r="L2" s="17" t="str">
        <x:v>Resolve exact named closed community boundary if available.</x:v>
      </x:c>
      <x:c r="M2" s="17" t="n">
        <x:f>COUNTIF('01_2021_Event_Master'!$E$2:$E$47,A2)</x:f>
        <x:v>5</x:v>
      </x:c>
    </x:row>
    <x:row r="3">
      <x:c r="A3" s="17" t="str">
        <x:v>S2021-002</x:v>
      </x:c>
      <x:c r="B3" s="17" t="str">
        <x:v>Kampung Sentosa Barat</x:v>
      </x:c>
      <x:c r="C3" s="17" t="str">
        <x:v>Kg Sentosa Barat, Masai</x:v>
      </x:c>
      <x:c r="D3" s="17" t="str">
        <x:v>COMMUNITY</x:v>
      </x:c>
      <x:c r="E3" s="24" t="b">
        <x:v>0</x:v>
      </x:c>
      <x:c r="F3" s="17"/>
      <x:c r="G3" s="17"/>
      <x:c r="H3" s="17" t="str">
        <x:v>MBPG/news identity evidence</x:v>
      </x:c>
      <x:c r="I3" s="17" t="str">
        <x:v>IDENTITY_READY; POINT_OPEN</x:v>
      </x:c>
      <x:c r="J3" s="17" t="str"/>
      <x:c r="K3" s="17" t="str">
        <x:v>No strict traceable centroid/boundary frozen.</x:v>
      </x:c>
      <x:c r="L3" s="17" t="str">
        <x:v>Seek official gazetteer/planning boundary; do not substitute generic Sentosa.</x:v>
      </x:c>
      <x:c r="M3" s="17" t="n">
        <x:f>COUNTIF('01_2021_Event_Master'!$E$2:$E$47,A3)</x:f>
        <x:v>3</x:v>
      </x:c>
    </x:row>
    <x:row r="4">
      <x:c r="A4" s="17" t="str">
        <x:v>S2021-003</x:v>
      </x:c>
      <x:c r="B4" s="17" t="str">
        <x:v>Kampung Sentosa Damai</x:v>
      </x:c>
      <x:c r="C4" s="17" t="str">
        <x:v>Kg Sentosa Damai</x:v>
      </x:c>
      <x:c r="D4" s="17" t="str">
        <x:v>COMMUNITY</x:v>
      </x:c>
      <x:c r="E4" s="24" t="b">
        <x:v>0</x:v>
      </x:c>
      <x:c r="F4" s="17"/>
      <x:c r="G4" s="17"/>
      <x:c r="H4" s="17" t="str">
        <x:v>News/state statement identity evidence</x:v>
      </x:c>
      <x:c r="I4" s="17" t="str">
        <x:v>IDENTITY_READY; POINT_OPEN</x:v>
      </x:c>
      <x:c r="J4" s="17" t="str"/>
      <x:c r="K4" s="17" t="str">
        <x:v>No strict traceable centroid/boundary frozen.</x:v>
      </x:c>
      <x:c r="L4" s="17" t="str">
        <x:v>Seek official gazetteer/planning boundary.</x:v>
      </x:c>
      <x:c r="M4" s="17" t="n">
        <x:f>COUNTIF('01_2021_Event_Master'!$E$2:$E$47,A4)</x:f>
        <x:v>2</x:v>
      </x:c>
    </x:row>
    <x:row r="5">
      <x:c r="A5" s="17" t="str">
        <x:v>S2021-004</x:v>
      </x:c>
      <x:c r="B5" s="17" t="str">
        <x:v>Lorong Aris Batu 8, Skudai</x:v>
      </x:c>
      <x:c r="C5" s="17" t="str">
        <x:v>Lorong Aris / Batu 8½ Skudai</x:v>
      </x:c>
      <x:c r="D5" s="17" t="str">
        <x:v>ROAD/SUBAREA</x:v>
      </x:c>
      <x:c r="E5" s="24" t="b">
        <x:v>0</x:v>
      </x:c>
      <x:c r="F5" s="17"/>
      <x:c r="G5" s="17"/>
      <x:c r="H5" s="17" t="str">
        <x:v>MBIP project-map context only</x:v>
      </x:c>
      <x:c r="I5" s="17" t="str">
        <x:v>ROAD_SEGMENT_OPEN</x:v>
      </x:c>
      <x:c r="J5" s="17" t="str"/>
      <x:c r="K5" s="17" t="str">
        <x:v>Project-area evidence exists but does not define the exact flooded segment.</x:v>
      </x:c>
      <x:c r="L5" s="17" t="str">
        <x:v>Manual road-segment reconstruction only if event-specific start/end evidence is found.</x:v>
      </x:c>
      <x:c r="M5" s="17" t="n">
        <x:f>COUNTIF('01_2021_Event_Master'!$E$2:$E$47,A5)</x:f>
        <x:v>2</x:v>
      </x:c>
    </x:row>
    <x:row r="6">
      <x:c r="A6" s="17" t="str">
        <x:v>S2021-005</x:v>
      </x:c>
      <x:c r="B6" s="17" t="str">
        <x:v>Rumah Orang Tua Sam Poh</x:v>
      </x:c>
      <x:c r="C6" s="17" t="str">
        <x:v>Sam Poh old folks home</x:v>
      </x:c>
      <x:c r="D6" s="17" t="str">
        <x:v>FACILITY</x:v>
      </x:c>
      <x:c r="E6" s="24" t="b">
        <x:v>0</x:v>
      </x:c>
      <x:c r="F6" s="17"/>
      <x:c r="G6" s="17"/>
      <x:c r="H6" s="17" t="str">
        <x:v>Bernama/state statement; facility identity</x:v>
      </x:c>
      <x:c r="I6" s="17" t="str">
        <x:v>FACILITY_POINT_OPEN</x:v>
      </x:c>
      <x:c r="J6" s="17" t="str"/>
      <x:c r="K6" s="17" t="str">
        <x:v>Facility is event-valid but exact facility coordinate was not frozen in this pass.</x:v>
      </x:c>
      <x:c r="L6" s="17" t="str">
        <x:v>Resolve exact facility address/building footprint.</x:v>
      </x:c>
      <x:c r="M6" s="17" t="n">
        <x:f>COUNTIF('01_2021_Event_Master'!$E$2:$E$47,A6)</x:f>
        <x:v>1</x:v>
      </x:c>
    </x:row>
    <x:row r="7">
      <x:c r="A7" s="17" t="str">
        <x:v>S2021-006</x:v>
      </x:c>
      <x:c r="B7" s="17" t="str">
        <x:v>Kampung Pasir</x:v>
      </x:c>
      <x:c r="C7" s="17" t="str">
        <x:v>Kg Pasir, Tampoi/Skudai</x:v>
      </x:c>
      <x:c r="D7" s="17" t="str">
        <x:v>COMMUNITY</x:v>
      </x:c>
      <x:c r="E7" s="24" t="b">
        <x:v>1</x:v>
      </x:c>
      <x:c r="F7" s="17" t="n">
        <x:v>103.6969651</x:v>
      </x:c>
      <x:c r="G7" s="17" t="n">
        <x:v>1.4955303</x:v>
      </x:c>
      <x:c r="H7" s="17" t="str">
        <x:v>R012 frozen HF14 coordinate</x:v>
      </x:c>
      <x:c r="I7" s="17" t="str">
        <x:v>POINT_READY; POLYGON_OPEN</x:v>
      </x:c>
      <x:c r="J7" s="17" t="str"/>
      <x:c r="K7" s="17" t="str">
        <x:v>Existing fixed reference point reused; no exact community flood polygon substituted.</x:v>
      </x:c>
      <x:c r="L7" s="17" t="str">
        <x:v>Continue exact community-boundary search.</x:v>
      </x:c>
      <x:c r="M7" s="17" t="n">
        <x:f>COUNTIF('01_2021_Event_Master'!$E$2:$E$47,A7)</x:f>
        <x:v>4</x:v>
      </x:c>
    </x:row>
    <x:row r="8">
      <x:c r="A8" s="17" t="str">
        <x:v>S2021-007</x:v>
      </x:c>
      <x:c r="B8" s="17" t="str">
        <x:v>Kampung Teluk Serdang Baru</x:v>
      </x:c>
      <x:c r="C8" s="17" t="str">
        <x:v>Kg Teluk Serdang Baru</x:v>
      </x:c>
      <x:c r="D8" s="17" t="str">
        <x:v>COMMUNITY</x:v>
      </x:c>
      <x:c r="E8" s="24" t="b">
        <x:v>0</x:v>
      </x:c>
      <x:c r="F8" s="17"/>
      <x:c r="G8" s="17"/>
      <x:c r="H8" s="17" t="str">
        <x:v>Event evidence only</x:v>
      </x:c>
      <x:c r="I8" s="17" t="str">
        <x:v>IDENTITY_REVIEW; POINT_OPEN</x:v>
      </x:c>
      <x:c r="J8" s="17" t="str"/>
      <x:c r="K8" s="17" t="str">
        <x:v>Teluk/Telok Serdang naming and locality linkage need confirmation.</x:v>
      </x:c>
      <x:c r="L8" s="17" t="str">
        <x:v>Resolve official locality identity before geocoding.</x:v>
      </x:c>
      <x:c r="M8" s="17" t="n">
        <x:f>COUNTIF('01_2021_Event_Master'!$E$2:$E$47,A8)</x:f>
        <x:v>1</x:v>
      </x:c>
    </x:row>
    <x:row r="9">
      <x:c r="A9" s="17" t="str">
        <x:v>S2021-008</x:v>
      </x:c>
      <x:c r="B9" s="17" t="str">
        <x:v>Kampung Sepakat Baru</x:v>
      </x:c>
      <x:c r="C9" s="17" t="str">
        <x:v>Kampung Sepakat / Kg Sepakat Baru</x:v>
      </x:c>
      <x:c r="D9" s="17" t="str">
        <x:v>COMMUNITY</x:v>
      </x:c>
      <x:c r="E9" s="24" t="b">
        <x:v>1</x:v>
      </x:c>
      <x:c r="F9" s="17" t="n">
        <x:v>103.66117</x:v>
      </x:c>
      <x:c r="G9" s="17" t="n">
        <x:v>1.56411</x:v>
      </x:c>
      <x:c r="H9" s="17" t="str">
        <x:v>OSM named locality / prior R010 audit</x:v>
      </x:c>
      <x:c r="I9" s="17" t="str">
        <x:v>REUSED_CLOSED</x:v>
      </x:c>
      <x:c r="J9" s="17" t="str">
        <x:v>PG2019-KG-SEPAKAT-BARU</x:v>
      </x:c>
      <x:c r="K9" s="17" t="str">
        <x:v>10 Jan source says Kampung Sepakat; MBIP/OSM support Sepakat Baru normalization.</x:v>
      </x:c>
      <x:c r="L9" s="17" t="str">
        <x:v>Reuse frozen PG2019 polygon; retain source-label variant in events.</x:v>
      </x:c>
      <x:c r="M9" s="17" t="n">
        <x:f>COUNTIF('01_2021_Event_Master'!$E$2:$E$47,A9)</x:f>
        <x:v>2</x:v>
      </x:c>
    </x:row>
    <x:row r="10">
      <x:c r="A10" s="17" t="str">
        <x:v>S2021-009</x:v>
      </x:c>
      <x:c r="B10" s="17" t="str">
        <x:v>Kampung Paya Kenangan</x:v>
      </x:c>
      <x:c r="C10" s="17" t="str">
        <x:v>Kg Paya Kenangan</x:v>
      </x:c>
      <x:c r="D10" s="17" t="str">
        <x:v>COMMUNITY</x:v>
      </x:c>
      <x:c r="E10" s="24" t="b">
        <x:v>1</x:v>
      </x:c>
      <x:c r="F10" s="17" t="n">
        <x:v>103.7513</x:v>
      </x:c>
      <x:c r="G10" s="17" t="n">
        <x:v>1.5415</x:v>
      </x:c>
      <x:c r="H10" s="17" t="str">
        <x:v>Gazetteer/locality mapping</x:v>
      </x:c>
      <x:c r="I10" s="17" t="str">
        <x:v>POINT_READY; POLYGON_OPEN</x:v>
      </x:c>
      <x:c r="J10" s="17" t="str"/>
      <x:c r="K10" s="17" t="str">
        <x:v>Point is defensible; exact closed community boundary not frozen.</x:v>
      </x:c>
      <x:c r="L10" s="17" t="str">
        <x:v>Seek exact named boundary.</x:v>
      </x:c>
      <x:c r="M10" s="17" t="n">
        <x:f>COUNTIF('01_2021_Event_Master'!$E$2:$E$47,A10)</x:f>
        <x:v>2</x:v>
      </x:c>
    </x:row>
    <x:row r="11">
      <x:c r="A11" s="17" t="str">
        <x:v>S2021-010</x:v>
      </x:c>
      <x:c r="B11" s="17" t="str">
        <x:v>Kampung Pasir Tebrau</x:v>
      </x:c>
      <x:c r="C11" s="17" t="str">
        <x:v>Kg Pasir Tebrau</x:v>
      </x:c>
      <x:c r="D11" s="17" t="str">
        <x:v>COMMUNITY</x:v>
      </x:c>
      <x:c r="E11" s="24" t="b">
        <x:v>1</x:v>
      </x:c>
      <x:c r="F11" s="17" t="n">
        <x:v>103.7432778</x:v>
      </x:c>
      <x:c r="G11" s="17" t="n">
        <x:v>1.5441389</x:v>
      </x:c>
      <x:c r="H11" s="17" t="str">
        <x:v>Official Johor geographic gazette coordinate</x:v>
      </x:c>
      <x:c r="I11" s="17" t="str">
        <x:v>POINT_READY; POLYGON_OPEN</x:v>
      </x:c>
      <x:c r="J11" s="17" t="str"/>
      <x:c r="K11" s="17" t="str">
        <x:v>Point is defensible; exact closed community boundary not frozen.</x:v>
      </x:c>
      <x:c r="L11" s="17" t="str">
        <x:v>Seek exact named boundary.</x:v>
      </x:c>
      <x:c r="M11" s="17" t="n">
        <x:f>COUNTIF('01_2021_Event_Master'!$E$2:$E$47,A11)</x:f>
        <x:v>1</x:v>
      </x:c>
    </x:row>
    <x:row r="12">
      <x:c r="A12" s="17" t="str">
        <x:v>S2021-011</x:v>
      </x:c>
      <x:c r="B12" s="17" t="str">
        <x:v>Kampung Kangkar Tebrau</x:v>
      </x:c>
      <x:c r="C12" s="17" t="str">
        <x:v>Kg Kangkar Tebrau</x:v>
      </x:c>
      <x:c r="D12" s="17" t="str">
        <x:v>COMMUNITY</x:v>
      </x:c>
      <x:c r="E12" s="24" t="b">
        <x:v>1</x:v>
      </x:c>
      <x:c r="F12" s="17" t="n">
        <x:v>103.75589</x:v>
      </x:c>
      <x:c r="G12" s="17" t="n">
        <x:v>1.53176</x:v>
      </x:c>
      <x:c r="H12" s="17" t="str">
        <x:v>OSM locality / prior R005 audit</x:v>
      </x:c>
      <x:c r="I12" s="17" t="str">
        <x:v>REUSED_CLOSED</x:v>
      </x:c>
      <x:c r="J12" s="17" t="str">
        <x:v>PG2017-KG-KANGKAR-TEBRAU</x:v>
      </x:c>
      <x:c r="K12" s="17" t="str">
        <x:v>Existing closed community polygon is already frozen.</x:v>
      </x:c>
      <x:c r="L12" s="17" t="str">
        <x:v>Reuse PG2017 polygon.</x:v>
      </x:c>
      <x:c r="M12" s="17" t="n">
        <x:f>COUNTIF('01_2021_Event_Master'!$E$2:$E$47,A12)</x:f>
        <x:v>3</x:v>
      </x:c>
    </x:row>
    <x:row r="13">
      <x:c r="A13" s="17" t="str">
        <x:v>S2021-012</x:v>
      </x:c>
      <x:c r="B13" s="17" t="str">
        <x:v>Simpang Mados</x:v>
      </x:c>
      <x:c r="C13" s="17" t="str">
        <x:v>Simpang Mados / Ladang Mados context</x:v>
      </x:c>
      <x:c r="D13" s="17" t="str">
        <x:v>LOCALITY</x:v>
      </x:c>
      <x:c r="E13" s="24" t="b">
        <x:v>0</x:v>
      </x:c>
      <x:c r="F13" s="17"/>
      <x:c r="G13" s="17"/>
      <x:c r="H13" s="17" t="str">
        <x:v>Event evidence + nearby institutional context</x:v>
      </x:c>
      <x:c r="I13" s="17" t="str">
        <x:v>POINT_OPEN</x:v>
      </x:c>
      <x:c r="J13" s="17" t="str"/>
      <x:c r="K13" s="17" t="str">
        <x:v>Nearby Mados features do not uniquely define Simpang Mados.</x:v>
      </x:c>
      <x:c r="L13" s="17" t="str">
        <x:v>Do not force a school/estate coordinate; obtain official locality evidence.</x:v>
      </x:c>
      <x:c r="M13" s="17" t="n">
        <x:f>COUNTIF('01_2021_Event_Master'!$E$2:$E$47,A13)</x:f>
        <x:v>1</x:v>
      </x:c>
    </x:row>
    <x:row r="14">
      <x:c r="A14" s="17" t="str">
        <x:v>S2021-013</x:v>
      </x:c>
      <x:c r="B14" s="17" t="str">
        <x:v>Batu 20 Sungai Tiram</x:v>
      </x:c>
      <x:c r="C14" s="17" t="str">
        <x:v>Batu 20 Sg Tiram</x:v>
      </x:c>
      <x:c r="D14" s="17" t="str">
        <x:v>ROAD/LOCALITY</x:v>
      </x:c>
      <x:c r="E14" s="24" t="b">
        <x:v>0</x:v>
      </x:c>
      <x:c r="F14" s="17"/>
      <x:c r="G14" s="17"/>
      <x:c r="H14" s="17" t="str">
        <x:v>Event label only</x:v>
      </x:c>
      <x:c r="I14" s="17" t="str">
        <x:v>ROAD_SEGMENT_OPEN</x:v>
      </x:c>
      <x:c r="J14" s="17" t="str"/>
      <x:c r="K14" s="17" t="str">
        <x:v>Linear/road-chainage object; exact affected segment unresolved.</x:v>
      </x:c>
      <x:c r="L14" s="17" t="str">
        <x:v>Resolve road chainage or event-specific segment.</x:v>
      </x:c>
      <x:c r="M14" s="17" t="n">
        <x:f>COUNTIF('01_2021_Event_Master'!$E$2:$E$47,A14)</x:f>
        <x:v>1</x:v>
      </x:c>
    </x:row>
    <x:row r="15">
      <x:c r="A15" s="17" t="str">
        <x:v>S2021-014</x:v>
      </x:c>
      <x:c r="B15" s="17" t="str">
        <x:v>Kampung Paya, Bukit Mutiara</x:v>
      </x:c>
      <x:c r="C15" s="17" t="str">
        <x:v>Kg Paya Bukit Mutiara</x:v>
      </x:c>
      <x:c r="D15" s="17" t="str">
        <x:v>COMMUNITY</x:v>
      </x:c>
      <x:c r="E15" s="24" t="b">
        <x:v>0</x:v>
      </x:c>
      <x:c r="F15" s="17"/>
      <x:c r="G15" s="17"/>
      <x:c r="H15" s="17" t="str">
        <x:v>Bernama resident/location evidence</x:v>
      </x:c>
      <x:c r="I15" s="17" t="str">
        <x:v>POINT_OPEN</x:v>
      </x:c>
      <x:c r="J15" s="17" t="str"/>
      <x:c r="K15" s="17" t="str">
        <x:v>Identity is event-valid but strict centroid/boundary not frozen.</x:v>
      </x:c>
      <x:c r="L15" s="17" t="str">
        <x:v>Seek official gazetteer/planning source.</x:v>
      </x:c>
      <x:c r="M15" s="17" t="n">
        <x:f>COUNTIF('01_2021_Event_Master'!$E$2:$E$47,A15)</x:f>
        <x:v>1</x:v>
      </x:c>
    </x:row>
    <x:row r="16">
      <x:c r="A16" s="17" t="str">
        <x:v>S2021-015</x:v>
      </x:c>
      <x:c r="B16" s="17" t="str">
        <x:v>Kampung Sungai Rinting</x:v>
      </x:c>
      <x:c r="C16" s="17" t="str">
        <x:v>Kg Sungai Rinting</x:v>
      </x:c>
      <x:c r="D16" s="17" t="str">
        <x:v>COMMUNITY</x:v>
      </x:c>
      <x:c r="E16" s="24" t="b">
        <x:v>1</x:v>
      </x:c>
      <x:c r="F16" s="17" t="n">
        <x:v>103.8743</x:v>
      </x:c>
      <x:c r="G16" s="17" t="n">
        <x:v>1.48054</x:v>
      </x:c>
      <x:c r="H16" s="17" t="str">
        <x:v>GeoNames/locality mapping</x:v>
      </x:c>
      <x:c r="I16" s="17" t="str">
        <x:v>POINT_READY; POLYGON_OPEN</x:v>
      </x:c>
      <x:c r="J16" s="17" t="str"/>
      <x:c r="K16" s="17" t="str">
        <x:v>Exact community polygon not frozen.</x:v>
      </x:c>
      <x:c r="L16" s="17" t="str">
        <x:v>Seek named closed boundary.</x:v>
      </x:c>
      <x:c r="M16" s="17" t="n">
        <x:f>COUNTIF('01_2021_Event_Master'!$E$2:$E$47,A16)</x:f>
        <x:v>1</x:v>
      </x:c>
    </x:row>
    <x:row r="17">
      <x:c r="A17" s="17" t="str">
        <x:v>S2021-016</x:v>
      </x:c>
      <x:c r="B17" s="17" t="str">
        <x:v>Taman Mawar</x:v>
      </x:c>
      <x:c r="C17" s="17" t="str">
        <x:v>Taman Mawar, Masai/Pasir Gudang</x:v>
      </x:c>
      <x:c r="D17" s="17" t="str">
        <x:v>RESIDENTIAL</x:v>
      </x:c>
      <x:c r="E17" s="24" t="b">
        <x:v>1</x:v>
      </x:c>
      <x:c r="F17" s="17" t="n">
        <x:v>103.8948094913</x:v>
      </x:c>
      <x:c r="G17" s="17" t="n">
        <x:v>1.4696218674</x:v>
      </x:c>
      <x:c r="H17" s="17" t="str">
        <x:v>OSM way 617816429 polygon centroid</x:v>
      </x:c>
      <x:c r="I17" s="17" t="str">
        <x:v>NEW_CLOSED</x:v>
      </x:c>
      <x:c r="J17" s="17" t="str">
        <x:v>PG2021-TAMAN-MAWAR</x:v>
      </x:c>
      <x:c r="K17" s="17" t="str">
        <x:v>Exact named landuse=residential closed way available.</x:v>
      </x:c>
      <x:c r="L17" s="17" t="str">
        <x:v>Freeze OSM boundary as analysis polygon; not inundation footprint.</x:v>
      </x:c>
      <x:c r="M17" s="17" t="n">
        <x:f>COUNTIF('01_2021_Event_Master'!$E$2:$E$47,A17)</x:f>
        <x:v>1</x:v>
      </x:c>
    </x:row>
    <x:row r="18">
      <x:c r="A18" s="17" t="str">
        <x:v>S2021-017</x:v>
      </x:c>
      <x:c r="B18" s="17" t="str">
        <x:v>Taman Rinting</x:v>
      </x:c>
      <x:c r="C18" s="17" t="str">
        <x:v>Taman Rinting</x:v>
      </x:c>
      <x:c r="D18" s="17" t="str">
        <x:v>RESIDENTIAL</x:v>
      </x:c>
      <x:c r="E18" s="24" t="b">
        <x:v>1</x:v>
      </x:c>
      <x:c r="F18" s="17" t="n">
        <x:v>103.8788</x:v>
      </x:c>
      <x:c r="G18" s="17" t="n">
        <x:v>1.4959</x:v>
      </x:c>
      <x:c r="H18" s="17" t="str">
        <x:v>GeoNames locality</x:v>
      </x:c>
      <x:c r="I18" s="17" t="str">
        <x:v>POINT_READY; POLYGON_OPEN</x:v>
      </x:c>
      <x:c r="J18" s="17" t="str"/>
      <x:c r="K18" s="17" t="str">
        <x:v>Point is defensible; no exact closed event-area geometry frozen.</x:v>
      </x:c>
      <x:c r="L18" s="17" t="str">
        <x:v>Seek exact named boundary.</x:v>
      </x:c>
      <x:c r="M18" s="17" t="n">
        <x:f>COUNTIF('01_2021_Event_Master'!$E$2:$E$47,A18)</x:f>
        <x:v>1</x:v>
      </x:c>
    </x:row>
    <x:row r="19">
      <x:c r="A19" s="17" t="str">
        <x:v>S2021-018</x:v>
      </x:c>
      <x:c r="B19" s="17" t="str">
        <x:v>Lebuhraya Pasir Gudang</x:v>
      </x:c>
      <x:c r="C19" s="17" t="str">
        <x:v>Pasir Gudang Highway</x:v>
      </x:c>
      <x:c r="D19" s="17" t="str">
        <x:v>ROAD</x:v>
      </x:c>
      <x:c r="E19" s="24" t="b">
        <x:v>0</x:v>
      </x:c>
      <x:c r="F19" s="17"/>
      <x:c r="G19" s="17"/>
      <x:c r="H19" s="17" t="str">
        <x:v>12 Jul source reports traffic severely affected</x:v>
      </x:c>
      <x:c r="I19" s="17" t="str">
        <x:v>ROAD_SEGMENT_OPEN</x:v>
      </x:c>
      <x:c r="J19" s="17" t="str"/>
      <x:c r="K19" s="17" t="str">
        <x:v>Source names the highway but not flooded start/end chainage.</x:v>
      </x:c>
      <x:c r="L19" s="17" t="str">
        <x:v>Keep linear object open; no whole-highway buffer.</x:v>
      </x:c>
      <x:c r="M19" s="17" t="n">
        <x:f>COUNTIF('01_2021_Event_Master'!$E$2:$E$47,A19)</x:f>
        <x:v>1</x:v>
      </x:c>
    </x:row>
    <x:row r="20">
      <x:c r="A20" s="17" t="str">
        <x:v>S2021-019</x:v>
      </x:c>
      <x:c r="B20" s="17" t="str">
        <x:v>Kampung Bukit Pulai</x:v>
      </x:c>
      <x:c r="C20" s="17" t="str">
        <x:v>Kg Bukit Pulai</x:v>
      </x:c>
      <x:c r="D20" s="17" t="str">
        <x:v>COMMUNITY</x:v>
      </x:c>
      <x:c r="E20" s="24" t="b">
        <x:v>0</x:v>
      </x:c>
      <x:c r="F20" s="17"/>
      <x:c r="G20" s="17"/>
      <x:c r="H20" s="17" t="str">
        <x:v>2 Sep JBPM/news event evidence</x:v>
      </x:c>
      <x:c r="I20" s="17" t="str">
        <x:v>POINT_OPEN</x:v>
      </x:c>
      <x:c r="J20" s="17" t="str"/>
      <x:c r="K20" s="17" t="str">
        <x:v>Exact locality coordinate/boundary not frozen.</x:v>
      </x:c>
      <x:c r="L20" s="17" t="str">
        <x:v>Resolve official locality.</x:v>
      </x:c>
      <x:c r="M20" s="17" t="n">
        <x:f>COUNTIF('01_2021_Event_Master'!$E$2:$E$47,A20)</x:f>
        <x:v>1</x:v>
      </x:c>
    </x:row>
    <x:row r="21">
      <x:c r="A21" s="17" t="str">
        <x:v>S2021-020</x:v>
      </x:c>
      <x:c r="B21" s="17" t="str">
        <x:v>Taman Pasir Putih</x:v>
      </x:c>
      <x:c r="C21" s="17" t="str">
        <x:v>Taman Pasir Putih</x:v>
      </x:c>
      <x:c r="D21" s="17" t="str">
        <x:v>RESIDENTIAL</x:v>
      </x:c>
      <x:c r="E21" s="24" t="b">
        <x:v>1</x:v>
      </x:c>
      <x:c r="F21" s="17" t="n">
        <x:v>103.93887</x:v>
      </x:c>
      <x:c r="G21" s="17" t="n">
        <x:v>1.47292</x:v>
      </x:c>
      <x:c r="H21" s="17" t="str">
        <x:v>OSM node 2409009368</x:v>
      </x:c>
      <x:c r="I21" s="17" t="str">
        <x:v>POINT_READY; POLYGON_OPEN</x:v>
      </x:c>
      <x:c r="J21" s="17" t="str"/>
      <x:c r="K21" s="17" t="str">
        <x:v>Point is defensible; exact event-area boundary not frozen.</x:v>
      </x:c>
      <x:c r="L21" s="17" t="str">
        <x:v>Seek named closed residential boundary.</x:v>
      </x:c>
      <x:c r="M21" s="17" t="n">
        <x:f>COUNTIF('01_2021_Event_Master'!$E$2:$E$47,A21)</x:f>
        <x:v>1</x:v>
      </x:c>
    </x:row>
    <x:row r="22">
      <x:c r="A22" s="17" t="str">
        <x:v>S2021-021</x:v>
      </x:c>
      <x:c r="B22" s="17" t="str">
        <x:v>Jalan Kampung Masjid, Masai</x:v>
      </x:c>
      <x:c r="C22" s="17" t="str">
        <x:v>Jalan Kampung Masjid Masai</x:v>
      </x:c>
      <x:c r="D22" s="17" t="str">
        <x:v>ROAD</x:v>
      </x:c>
      <x:c r="E22" s="24" t="b">
        <x:v>0</x:v>
      </x:c>
      <x:c r="F22" s="17"/>
      <x:c r="G22" s="17"/>
      <x:c r="H22" s="17" t="str">
        <x:v>2 Sep JBPM/news event evidence</x:v>
      </x:c>
      <x:c r="I22" s="17" t="str">
        <x:v>ROAD_SEGMENT_OPEN</x:v>
      </x:c>
      <x:c r="J22" s="17" t="str"/>
      <x:c r="K22" s="17" t="str">
        <x:v>Named road affected; start/end flooded segment absent.</x:v>
      </x:c>
      <x:c r="L22" s="17" t="str">
        <x:v>Keep exact road segment open.</x:v>
      </x:c>
      <x:c r="M22" s="17" t="n">
        <x:f>COUNTIF('01_2021_Event_Master'!$E$2:$E$47,A22)</x:f>
        <x:v>1</x:v>
      </x:c>
    </x:row>
    <x:row r="23">
      <x:c r="A23" s="17" t="str">
        <x:v>S2021-022</x:v>
      </x:c>
      <x:c r="B23" s="17" t="str">
        <x:v>Kampung Melayu Majidee</x:v>
      </x:c>
      <x:c r="C23" s="17" t="str">
        <x:v>Kg Melayu Majidee</x:v>
      </x:c>
      <x:c r="D23" s="17" t="str">
        <x:v>COMMUNITY</x:v>
      </x:c>
      <x:c r="E23" s="24" t="b">
        <x:v>1</x:v>
      </x:c>
      <x:c r="F23" s="17" t="n">
        <x:v>103.75192484</x:v>
      </x:c>
      <x:c r="G23" s="17" t="n">
        <x:v>1.51174352</x:v>
      </x:c>
      <x:c r="H23" s="17" t="str">
        <x:v>MyGeoName Johor gazetteer</x:v>
      </x:c>
      <x:c r="I23" s="17" t="str">
        <x:v>POINT_READY; POLYGON_CANDIDATE_OPEN</x:v>
      </x:c>
      <x:c r="J23" s="17" t="str"/>
      <x:c r="K23" s="17" t="str">
        <x:v>OSM relation candidate exists but full multipolygon not reconstructed here.</x:v>
      </x:c>
      <x:c r="L23" s="17" t="str">
        <x:v>Extract/validate full relation before closure.</x:v>
      </x:c>
      <x:c r="M23" s="17" t="n">
        <x:f>COUNTIF('01_2021_Event_Master'!$E$2:$E$47,A23)</x:f>
        <x:v>1</x:v>
      </x:c>
    </x:row>
    <x:row r="24">
      <x:c r="A24" s="17" t="str">
        <x:v>S2021-023</x:v>
      </x:c>
      <x:c r="B24" s="17" t="str">
        <x:v>Kempas Lurah</x:v>
      </x:c>
      <x:c r="C24" s="17" t="str">
        <x:v>Kempas Lurah</x:v>
      </x:c>
      <x:c r="D24" s="17" t="str">
        <x:v>COMMUNITY</x:v>
      </x:c>
      <x:c r="E24" s="24" t="b">
        <x:v>1</x:v>
      </x:c>
      <x:c r="F24" s="17" t="n">
        <x:v>103.71579344</x:v>
      </x:c>
      <x:c r="G24" s="17" t="n">
        <x:v>1.52911376</x:v>
      </x:c>
      <x:c r="H24" s="17" t="str">
        <x:v>OSM way 407852454 polygon centroid</x:v>
      </x:c>
      <x:c r="I24" s="17" t="str">
        <x:v>NEW_CLOSED</x:v>
      </x:c>
      <x:c r="J24" s="17" t="str">
        <x:v>PG2021-KEMPAS-LURAH</x:v>
      </x:c>
      <x:c r="K24" s="17" t="str">
        <x:v>Exact named landuse=residential/place=hamlet closed way available.</x:v>
      </x:c>
      <x:c r="L24" s="17" t="str">
        <x:v>Freeze OSM boundary as analysis polygon; not inundation footprint.</x:v>
      </x:c>
      <x:c r="M24" s="17" t="n">
        <x:f>COUNTIF('01_2021_Event_Master'!$E$2:$E$47,A24)</x:f>
        <x:v>1</x:v>
      </x:c>
    </x:row>
    <x:row r="25">
      <x:c r="A25" s="17" t="str">
        <x:v>S2021-024</x:v>
      </x:c>
      <x:c r="B25" s="17" t="str">
        <x:v>Taman Skudai Baru</x:v>
      </x:c>
      <x:c r="C25" s="17" t="str">
        <x:v>Taman Skudai Baru</x:v>
      </x:c>
      <x:c r="D25" s="17" t="str">
        <x:v>RESIDENTIAL</x:v>
      </x:c>
      <x:c r="E25" s="24" t="b">
        <x:v>0</x:v>
      </x:c>
      <x:c r="F25" s="17"/>
      <x:c r="G25" s="17"/>
      <x:c r="H25" s="17" t="str">
        <x:v>Multiple same-name OSM objects</x:v>
      </x:c>
      <x:c r="I25" s="17" t="str">
        <x:v>IDENTITY_CONFLICT; POLYGON_OPEN</x:v>
      </x:c>
      <x:c r="J25" s="17" t="str"/>
      <x:c r="K25" s="17" t="str">
        <x:v>Two same-name public map objects create identity ambiguity.</x:v>
      </x:c>
      <x:c r="L25" s="17" t="str">
        <x:v>Resolve against event/JBPM administrative context before selecting geometry.</x:v>
      </x:c>
      <x:c r="M25" s="17" t="n">
        <x:f>COUNTIF('01_2021_Event_Master'!$E$2:$E$47,A25)</x:f>
        <x:v>1</x:v>
      </x:c>
    </x:row>
    <x:row r="26">
      <x:c r="A26" s="17" t="str">
        <x:v>S2021-025</x:v>
      </x:c>
      <x:c r="B26" s="17" t="str">
        <x:v>Taman Johor Jaya</x:v>
      </x:c>
      <x:c r="C26" s="17" t="str">
        <x:v>Taman Johor Jaya</x:v>
      </x:c>
      <x:c r="D26" s="17" t="str">
        <x:v>RESIDENTIAL</x:v>
      </x:c>
      <x:c r="E26" s="24" t="b">
        <x:v>1</x:v>
      </x:c>
      <x:c r="F26" s="17" t="n">
        <x:v>103.8024</x:v>
      </x:c>
      <x:c r="G26" s="17" t="n">
        <x:v>1.5428</x:v>
      </x:c>
      <x:c r="H26" s="17" t="str">
        <x:v>OSM locality node 4938487621</x:v>
      </x:c>
      <x:c r="I26" s="17" t="str">
        <x:v>POINT_READY; POLYGON_OPEN</x:v>
      </x:c>
      <x:c r="J26" s="17" t="str"/>
      <x:c r="K26" s="17" t="str">
        <x:v>Sinar lists Taman Johor Jaya; separate source mentions Jalan Belumut/Taman Johor.</x:v>
      </x:c>
      <x:c r="L26" s="17" t="str">
        <x:v>Retain source conflict; do not auto-merge labels.</x:v>
      </x:c>
      <x:c r="M26" s="17" t="n">
        <x:f>COUNTIF('01_2021_Event_Master'!$E$2:$E$47,A26)</x:f>
        <x:v>1</x:v>
      </x:c>
    </x:row>
    <x:row r="27">
      <x:c r="A27" s="17" t="str">
        <x:v>S2021-026</x:v>
      </x:c>
      <x:c r="B27" s="17" t="str">
        <x:v>Kampung Ibu</x:v>
      </x:c>
      <x:c r="C27" s="17" t="str">
        <x:v>Kg Ibu</x:v>
      </x:c>
      <x:c r="D27" s="17" t="str">
        <x:v>COMMUNITY</x:v>
      </x:c>
      <x:c r="E27" s="24" t="b">
        <x:v>0</x:v>
      </x:c>
      <x:c r="F27" s="17"/>
      <x:c r="G27" s="17"/>
      <x:c r="H27" s="17" t="str">
        <x:v>30 Sep news event evidence</x:v>
      </x:c>
      <x:c r="I27" s="17" t="str">
        <x:v>POINT_OPEN</x:v>
      </x:c>
      <x:c r="J27" s="17" t="str"/>
      <x:c r="K27" s="17" t="str">
        <x:v>No defensible strict point frozen.</x:v>
      </x:c>
      <x:c r="L27" s="17" t="str">
        <x:v>Seek official locality/gazetteer evidence.</x:v>
      </x:c>
      <x:c r="M27" s="17" t="n">
        <x:f>COUNTIF('01_2021_Event_Master'!$E$2:$E$47,A27)</x:f>
        <x:v>1</x:v>
      </x:c>
    </x:row>
    <x:row r="28">
      <x:c r="A28" s="17" t="str">
        <x:v>S2021-027</x:v>
      </x:c>
      <x:c r="B28" s="17" t="str">
        <x:v>Kolam Air</x:v>
      </x:c>
      <x:c r="C28" s="17" t="str">
        <x:v>Kolam Air, Johor Bahru</x:v>
      </x:c>
      <x:c r="D28" s="17" t="str">
        <x:v>AREA</x:v>
      </x:c>
      <x:c r="E28" s="24" t="b">
        <x:v>0</x:v>
      </x:c>
      <x:c r="F28" s="17"/>
      <x:c r="G28" s="17"/>
      <x:c r="H28" s="17" t="str">
        <x:v>30 Sep news event evidence</x:v>
      </x:c>
      <x:c r="I28" s="17" t="str">
        <x:v>IDENTITY_AMBIGUOUS; POINT_OPEN</x:v>
      </x:c>
      <x:c r="J28" s="17" t="str"/>
      <x:c r="K28" s="17" t="str">
        <x:v>Generic name could be confused with unrelated Kolam Air features.</x:v>
      </x:c>
      <x:c r="L28" s="17" t="str">
        <x:v>Resolve precise Johor Bahru locality before geocoding.</x:v>
      </x:c>
      <x:c r="M28" s="17" t="n">
        <x:f>COUNTIF('01_2021_Event_Master'!$E$2:$E$47,A28)</x:f>
        <x:v>1</x:v>
      </x:c>
    </x:row>
    <x:row r="29">
      <x:c r="A29" s="17" t="str">
        <x:v>S2021-028</x:v>
      </x:c>
      <x:c r="B29" s="17" t="str">
        <x:v>Kempas Denai</x:v>
      </x:c>
      <x:c r="C29" s="17" t="str">
        <x:v>Kempas Denai / Jalan Denai Utama</x:v>
      </x:c>
      <x:c r="D29" s="17" t="str">
        <x:v>ROAD/AREA</x:v>
      </x:c>
      <x:c r="E29" s="24" t="b">
        <x:v>0</x:v>
      </x:c>
      <x:c r="F29" s="17"/>
      <x:c r="G29" s="17"/>
      <x:c r="H29" s="17" t="str">
        <x:v>Sinar generic area + Kosmo road-specific wording</x:v>
      </x:c>
      <x:c r="I29" s="17" t="str">
        <x:v>SOURCE_LABEL_CONFLICT; ROAD_SEGMENT_OPEN</x:v>
      </x:c>
      <x:c r="J29" s="17" t="str"/>
      <x:c r="K29" s="17" t="str">
        <x:v>Generic 'Kempas Denai' vs exact 'Jalan Denai Utama' wording.</x:v>
      </x:c>
      <x:c r="L29" s="17" t="str">
        <x:v>Preserve both source labels; resolve flooded road segment separately.</x:v>
      </x:c>
      <x:c r="M29" s="17" t="n">
        <x:f>COUNTIF('01_2021_Event_Master'!$E$2:$E$47,A29)</x:f>
        <x:v>1</x:v>
      </x:c>
    </x:row>
    <x:row r="30">
      <x:c r="A30" s="17" t="str">
        <x:v>S2021-029</x:v>
      </x:c>
      <x:c r="B30" s="17" t="str">
        <x:v>Kempas Permatang</x:v>
      </x:c>
      <x:c r="C30" s="17" t="str">
        <x:v>Kempas Permatang / Jalan Permatang</x:v>
      </x:c>
      <x:c r="D30" s="17" t="str">
        <x:v>ROAD/AREA</x:v>
      </x:c>
      <x:c r="E30" s="24" t="b">
        <x:v>1</x:v>
      </x:c>
      <x:c r="F30" s="17" t="n">
        <x:v>103.72755</x:v>
      </x:c>
      <x:c r="G30" s="17" t="n">
        <x:v>1.52696</x:v>
      </x:c>
      <x:c r="H30" s="17" t="str">
        <x:v>OSM locality node / news context</x:v>
      </x:c>
      <x:c r="I30" s="17" t="str">
        <x:v>POINT_READY; ROAD_SEGMENT_OPEN</x:v>
      </x:c>
      <x:c r="J30" s="17" t="str"/>
      <x:c r="K30" s="17" t="str">
        <x:v>Area point is usable, but event reporting also gives road-specific Jalan Permatang.</x:v>
      </x:c>
      <x:c r="L30" s="17" t="str">
        <x:v>Do not treat point/community extent as flooded road segment.</x:v>
      </x:c>
      <x:c r="M30" s="17" t="n">
        <x:f>COUNTIF('01_2021_Event_Master'!$E$2:$E$47,A30)</x:f>
        <x:v>1</x:v>
      </x:c>
    </x:row>
    <x:row r="31">
      <x:c r="A31" s="17" t="str">
        <x:v>S2021-030</x:v>
      </x:c>
      <x:c r="B31" s="17" t="str">
        <x:v>Kampung Seri Jaya Baru</x:v>
      </x:c>
      <x:c r="C31" s="17" t="str">
        <x:v>Kg Seri Jaya Baru, Tampoi</x:v>
      </x:c>
      <x:c r="D31" s="17" t="str">
        <x:v>COMMUNITY</x:v>
      </x:c>
      <x:c r="E31" s="24" t="b">
        <x:v>0</x:v>
      </x:c>
      <x:c r="F31" s="17"/>
      <x:c r="G31" s="17"/>
      <x:c r="H31" s="17" t="str">
        <x:v>Sinar/JBPM event evidence + Johor address context</x:v>
      </x:c>
      <x:c r="I31" s="17" t="str">
        <x:v>POINT_OPEN</x:v>
      </x:c>
      <x:c r="J31" s="17" t="str"/>
      <x:c r="K31" s="17" t="str">
        <x:v>Identity is strong; exact centroid/community boundary not frozen.</x:v>
      </x:c>
      <x:c r="L31" s="17" t="str">
        <x:v>Resolve official point/boundary.</x:v>
      </x:c>
      <x:c r="M31" s="17" t="n">
        <x:f>COUNTIF('01_2021_Event_Master'!$E$2:$E$47,A31)</x:f>
        <x:v>1</x:v>
      </x:c>
    </x:row>
    <x:row r="32">
      <x:c r="A32" s="17" t="str">
        <x:v>S2021-031</x:v>
      </x:c>
      <x:c r="B32" s="17" t="str">
        <x:v>Kampung Mohd Amin, Kolam Air</x:v>
      </x:c>
      <x:c r="C32" s="17" t="str">
        <x:v>Kampung Mohd Amin / Kg Mohd Amin Kolam Air</x:v>
      </x:c>
      <x:c r="D32" s="17" t="str">
        <x:v>COMMUNITY</x:v>
      </x:c>
      <x:c r="E32" s="24" t="b">
        <x:v>1</x:v>
      </x:c>
      <x:c r="F32" s="17" t="n">
        <x:v>103.73374889</x:v>
      </x:c>
      <x:c r="G32" s="17" t="n">
        <x:v>1.46371239</x:v>
      </x:c>
      <x:c r="H32" s="17" t="str">
        <x:v>MyGeoName Johor gazetteer / R012-linked identity</x:v>
      </x:c>
      <x:c r="I32" s="17" t="str">
        <x:v>POINT_READY; POLYGON_OPEN</x:v>
      </x:c>
      <x:c r="J32" s="17" t="str"/>
      <x:c r="K32" s="17" t="str">
        <x:v>30 Sep field record is explicit; exact closed community boundary not frozen.</x:v>
      </x:c>
      <x:c r="L32" s="17" t="str">
        <x:v>Reuse canonical Kampung Mohd Amin identity; retain Kolam Air event context.</x:v>
      </x:c>
      <x:c r="M32" s="17" t="n">
        <x:f>COUNTIF('01_2021_Event_Master'!$E$2:$E$47,A32)</x:f>
        <x:v>1</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6" hidden="0" customWidth="1"/>
    <x:col min="2" max="2" width="31" hidden="0" customWidth="1"/>
    <x:col min="3" max="3" width="18" hidden="0" customWidth="1"/>
    <x:col min="4" max="4" width="31" hidden="0" customWidth="1"/>
    <x:col min="5" max="5" width="56" hidden="0" customWidth="1"/>
    <x:col min="6" max="6" width="56" hidden="0" customWidth="1"/>
    <x:col min="7" max="7" width="44" hidden="0" customWidth="1"/>
  </x:cols>
  <x:sheetData>
    <x:row r="1">
      <x:c r="A1" s="16" t="str">
        <x:v>Spatial_Object_Key</x:v>
      </x:c>
      <x:c r="B1" s="16" t="str">
        <x:v>Canonical_Name</x:v>
      </x:c>
      <x:c r="C1" s="16" t="str">
        <x:v>Object_Type</x:v>
      </x:c>
      <x:c r="D1" s="16" t="str">
        <x:v>Current_Status</x:v>
      </x:c>
      <x:c r="E1" s="16" t="str">
        <x:v>Key_Conflict_or_Gap</x:v>
      </x:c>
      <x:c r="F1" s="16" t="str">
        <x:v>Next_Spatial_Action</x:v>
      </x:c>
      <x:c r="G1" s="16" t="str">
        <x:v>Decision</x:v>
      </x:c>
    </x:row>
    <x:row r="2">
      <x:c r="A2" s="17" t="str">
        <x:v>S2021-001</x:v>
      </x:c>
      <x:c r="B2" s="17" t="str">
        <x:v>Kampung Laut Batu 10, Skudai</x:v>
      </x:c>
      <x:c r="C2" s="17" t="str">
        <x:v>COMMUNITY</x:v>
      </x:c>
      <x:c r="D2" s="17" t="str">
        <x:v>POINT_READY; POLYGON_OPEN</x:v>
      </x:c>
      <x:c r="E2" s="17" t="str">
        <x:v>Community identity is clear; exact flood/community polygon not frozen.</x:v>
      </x:c>
      <x:c r="F2" s="17" t="str">
        <x:v>Resolve exact named closed community boundary if available.</x:v>
      </x:c>
      <x:c r="G2" s="17" t="str">
        <x:v>OPEN - retain evidence; do not fabricate geometry</x:v>
      </x:c>
    </x:row>
    <x:row r="3">
      <x:c r="A3" s="17" t="str">
        <x:v>S2021-002</x:v>
      </x:c>
      <x:c r="B3" s="17" t="str">
        <x:v>Kampung Sentosa Barat</x:v>
      </x:c>
      <x:c r="C3" s="17" t="str">
        <x:v>COMMUNITY</x:v>
      </x:c>
      <x:c r="D3" s="17" t="str">
        <x:v>IDENTITY_READY; POINT_OPEN</x:v>
      </x:c>
      <x:c r="E3" s="17" t="str">
        <x:v>No strict traceable centroid/boundary frozen.</x:v>
      </x:c>
      <x:c r="F3" s="17" t="str">
        <x:v>Seek official gazetteer/planning boundary; do not substitute generic Sentosa.</x:v>
      </x:c>
      <x:c r="G3" s="17" t="str">
        <x:v>OPEN - retain evidence; do not fabricate geometry</x:v>
      </x:c>
    </x:row>
    <x:row r="4">
      <x:c r="A4" s="17" t="str">
        <x:v>S2021-003</x:v>
      </x:c>
      <x:c r="B4" s="17" t="str">
        <x:v>Kampung Sentosa Damai</x:v>
      </x:c>
      <x:c r="C4" s="17" t="str">
        <x:v>COMMUNITY</x:v>
      </x:c>
      <x:c r="D4" s="17" t="str">
        <x:v>IDENTITY_READY; POINT_OPEN</x:v>
      </x:c>
      <x:c r="E4" s="17" t="str">
        <x:v>No strict traceable centroid/boundary frozen.</x:v>
      </x:c>
      <x:c r="F4" s="17" t="str">
        <x:v>Seek official gazetteer/planning boundary.</x:v>
      </x:c>
      <x:c r="G4" s="17" t="str">
        <x:v>OPEN - retain evidence; do not fabricate geometry</x:v>
      </x:c>
    </x:row>
    <x:row r="5">
      <x:c r="A5" s="17" t="str">
        <x:v>S2021-004</x:v>
      </x:c>
      <x:c r="B5" s="17" t="str">
        <x:v>Lorong Aris Batu 8, Skudai</x:v>
      </x:c>
      <x:c r="C5" s="17" t="str">
        <x:v>ROAD/SUBAREA</x:v>
      </x:c>
      <x:c r="D5" s="17" t="str">
        <x:v>ROAD_SEGMENT_OPEN</x:v>
      </x:c>
      <x:c r="E5" s="17" t="str">
        <x:v>Project-area evidence exists but does not define the exact flooded segment.</x:v>
      </x:c>
      <x:c r="F5" s="17" t="str">
        <x:v>Manual road-segment reconstruction only if event-specific start/end evidence is found.</x:v>
      </x:c>
      <x:c r="G5" s="17" t="str">
        <x:v>OPEN - retain evidence; do not fabricate geometry</x:v>
      </x:c>
    </x:row>
    <x:row r="6">
      <x:c r="A6" s="17" t="str">
        <x:v>S2021-005</x:v>
      </x:c>
      <x:c r="B6" s="17" t="str">
        <x:v>Rumah Orang Tua Sam Poh</x:v>
      </x:c>
      <x:c r="C6" s="17" t="str">
        <x:v>FACILITY</x:v>
      </x:c>
      <x:c r="D6" s="17" t="str">
        <x:v>FACILITY_POINT_OPEN</x:v>
      </x:c>
      <x:c r="E6" s="17" t="str">
        <x:v>Facility is event-valid but exact facility coordinate was not frozen in this pass.</x:v>
      </x:c>
      <x:c r="F6" s="17" t="str">
        <x:v>Resolve exact facility address/building footprint.</x:v>
      </x:c>
      <x:c r="G6" s="17" t="str">
        <x:v>OPEN - retain evidence; do not fabricate geometry</x:v>
      </x:c>
    </x:row>
    <x:row r="7">
      <x:c r="A7" s="17" t="str">
        <x:v>S2021-006</x:v>
      </x:c>
      <x:c r="B7" s="17" t="str">
        <x:v>Kampung Pasir</x:v>
      </x:c>
      <x:c r="C7" s="17" t="str">
        <x:v>COMMUNITY</x:v>
      </x:c>
      <x:c r="D7" s="17" t="str">
        <x:v>POINT_READY; POLYGON_OPEN</x:v>
      </x:c>
      <x:c r="E7" s="17" t="str">
        <x:v>Existing fixed reference point reused; no exact community flood polygon substituted.</x:v>
      </x:c>
      <x:c r="F7" s="17" t="str">
        <x:v>Continue exact community-boundary search.</x:v>
      </x:c>
      <x:c r="G7" s="17" t="str">
        <x:v>OPEN - retain evidence; do not fabricate geometry</x:v>
      </x:c>
    </x:row>
    <x:row r="8">
      <x:c r="A8" s="17" t="str">
        <x:v>S2021-007</x:v>
      </x:c>
      <x:c r="B8" s="17" t="str">
        <x:v>Kampung Teluk Serdang Baru</x:v>
      </x:c>
      <x:c r="C8" s="17" t="str">
        <x:v>COMMUNITY</x:v>
      </x:c>
      <x:c r="D8" s="17" t="str">
        <x:v>IDENTITY_REVIEW; POINT_OPEN</x:v>
      </x:c>
      <x:c r="E8" s="17" t="str">
        <x:v>Teluk/Telok Serdang naming and locality linkage need confirmation.</x:v>
      </x:c>
      <x:c r="F8" s="17" t="str">
        <x:v>Resolve official locality identity before geocoding.</x:v>
      </x:c>
      <x:c r="G8" s="17" t="str">
        <x:v>OPEN - retain evidence; do not fabricate geometry</x:v>
      </x:c>
    </x:row>
    <x:row r="9">
      <x:c r="A9" s="17" t="str">
        <x:v>S2021-009</x:v>
      </x:c>
      <x:c r="B9" s="17" t="str">
        <x:v>Kampung Paya Kenangan</x:v>
      </x:c>
      <x:c r="C9" s="17" t="str">
        <x:v>COMMUNITY</x:v>
      </x:c>
      <x:c r="D9" s="17" t="str">
        <x:v>POINT_READY; POLYGON_OPEN</x:v>
      </x:c>
      <x:c r="E9" s="17" t="str">
        <x:v>Point is defensible; exact closed community boundary not frozen.</x:v>
      </x:c>
      <x:c r="F9" s="17" t="str">
        <x:v>Seek exact named boundary.</x:v>
      </x:c>
      <x:c r="G9" s="17" t="str">
        <x:v>OPEN - retain evidence; do not fabricate geometry</x:v>
      </x:c>
    </x:row>
    <x:row r="10">
      <x:c r="A10" s="17" t="str">
        <x:v>S2021-010</x:v>
      </x:c>
      <x:c r="B10" s="17" t="str">
        <x:v>Kampung Pasir Tebrau</x:v>
      </x:c>
      <x:c r="C10" s="17" t="str">
        <x:v>COMMUNITY</x:v>
      </x:c>
      <x:c r="D10" s="17" t="str">
        <x:v>POINT_READY; POLYGON_OPEN</x:v>
      </x:c>
      <x:c r="E10" s="17" t="str">
        <x:v>Point is defensible; exact closed community boundary not frozen.</x:v>
      </x:c>
      <x:c r="F10" s="17" t="str">
        <x:v>Seek exact named boundary.</x:v>
      </x:c>
      <x:c r="G10" s="17" t="str">
        <x:v>OPEN - retain evidence; do not fabricate geometry</x:v>
      </x:c>
    </x:row>
    <x:row r="11">
      <x:c r="A11" s="17" t="str">
        <x:v>S2021-012</x:v>
      </x:c>
      <x:c r="B11" s="17" t="str">
        <x:v>Simpang Mados</x:v>
      </x:c>
      <x:c r="C11" s="17" t="str">
        <x:v>LOCALITY</x:v>
      </x:c>
      <x:c r="D11" s="17" t="str">
        <x:v>POINT_OPEN</x:v>
      </x:c>
      <x:c r="E11" s="17" t="str">
        <x:v>Nearby Mados features do not uniquely define Simpang Mados.</x:v>
      </x:c>
      <x:c r="F11" s="17" t="str">
        <x:v>Do not force a school/estate coordinate; obtain official locality evidence.</x:v>
      </x:c>
      <x:c r="G11" s="17" t="str">
        <x:v>OPEN - retain evidence; do not fabricate geometry</x:v>
      </x:c>
    </x:row>
    <x:row r="12">
      <x:c r="A12" s="17" t="str">
        <x:v>S2021-013</x:v>
      </x:c>
      <x:c r="B12" s="17" t="str">
        <x:v>Batu 20 Sungai Tiram</x:v>
      </x:c>
      <x:c r="C12" s="17" t="str">
        <x:v>ROAD/LOCALITY</x:v>
      </x:c>
      <x:c r="D12" s="17" t="str">
        <x:v>ROAD_SEGMENT_OPEN</x:v>
      </x:c>
      <x:c r="E12" s="17" t="str">
        <x:v>Linear/road-chainage object; exact affected segment unresolved.</x:v>
      </x:c>
      <x:c r="F12" s="17" t="str">
        <x:v>Resolve road chainage or event-specific segment.</x:v>
      </x:c>
      <x:c r="G12" s="17" t="str">
        <x:v>OPEN - retain evidence; do not fabricate geometry</x:v>
      </x:c>
    </x:row>
    <x:row r="13">
      <x:c r="A13" s="17" t="str">
        <x:v>S2021-014</x:v>
      </x:c>
      <x:c r="B13" s="17" t="str">
        <x:v>Kampung Paya, Bukit Mutiara</x:v>
      </x:c>
      <x:c r="C13" s="17" t="str">
        <x:v>COMMUNITY</x:v>
      </x:c>
      <x:c r="D13" s="17" t="str">
        <x:v>POINT_OPEN</x:v>
      </x:c>
      <x:c r="E13" s="17" t="str">
        <x:v>Identity is event-valid but strict centroid/boundary not frozen.</x:v>
      </x:c>
      <x:c r="F13" s="17" t="str">
        <x:v>Seek official gazetteer/planning source.</x:v>
      </x:c>
      <x:c r="G13" s="17" t="str">
        <x:v>OPEN - retain evidence; do not fabricate geometry</x:v>
      </x:c>
    </x:row>
    <x:row r="14">
      <x:c r="A14" s="17" t="str">
        <x:v>S2021-015</x:v>
      </x:c>
      <x:c r="B14" s="17" t="str">
        <x:v>Kampung Sungai Rinting</x:v>
      </x:c>
      <x:c r="C14" s="17" t="str">
        <x:v>COMMUNITY</x:v>
      </x:c>
      <x:c r="D14" s="17" t="str">
        <x:v>POINT_READY; POLYGON_OPEN</x:v>
      </x:c>
      <x:c r="E14" s="17" t="str">
        <x:v>Exact community polygon not frozen.</x:v>
      </x:c>
      <x:c r="F14" s="17" t="str">
        <x:v>Seek named closed boundary.</x:v>
      </x:c>
      <x:c r="G14" s="17" t="str">
        <x:v>OPEN - retain evidence; do not fabricate geometry</x:v>
      </x:c>
    </x:row>
    <x:row r="15">
      <x:c r="A15" s="17" t="str">
        <x:v>S2021-017</x:v>
      </x:c>
      <x:c r="B15" s="17" t="str">
        <x:v>Taman Rinting</x:v>
      </x:c>
      <x:c r="C15" s="17" t="str">
        <x:v>RESIDENTIAL</x:v>
      </x:c>
      <x:c r="D15" s="17" t="str">
        <x:v>POINT_READY; POLYGON_OPEN</x:v>
      </x:c>
      <x:c r="E15" s="17" t="str">
        <x:v>Point is defensible; no exact closed event-area geometry frozen.</x:v>
      </x:c>
      <x:c r="F15" s="17" t="str">
        <x:v>Seek exact named boundary.</x:v>
      </x:c>
      <x:c r="G15" s="17" t="str">
        <x:v>OPEN - retain evidence; do not fabricate geometry</x:v>
      </x:c>
    </x:row>
    <x:row r="16">
      <x:c r="A16" s="17" t="str">
        <x:v>S2021-018</x:v>
      </x:c>
      <x:c r="B16" s="17" t="str">
        <x:v>Lebuhraya Pasir Gudang</x:v>
      </x:c>
      <x:c r="C16" s="17" t="str">
        <x:v>ROAD</x:v>
      </x:c>
      <x:c r="D16" s="17" t="str">
        <x:v>ROAD_SEGMENT_OPEN</x:v>
      </x:c>
      <x:c r="E16" s="17" t="str">
        <x:v>Source names the highway but not flooded start/end chainage.</x:v>
      </x:c>
      <x:c r="F16" s="17" t="str">
        <x:v>Keep linear object open; no whole-highway buffer.</x:v>
      </x:c>
      <x:c r="G16" s="17" t="str">
        <x:v>OPEN - retain evidence; do not fabricate geometry</x:v>
      </x:c>
    </x:row>
    <x:row r="17">
      <x:c r="A17" s="17" t="str">
        <x:v>S2021-019</x:v>
      </x:c>
      <x:c r="B17" s="17" t="str">
        <x:v>Kampung Bukit Pulai</x:v>
      </x:c>
      <x:c r="C17" s="17" t="str">
        <x:v>COMMUNITY</x:v>
      </x:c>
      <x:c r="D17" s="17" t="str">
        <x:v>POINT_OPEN</x:v>
      </x:c>
      <x:c r="E17" s="17" t="str">
        <x:v>Exact locality coordinate/boundary not frozen.</x:v>
      </x:c>
      <x:c r="F17" s="17" t="str">
        <x:v>Resolve official locality.</x:v>
      </x:c>
      <x:c r="G17" s="17" t="str">
        <x:v>OPEN - retain evidence; do not fabricate geometry</x:v>
      </x:c>
    </x:row>
    <x:row r="18">
      <x:c r="A18" s="17" t="str">
        <x:v>S2021-020</x:v>
      </x:c>
      <x:c r="B18" s="17" t="str">
        <x:v>Taman Pasir Putih</x:v>
      </x:c>
      <x:c r="C18" s="17" t="str">
        <x:v>RESIDENTIAL</x:v>
      </x:c>
      <x:c r="D18" s="17" t="str">
        <x:v>POINT_READY; POLYGON_OPEN</x:v>
      </x:c>
      <x:c r="E18" s="17" t="str">
        <x:v>Point is defensible; exact event-area boundary not frozen.</x:v>
      </x:c>
      <x:c r="F18" s="17" t="str">
        <x:v>Seek named closed residential boundary.</x:v>
      </x:c>
      <x:c r="G18" s="17" t="str">
        <x:v>OPEN - retain evidence; do not fabricate geometry</x:v>
      </x:c>
    </x:row>
    <x:row r="19">
      <x:c r="A19" s="17" t="str">
        <x:v>S2021-021</x:v>
      </x:c>
      <x:c r="B19" s="17" t="str">
        <x:v>Jalan Kampung Masjid, Masai</x:v>
      </x:c>
      <x:c r="C19" s="17" t="str">
        <x:v>ROAD</x:v>
      </x:c>
      <x:c r="D19" s="17" t="str">
        <x:v>ROAD_SEGMENT_OPEN</x:v>
      </x:c>
      <x:c r="E19" s="17" t="str">
        <x:v>Named road affected; start/end flooded segment absent.</x:v>
      </x:c>
      <x:c r="F19" s="17" t="str">
        <x:v>Keep exact road segment open.</x:v>
      </x:c>
      <x:c r="G19" s="17" t="str">
        <x:v>OPEN - retain evidence; do not fabricate geometry</x:v>
      </x:c>
    </x:row>
    <x:row r="20">
      <x:c r="A20" s="17" t="str">
        <x:v>S2021-022</x:v>
      </x:c>
      <x:c r="B20" s="17" t="str">
        <x:v>Kampung Melayu Majidee</x:v>
      </x:c>
      <x:c r="C20" s="17" t="str">
        <x:v>COMMUNITY</x:v>
      </x:c>
      <x:c r="D20" s="17" t="str">
        <x:v>POINT_READY; POLYGON_CANDIDATE_OPEN</x:v>
      </x:c>
      <x:c r="E20" s="17" t="str">
        <x:v>OSM relation candidate exists but full multipolygon not reconstructed here.</x:v>
      </x:c>
      <x:c r="F20" s="17" t="str">
        <x:v>Extract/validate full relation before closure.</x:v>
      </x:c>
      <x:c r="G20" s="17" t="str">
        <x:v>OPEN - retain evidence; do not fabricate geometry</x:v>
      </x:c>
    </x:row>
    <x:row r="21">
      <x:c r="A21" s="17" t="str">
        <x:v>S2021-024</x:v>
      </x:c>
      <x:c r="B21" s="17" t="str">
        <x:v>Taman Skudai Baru</x:v>
      </x:c>
      <x:c r="C21" s="17" t="str">
        <x:v>RESIDENTIAL</x:v>
      </x:c>
      <x:c r="D21" s="17" t="str">
        <x:v>IDENTITY_CONFLICT; POLYGON_OPEN</x:v>
      </x:c>
      <x:c r="E21" s="17" t="str">
        <x:v>Two same-name public map objects create identity ambiguity.</x:v>
      </x:c>
      <x:c r="F21" s="17" t="str">
        <x:v>Resolve against event/JBPM administrative context before selecting geometry.</x:v>
      </x:c>
      <x:c r="G21" s="17" t="str">
        <x:v>OPEN - retain evidence; do not fabricate geometry</x:v>
      </x:c>
    </x:row>
    <x:row r="22">
      <x:c r="A22" s="17" t="str">
        <x:v>S2021-025</x:v>
      </x:c>
      <x:c r="B22" s="17" t="str">
        <x:v>Taman Johor Jaya</x:v>
      </x:c>
      <x:c r="C22" s="17" t="str">
        <x:v>RESIDENTIAL</x:v>
      </x:c>
      <x:c r="D22" s="17" t="str">
        <x:v>POINT_READY; POLYGON_OPEN</x:v>
      </x:c>
      <x:c r="E22" s="17" t="str">
        <x:v>Sinar lists Taman Johor Jaya; separate source mentions Jalan Belumut/Taman Johor.</x:v>
      </x:c>
      <x:c r="F22" s="17" t="str">
        <x:v>Retain source conflict; do not auto-merge labels.</x:v>
      </x:c>
      <x:c r="G22" s="17" t="str">
        <x:v>OPEN - retain evidence; do not fabricate geometry</x:v>
      </x:c>
    </x:row>
    <x:row r="23">
      <x:c r="A23" s="17" t="str">
        <x:v>S2021-026</x:v>
      </x:c>
      <x:c r="B23" s="17" t="str">
        <x:v>Kampung Ibu</x:v>
      </x:c>
      <x:c r="C23" s="17" t="str">
        <x:v>COMMUNITY</x:v>
      </x:c>
      <x:c r="D23" s="17" t="str">
        <x:v>POINT_OPEN</x:v>
      </x:c>
      <x:c r="E23" s="17" t="str">
        <x:v>No defensible strict point frozen.</x:v>
      </x:c>
      <x:c r="F23" s="17" t="str">
        <x:v>Seek official locality/gazetteer evidence.</x:v>
      </x:c>
      <x:c r="G23" s="17" t="str">
        <x:v>OPEN - retain evidence; do not fabricate geometry</x:v>
      </x:c>
    </x:row>
    <x:row r="24">
      <x:c r="A24" s="17" t="str">
        <x:v>S2021-027</x:v>
      </x:c>
      <x:c r="B24" s="17" t="str">
        <x:v>Kolam Air</x:v>
      </x:c>
      <x:c r="C24" s="17" t="str">
        <x:v>AREA</x:v>
      </x:c>
      <x:c r="D24" s="17" t="str">
        <x:v>IDENTITY_AMBIGUOUS; POINT_OPEN</x:v>
      </x:c>
      <x:c r="E24" s="17" t="str">
        <x:v>Generic name could be confused with unrelated Kolam Air features.</x:v>
      </x:c>
      <x:c r="F24" s="17" t="str">
        <x:v>Resolve precise Johor Bahru locality before geocoding.</x:v>
      </x:c>
      <x:c r="G24" s="17" t="str">
        <x:v>OPEN - retain evidence; do not fabricate geometry</x:v>
      </x:c>
    </x:row>
    <x:row r="25">
      <x:c r="A25" s="17" t="str">
        <x:v>S2021-028</x:v>
      </x:c>
      <x:c r="B25" s="17" t="str">
        <x:v>Kempas Denai</x:v>
      </x:c>
      <x:c r="C25" s="17" t="str">
        <x:v>ROAD/AREA</x:v>
      </x:c>
      <x:c r="D25" s="17" t="str">
        <x:v>SOURCE_LABEL_CONFLICT; ROAD_SEGMENT_OPEN</x:v>
      </x:c>
      <x:c r="E25" s="17" t="str">
        <x:v>Generic 'Kempas Denai' vs exact 'Jalan Denai Utama' wording.</x:v>
      </x:c>
      <x:c r="F25" s="17" t="str">
        <x:v>Preserve both source labels; resolve flooded road segment separately.</x:v>
      </x:c>
      <x:c r="G25" s="17" t="str">
        <x:v>OPEN - retain evidence; do not fabricate geometry</x:v>
      </x:c>
    </x:row>
    <x:row r="26">
      <x:c r="A26" s="17" t="str">
        <x:v>S2021-029</x:v>
      </x:c>
      <x:c r="B26" s="17" t="str">
        <x:v>Kempas Permatang</x:v>
      </x:c>
      <x:c r="C26" s="17" t="str">
        <x:v>ROAD/AREA</x:v>
      </x:c>
      <x:c r="D26" s="17" t="str">
        <x:v>POINT_READY; ROAD_SEGMENT_OPEN</x:v>
      </x:c>
      <x:c r="E26" s="17" t="str">
        <x:v>Area point is usable, but event reporting also gives road-specific Jalan Permatang.</x:v>
      </x:c>
      <x:c r="F26" s="17" t="str">
        <x:v>Do not treat point/community extent as flooded road segment.</x:v>
      </x:c>
      <x:c r="G26" s="17" t="str">
        <x:v>OPEN - retain evidence; do not fabricate geometry</x:v>
      </x:c>
    </x:row>
    <x:row r="27">
      <x:c r="A27" s="17" t="str">
        <x:v>S2021-030</x:v>
      </x:c>
      <x:c r="B27" s="17" t="str">
        <x:v>Kampung Seri Jaya Baru</x:v>
      </x:c>
      <x:c r="C27" s="17" t="str">
        <x:v>COMMUNITY</x:v>
      </x:c>
      <x:c r="D27" s="17" t="str">
        <x:v>POINT_OPEN</x:v>
      </x:c>
      <x:c r="E27" s="17" t="str">
        <x:v>Identity is strong; exact centroid/community boundary not frozen.</x:v>
      </x:c>
      <x:c r="F27" s="17" t="str">
        <x:v>Resolve official point/boundary.</x:v>
      </x:c>
      <x:c r="G27" s="17" t="str">
        <x:v>OPEN - retain evidence; do not fabricate geometry</x:v>
      </x:c>
    </x:row>
    <x:row r="28">
      <x:c r="A28" s="17" t="str">
        <x:v>S2021-031</x:v>
      </x:c>
      <x:c r="B28" s="17" t="str">
        <x:v>Kampung Mohd Amin, Kolam Air</x:v>
      </x:c>
      <x:c r="C28" s="17" t="str">
        <x:v>COMMUNITY</x:v>
      </x:c>
      <x:c r="D28" s="17" t="str">
        <x:v>POINT_READY; POLYGON_OPEN</x:v>
      </x:c>
      <x:c r="E28" s="17" t="str">
        <x:v>30 Sep field record is explicit; exact closed community boundary not frozen.</x:v>
      </x:c>
      <x:c r="F28" s="17" t="str">
        <x:v>Reuse canonical Kampung Mohd Amin identity; retain Kolam Air event context.</x:v>
      </x:c>
      <x:c r="G28" s="17" t="str">
        <x:v>OPEN - retain evidence; do not fabricate geometry</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36" hidden="0" customWidth="1"/>
    <x:col min="2" max="2" width="46" hidden="0" customWidth="1"/>
    <x:col min="3" max="3" width="62" hidden="0" customWidth="1"/>
  </x:cols>
  <x:sheetData>
    <x:row r="1">
      <x:c r="A1" s="8" t="str">
        <x:v>Metric</x:v>
      </x:c>
      <x:c r="B1" s="8" t="str">
        <x:v>R012 frozen value</x:v>
      </x:c>
      <x:c r="C1" s="8" t="str">
        <x:v>2021 handling</x:v>
      </x:c>
    </x:row>
    <x:row r="2">
      <x:c r="A2" s="9" t="str">
        <x:v>2016 Event rows</x:v>
      </x:c>
      <x:c r="B2" s="9" t="n">
        <x:v>3</x:v>
      </x:c>
      <x:c r="C2" s="9" t="str">
        <x:v>unchanged</x:v>
      </x:c>
    </x:row>
    <x:row r="3">
      <x:c r="A3" s="9" t="str">
        <x:v>2017 Event rows</x:v>
      </x:c>
      <x:c r="B3" s="9" t="n">
        <x:v>35</x:v>
      </x:c>
      <x:c r="C3" s="9" t="str">
        <x:v>unchanged</x:v>
      </x:c>
    </x:row>
    <x:row r="4">
      <x:c r="A4" s="9" t="str">
        <x:v>2018 Event rows</x:v>
      </x:c>
      <x:c r="B4" s="9" t="n">
        <x:v>21</x:v>
      </x:c>
      <x:c r="C4" s="9" t="str">
        <x:v>unchanged</x:v>
      </x:c>
    </x:row>
    <x:row r="5">
      <x:c r="A5" s="9" t="str">
        <x:v>2019 Event rows</x:v>
      </x:c>
      <x:c r="B5" s="9" t="n">
        <x:v>24</x:v>
      </x:c>
      <x:c r="C5" s="9" t="str">
        <x:v>unchanged</x:v>
      </x:c>
    </x:row>
    <x:row r="6">
      <x:c r="A6" s="9" t="str">
        <x:v>2020 Event rows</x:v>
      </x:c>
      <x:c r="B6" s="9" t="n">
        <x:v>28</x:v>
      </x:c>
      <x:c r="C6" s="9" t="str">
        <x:v>unchanged</x:v>
      </x:c>
    </x:row>
    <x:row r="7">
      <x:c r="A7" s="9" t="str">
        <x:v>Cumulative Event rows through 2020</x:v>
      </x:c>
      <x:c r="B7" s="9" t="n">
        <x:v>111</x:v>
      </x:c>
      <x:c r="C7" s="9" t="str">
        <x:v>parent baseline</x:v>
      </x:c>
    </x:row>
    <x:row r="8">
      <x:c r="A8" s="9" t="str">
        <x:v>R012 Location_ID count</x:v>
      </x:c>
      <x:c r="B8" s="9" t="n">
        <x:v>77</x:v>
      </x:c>
      <x:c r="C8" s="9" t="str">
        <x:v>not renumbered or overwritten in this incremental file</x:v>
      </x:c>
    </x:row>
    <x:row r="9">
      <x:c r="A9" s="9" t="str">
        <x:v>R012 Polygon_ID count</x:v>
      </x:c>
      <x:c r="B9" s="9" t="n">
        <x:v>12</x:v>
      </x:c>
      <x:c r="C9" s="9" t="str">
        <x:v>carry forward</x:v>
      </x:c>
    </x:row>
    <x:row r="10">
      <x:c r="A10" s="9" t="str">
        <x:v>R012 Closed Polygon WKT</x:v>
      </x:c>
      <x:c r="B10" s="9" t="str">
        <x:v>12/12</x:v>
      </x:c>
      <x:c r="C10" s="9" t="str">
        <x:v>carry forward</x:v>
      </x:c>
    </x:row>
    <x:row r="11">
      <x:c r="A11" s="9" t="str">
        <x:v>R012 Event→Location missing refs</x:v>
      </x:c>
      <x:c r="B11" s="9" t="n">
        <x:v>0</x:v>
      </x:c>
      <x:c r="C11" s="9" t="str">
        <x:v>parent baseline</x:v>
      </x:c>
    </x:row>
    <x:row r="12">
      <x:c r="A12" s="9" t="str">
        <x:v>R012 formula errors</x:v>
      </x:c>
      <x:c r="B12" s="9" t="n">
        <x:v>0</x:v>
      </x:c>
      <x:c r="C12" s="9" t="str">
        <x:v>parent baseline</x:v>
      </x:c>
    </x:row>
    <x:row r="13">
      <x:c r="A13" s="9" t="str">
        <x:v>Reused in 2021</x:v>
      </x:c>
      <x:c r="B13" s="9" t="str">
        <x:v>PG2019-KG-SEPAKAT-BARU; PG2017-KG-KANGKAR-TEBRAU</x:v>
      </x:c>
      <x:c r="C13" s="9" t="str">
        <x:v>geometry remains frozen in R012 lineage</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38" hidden="0" customWidth="1"/>
    <x:col min="2" max="2" width="25" hidden="0" customWidth="1"/>
    <x:col min="3" max="3" width="14" hidden="0" customWidth="1"/>
    <x:col min="4" max="4" width="14" hidden="0" customWidth="1"/>
  </x:cols>
  <x:sheetData>
    <x:row r="1">
      <x:c r="A1" s="8" t="str">
        <x:v>Metric</x:v>
      </x:c>
      <x:c r="B1" s="8" t="str">
        <x:v>Formula / Value</x:v>
      </x:c>
      <x:c r="C1" s="8" t="str">
        <x:v>Expected</x:v>
      </x:c>
      <x:c r="D1" s="8" t="str">
        <x:v>Status</x:v>
      </x:c>
    </x:row>
    <x:row r="2">
      <x:c r="A2" s="9" t="str">
        <x:v>2021 event-location rows</x:v>
      </x:c>
      <x:c r="B2" s="9" t="n">
        <x:f>COUNTA('01_2021_Event_Master'!A2:A47)</x:f>
        <x:v>46</x:v>
      </x:c>
      <x:c r="C2" s="9" t="n">
        <x:v>46</x:v>
      </x:c>
      <x:c r="D2" s="9" t="str">
        <x:f>IF(B2=C2,"PASS","CHECK")</x:f>
        <x:v>PASS</x:v>
      </x:c>
    </x:row>
    <x:row r="3">
      <x:c r="A3" s="9" t="str">
        <x:v>2021 unique spatial objects</x:v>
      </x:c>
      <x:c r="B3" s="9" t="n">
        <x:v>31</x:v>
      </x:c>
      <x:c r="C3" s="9" t="n">
        <x:v>31</x:v>
      </x:c>
      <x:c r="D3" s="9" t="str">
        <x:f>IF(B3=C3,"PASS","CHECK")</x:f>
        <x:v>PASS</x:v>
      </x:c>
    </x:row>
    <x:row r="4">
      <x:c r="A4" s="9" t="str">
        <x:v>2021 episode groups</x:v>
      </x:c>
      <x:c r="B4" s="9" t="n">
        <x:v>8</x:v>
      </x:c>
      <x:c r="C4" s="9" t="n">
        <x:v>8</x:v>
      </x:c>
      <x:c r="D4" s="9" t="str">
        <x:f>IF(B4=C4,"PASS","CHECK")</x:f>
        <x:v>PASS</x:v>
      </x:c>
    </x:row>
    <x:row r="5">
      <x:c r="A5" s="9" t="str">
        <x:v>Strict Point-GIS-ready objects</x:v>
      </x:c>
      <x:c r="B5" s="9" t="n">
        <x:v>15</x:v>
      </x:c>
      <x:c r="C5" s="9" t="n">
        <x:v>15</x:v>
      </x:c>
      <x:c r="D5" s="9" t="str">
        <x:f>IF(B5=C5,"PASS","CHECK")</x:f>
        <x:v>PASS</x:v>
      </x:c>
    </x:row>
    <x:row r="6">
      <x:c r="A6" s="9" t="str">
        <x:v>Open spatial objects</x:v>
      </x:c>
      <x:c r="B6" s="9" t="n">
        <x:v>27</x:v>
      </x:c>
      <x:c r="C6" s="9" t="n">
        <x:v>27</x:v>
      </x:c>
      <x:c r="D6" s="9" t="str">
        <x:f>IF(B6=C6,"PASS","CHECK")</x:f>
        <x:v>PASS</x:v>
      </x:c>
    </x:row>
    <x:row r="7">
      <x:c r="A7" s="9" t="str">
        <x:v>Missing Spatial_Object_Key refs</x:v>
      </x:c>
      <x:c r="B7" s="9" t="n">
        <x:v>0</x:v>
      </x:c>
      <x:c r="C7" s="9" t="n">
        <x:v>0</x:v>
      </x:c>
      <x:c r="D7" s="9" t="str">
        <x:f>IF(B7=C7,"PASS","CHECK")</x:f>
        <x:v>PASS</x:v>
      </x:c>
    </x:row>
    <x:row r="8">
      <x:c r="A8" s="9" t="str">
        <x:v>Cumulative event rows through 2021</x:v>
      </x:c>
      <x:c r="B8" s="9" t="n">
        <x:v>157</x:v>
      </x:c>
      <x:c r="C8" s="9" t="n">
        <x:v>157</x:v>
      </x:c>
      <x:c r="D8" s="9" t="str">
        <x:f>IF(B8=C8,"PASS","CHECK")</x:f>
        <x:v>PASS</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31" hidden="0" customWidth="1"/>
    <x:col min="2" max="2" width="28" hidden="0" customWidth="1"/>
    <x:col min="3" max="3" width="17" hidden="0" customWidth="1"/>
    <x:col min="4" max="4" width="14" hidden="0" customWidth="1"/>
    <x:col min="5" max="5" width="20" hidden="0" customWidth="1"/>
    <x:col min="6" max="6" width="28" hidden="0" customWidth="1"/>
    <x:col min="7" max="7" width="18" hidden="0" customWidth="1"/>
    <x:col min="8" max="8" width="11" hidden="0" customWidth="1"/>
    <x:col min="9" max="9" width="11" hidden="0" customWidth="1"/>
    <x:col min="10" max="10" width="14" hidden="0" customWidth="1"/>
    <x:col min="11" max="11" width="16" hidden="0" customWidth="1"/>
    <x:col min="12" max="12" width="16" hidden="0" customWidth="1"/>
    <x:col min="13" max="13" width="16" hidden="0" customWidth="1"/>
    <x:col min="14" max="14" width="64" hidden="0" customWidth="1"/>
    <x:col min="15" max="15" width="60" hidden="0" customWidth="1"/>
    <x:col min="16" max="16" width="28" hidden="0" customWidth="1"/>
    <x:col min="17" max="17" width="60" hidden="0" customWidth="1"/>
    <x:col min="18" max="18" width="44" hidden="0" customWidth="1"/>
  </x:cols>
  <x:sheetData>
    <x:row r="1">
      <x:c r="A1" s="16" t="str">
        <x:v>Polygon_ID</x:v>
      </x:c>
      <x:c r="B1" s="16" t="str">
        <x:v>Object_Name</x:v>
      </x:c>
      <x:c r="C1" s="16" t="str">
        <x:v>Closure_Status</x:v>
      </x:c>
      <x:c r="D1" s="16" t="str">
        <x:v>Geometry_Type</x:v>
      </x:c>
      <x:c r="E1" s="16" t="str">
        <x:v>CRS</x:v>
      </x:c>
      <x:c r="F1" s="16" t="str">
        <x:v>Source_Geometry</x:v>
      </x:c>
      <x:c r="G1" s="16" t="str">
        <x:v>Unique_Node_Count</x:v>
      </x:c>
      <x:c r="H1" s="16" t="str">
        <x:v>Closed</x:v>
      </x:c>
      <x:c r="I1" s="16" t="str">
        <x:v>Valid</x:v>
      </x:c>
      <x:c r="J1" s="16" t="str">
        <x:v>Area_km2</x:v>
      </x:c>
      <x:c r="K1" s="16" t="str">
        <x:v>Perimeter_km</x:v>
      </x:c>
      <x:c r="L1" s="16" t="str">
        <x:v>Centroid_Lat</x:v>
      </x:c>
      <x:c r="M1" s="16" t="str">
        <x:v>Centroid_Lon</x:v>
      </x:c>
      <x:c r="N1" s="16" t="str">
        <x:v>Geometry_WKT_or_CarryForward</x:v>
      </x:c>
      <x:c r="O1" s="16" t="str">
        <x:v>Interpretation</x:v>
      </x:c>
      <x:c r="P1" s="16" t="str">
        <x:v>Event_Use</x:v>
      </x:c>
      <x:c r="Q1" s="16" t="str">
        <x:v>Source_URL</x:v>
      </x:c>
      <x:c r="R1" s="16" t="str">
        <x:v>Notes</x:v>
      </x:c>
    </x:row>
    <x:row r="2">
      <x:c r="A2" s="17" t="str">
        <x:v>PG2021-KEMPAS-LURAH</x:v>
      </x:c>
      <x:c r="B2" s="17" t="str">
        <x:v>Kempas Lurah</x:v>
      </x:c>
      <x:c r="C2" s="17" t="str">
        <x:v>NEW_CLOSED</x:v>
      </x:c>
      <x:c r="D2" s="17" t="str">
        <x:v>POLYGON</x:v>
      </x:c>
      <x:c r="E2" s="17" t="str">
        <x:v>EPSG:4326 / WGS84</x:v>
      </x:c>
      <x:c r="F2" s="17" t="str">
        <x:v>OSM way 407852454</x:v>
      </x:c>
      <x:c r="G2" s="17" t="n">
        <x:v>12</x:v>
      </x:c>
      <x:c r="H2" s="24" t="b">
        <x:v>1</x:v>
      </x:c>
      <x:c r="I2" s="24" t="b">
        <x:v>1</x:v>
      </x:c>
      <x:c r="J2" s="17" t="n">
        <x:v>0.619978</x:v>
      </x:c>
      <x:c r="K2" s="17" t="n">
        <x:v>3.542863</x:v>
      </x:c>
      <x:c r="L2" s="17" t="n">
        <x:v>1.529113762957729</x:v>
      </x:c>
      <x:c r="M2" s="17" t="n">
        <x:v>103.71579344254057</x:v>
      </x:c>
      <x:c r="N2" s="17" t="str">
        <x:v>POLYGON ((103.716333 1.5343375, 103.7203241 1.5293396, 103.71938 1.5282671, 103.7202893 1.5269702, 103.715284 1.5254401, 103.7151137 1.5255063, 103.7118719 1.5245453, 103.7115345 1.5249308, 103.7124738 1.5253081, 103.712706 1.5282342, 103.7116622 1.5289591, 103.7110511 1.5293632, 103.716333 1.5343375))</x:v>
      </x:c>
      <x:c r="O2" s="17" t="str">
        <x:v>Community/residential analysis boundary; NOT an observed inundation footprint.</x:v>
      </x:c>
      <x:c r="P2" s="17" t="str">
        <x:v>2021-09-30</x:v>
      </x:c>
      <x:c r="Q2" s="17" t="str">
        <x:v>https://www.openstreetmap.org/way/407852454</x:v>
      </x:c>
      <x:c r="R2" s="17" t="str">
        <x:v>Exact named closed way.</x:v>
      </x:c>
    </x:row>
    <x:row r="3">
      <x:c r="A3" s="17" t="str">
        <x:v>PG2021-TAMAN-MAWAR</x:v>
      </x:c>
      <x:c r="B3" s="17" t="str">
        <x:v>Taman Mawar</x:v>
      </x:c>
      <x:c r="C3" s="17" t="str">
        <x:v>NEW_CLOSED</x:v>
      </x:c>
      <x:c r="D3" s="17" t="str">
        <x:v>POLYGON</x:v>
      </x:c>
      <x:c r="E3" s="17" t="str">
        <x:v>EPSG:4326 / WGS84</x:v>
      </x:c>
      <x:c r="F3" s="17" t="str">
        <x:v>OSM way 617816429</x:v>
      </x:c>
      <x:c r="G3" s="17" t="n">
        <x:v>21</x:v>
      </x:c>
      <x:c r="H3" s="24" t="b">
        <x:v>1</x:v>
      </x:c>
      <x:c r="I3" s="24" t="b">
        <x:v>1</x:v>
      </x:c>
      <x:c r="J3" s="17" t="n">
        <x:v>1.232917</x:v>
      </x:c>
      <x:c r="K3" s="17" t="n">
        <x:v>4.505178</x:v>
      </x:c>
      <x:c r="L3" s="17" t="n">
        <x:v>1.4696218674404422</x:v>
      </x:c>
      <x:c r="M3" s="17" t="n">
        <x:v>103.89480949131685</x:v>
      </x:c>
      <x:c r="N3" s="17" t="str">
        <x:v>POLYGON ((103.9009559 1.4736497, 103.8968816 1.4754756, 103.894642 1.4764114, 103.8925754 1.4763337, 103.8917787 1.4759636, 103.89154 1.4753081, 103.8915347 1.4749514, 103.89176 1.4742087, 103.8918284 1.473049, 103.8917693 1.4724431, 103.8915332 1.4710501, 103.8896917 1.4669938, 103.8896646 1.4665708, 103.8898363 1.4661203, 103.8909565 1.4639096, 103.8912891 1.4636843, 103.891804 1.4632017, 103.895171 1.4618683, 103.895407 1.4619219, 103.8968963 1.4649027, 103.8978577 1.4669742, 103.9009559 1.4736497))</x:v>
      </x:c>
      <x:c r="O3" s="17" t="str">
        <x:v>Residential/neighbourhood analysis boundary; NOT an observed inundation footprint.</x:v>
      </x:c>
      <x:c r="P3" s="17" t="str">
        <x:v>2021-07-12</x:v>
      </x:c>
      <x:c r="Q3" s="17" t="str">
        <x:v>https://www.openstreetmap.org/way/617816429</x:v>
      </x:c>
      <x:c r="R3" s="17" t="str">
        <x:v>Exact named closed way.</x:v>
      </x:c>
    </x:row>
    <x:row r="4">
      <x:c r="A4" s="17" t="str">
        <x:v>PG2019-KG-SEPAKAT-BARU</x:v>
      </x:c>
      <x:c r="B4" s="17" t="str">
        <x:v>Kampung Sepakat Baru</x:v>
      </x:c>
      <x:c r="C4" s="17" t="str">
        <x:v>REUSED_CLOSED</x:v>
      </x:c>
      <x:c r="D4" s="17" t="str">
        <x:v>POLYGON</x:v>
      </x:c>
      <x:c r="E4" s="17" t="str">
        <x:v>EPSG:4326 / WGS84</x:v>
      </x:c>
      <x:c r="F4" s="17" t="str">
        <x:v>R010 / OSM way 463347299</x:v>
      </x:c>
      <x:c r="G4" s="17" t="str"/>
      <x:c r="H4" s="17" t="str">
        <x:v>TRUE</x:v>
      </x:c>
      <x:c r="I4" s="17" t="str">
        <x:v>TRUE</x:v>
      </x:c>
      <x:c r="J4" s="17" t="str"/>
      <x:c r="K4" s="17" t="str"/>
      <x:c r="L4" s="17" t="str"/>
      <x:c r="M4" s="17" t="str">
        <x:v>CARRY_FORWARD_FROM_R012</x:v>
      </x:c>
      <x:c r="N4" s="17" t="str">
        <x:v>Previously frozen community analysis boundary; NOT an observed inundation footprint.</x:v>
      </x:c>
      <x:c r="O4" s="17" t="str">
        <x:v>2021-01-02; 2021-01-10</x:v>
      </x:c>
      <x:c r="P4" s="17" t="str">
        <x:v>https://www.openstreetmap.org/way/463347299</x:v>
      </x:c>
      <x:c r="Q4" s="17" t="str">
        <x:v>Geometry/WKT remains in prior cumulative baseline.</x:v>
      </x:c>
      <x:c r="R4" s="17"/>
    </x:row>
    <x:row r="5">
      <x:c r="A5" s="17" t="str">
        <x:v>PG2017-KG-KANGKAR-TEBRAU</x:v>
      </x:c>
      <x:c r="B5" s="17" t="str">
        <x:v>Kampung Kangkar Tebrau</x:v>
      </x:c>
      <x:c r="C5" s="17" t="str">
        <x:v>REUSED_CLOSED</x:v>
      </x:c>
      <x:c r="D5" s="17" t="str">
        <x:v>POLYGON</x:v>
      </x:c>
      <x:c r="E5" s="17" t="str">
        <x:v>EPSG:4326 / WGS84</x:v>
      </x:c>
      <x:c r="F5" s="17" t="str">
        <x:v>R005 / OSM way 657910839</x:v>
      </x:c>
      <x:c r="G5" s="17" t="str"/>
      <x:c r="H5" s="17" t="str">
        <x:v>TRUE</x:v>
      </x:c>
      <x:c r="I5" s="17" t="str">
        <x:v>TRUE</x:v>
      </x:c>
      <x:c r="J5" s="17" t="str"/>
      <x:c r="K5" s="17" t="str"/>
      <x:c r="L5" s="17" t="str"/>
      <x:c r="M5" s="17" t="str">
        <x:v>CARRY_FORWARD_FROM_R012</x:v>
      </x:c>
      <x:c r="N5" s="17" t="str">
        <x:v>Previously frozen community analysis boundary; NOT an observed inundation footprint.</x:v>
      </x:c>
      <x:c r="O5" s="17" t="str">
        <x:v>2021-01-02; 2021-01-10; 2021-09-30</x:v>
      </x:c>
      <x:c r="P5" s="17" t="str">
        <x:v>https://www.openstreetmap.org/way/657910839</x:v>
      </x:c>
      <x:c r="Q5" s="17" t="str">
        <x:v>Geometry/WKT remains in prior cumulative baseline.</x:v>
      </x:c>
      <x:c r="R5" s="17"/>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42" hidden="0" customWidth="1"/>
    <x:col min="2" max="2" width="25" hidden="0" customWidth="1"/>
    <x:col min="3" max="3" width="14" hidden="0" customWidth="1"/>
    <x:col min="4" max="4" width="14" hidden="0" customWidth="1"/>
    <x:col min="5" max="5" width="54" hidden="0" customWidth="1"/>
  </x:cols>
  <x:sheetData>
    <x:row r="1">
      <x:c r="A1" s="8" t="str">
        <x:v>Metric</x:v>
      </x:c>
      <x:c r="B1" s="8" t="str">
        <x:v>Formula / Value</x:v>
      </x:c>
      <x:c r="C1" s="8" t="str">
        <x:v>Expected</x:v>
      </x:c>
      <x:c r="D1" s="8" t="str">
        <x:v>Status</x:v>
      </x:c>
      <x:c r="E1" s="8" t="str">
        <x:v>Interpretation</x:v>
      </x:c>
    </x:row>
    <x:row r="2">
      <x:c r="A2" s="9" t="str">
        <x:v>2021 new closed polygons</x:v>
      </x:c>
      <x:c r="B2" s="9" t="n">
        <x:f>COUNTIF('07_2021_Polygon_Master'!C2:C5,"NEW_CLOSED")</x:f>
        <x:v>2</x:v>
      </x:c>
      <x:c r="C2" s="9" t="n">
        <x:v>2</x:v>
      </x:c>
      <x:c r="D2" s="9" t="str">
        <x:f>IF(B2=C2,"PASS","CHECK")</x:f>
        <x:v>PASS</x:v>
      </x:c>
      <x:c r="E2" s="9" t="str">
        <x:v>Kempas Lurah + Taman Mawar</x:v>
      </x:c>
    </x:row>
    <x:row r="3">
      <x:c r="A3" s="9" t="str">
        <x:v>2021 reused closed polygons</x:v>
      </x:c>
      <x:c r="B3" s="9" t="n">
        <x:f>COUNTIF('07_2021_Polygon_Master'!C2:C5,"REUSED_CLOSED")</x:f>
        <x:v>2</x:v>
      </x:c>
      <x:c r="C3" s="9" t="n">
        <x:v>2</x:v>
      </x:c>
      <x:c r="D3" s="9" t="str">
        <x:f>IF(B3=C3,"PASS","CHECK")</x:f>
        <x:v>PASS</x:v>
      </x:c>
      <x:c r="E3" s="9" t="str">
        <x:v>Sepakat Baru + Kangkar Tebrau</x:v>
      </x:c>
    </x:row>
    <x:row r="4">
      <x:c r="A4" s="9" t="str">
        <x:v>2021 directly usable closed analysis regions</x:v>
      </x:c>
      <x:c r="B4" s="9" t="n">
        <x:f>B2+B3</x:f>
        <x:v>4</x:v>
      </x:c>
      <x:c r="C4" s="9" t="n">
        <x:v>4</x:v>
      </x:c>
      <x:c r="D4" s="9" t="str">
        <x:f>IF(B4=C4,"PASS","CHECK")</x:f>
        <x:v>PASS</x:v>
      </x:c>
      <x:c r="E4" s="9" t="str">
        <x:v>New + reused</x:v>
      </x:c>
    </x:row>
    <x:row r="5">
      <x:c r="A5" s="9" t="str">
        <x:v>New polygon valid</x:v>
      </x:c>
      <x:c r="B5" s="9" t="n">
        <x:v>2</x:v>
      </x:c>
      <x:c r="C5" s="9" t="n">
        <x:v>2</x:v>
      </x:c>
      <x:c r="D5" s="9" t="str">
        <x:f>IF(B5=C5,"PASS","CHECK")</x:f>
        <x:v>PASS</x:v>
      </x:c>
      <x:c r="E5" s="9" t="str">
        <x:v>Both reconstructed WKT valid</x:v>
      </x:c>
    </x:row>
    <x:row r="6">
      <x:c r="A6" s="9" t="str">
        <x:v>New polygon closed</x:v>
      </x:c>
      <x:c r="B6" s="9" t="n">
        <x:v>2</x:v>
      </x:c>
      <x:c r="C6" s="9" t="n">
        <x:v>2</x:v>
      </x:c>
      <x:c r="D6" s="9" t="str">
        <x:f>IF(B6=C6,"PASS","CHECK")</x:f>
        <x:v>PASS</x:v>
      </x:c>
      <x:c r="E6" s="9" t="str">
        <x:v>First/last coordinate closes ring</x:v>
      </x:c>
    </x:row>
    <x:row r="7">
      <x:c r="A7" s="9" t="str">
        <x:v>Cumulative Polygon_ID through 2021</x:v>
      </x:c>
      <x:c r="B7" s="9" t="n">
        <x:v>14</x:v>
      </x:c>
      <x:c r="C7" s="9" t="n">
        <x:v>14</x:v>
      </x:c>
      <x:c r="D7" s="9" t="str">
        <x:f>IF(B7=C7,"PASS","CHECK")</x:f>
        <x:v>PASS</x:v>
      </x:c>
      <x:c r="E7" s="9" t="str">
        <x:v>R012 12 + 2 new</x:v>
      </x:c>
    </x:row>
    <x:row r="8">
      <x:c r="A8" s="9" t="str">
        <x:v>Cumulative Closed Polygon WKT through 2021</x:v>
      </x:c>
      <x:c r="B8" s="9" t="n">
        <x:v>14</x:v>
      </x:c>
      <x:c r="C8" s="9" t="n">
        <x:v>14</x:v>
      </x:c>
      <x:c r="D8" s="9" t="str">
        <x:f>IF(B8=C8,"PASS","CHECK")</x:f>
        <x:v>PASS</x:v>
      </x:c>
      <x:c r="E8" s="9" t="str">
        <x:v>14/14 in formal lineage</x:v>
      </x:c>
    </x:row>
    <x:row r="9">
      <x:c r="A9" s="9" t="str">
        <x:v>2021 event-location rows</x:v>
      </x:c>
      <x:c r="B9" s="9" t="n">
        <x:v>46</x:v>
      </x:c>
      <x:c r="C9" s="9" t="n">
        <x:v>46</x:v>
      </x:c>
      <x:c r="D9" s="9" t="str">
        <x:f>IF(B9=C9,"PASS","CHECK")</x:f>
        <x:v>PASS</x:v>
      </x:c>
      <x:c r="E9" s="9" t="str">
        <x:v>No 2022 rows</x:v>
      </x:c>
    </x:row>
    <x:row r="10">
      <x:c r="A10" s="9" t="str">
        <x:v>Cumulative event rows through 2021</x:v>
      </x:c>
      <x:c r="B10" s="9" t="n">
        <x:v>157</x:v>
      </x:c>
      <x:c r="C10" s="9" t="n">
        <x:v>157</x:v>
      </x:c>
      <x:c r="D10" s="9" t="str">
        <x:f>IF(B10=C10,"PASS","CHECK")</x:f>
        <x:v>PASS</x:v>
      </x:c>
      <x:c r="E10" s="9" t="str">
        <x:v>R012 111 + 2021 46</x:v>
      </x:c>
    </x:row>
    <x:row r="11">
      <x:c r="A11" s="9" t="str">
        <x:v>2022 records included</x:v>
      </x:c>
      <x:c r="B11" s="9" t="n">
        <x:v>0</x:v>
      </x:c>
      <x:c r="C11" s="9" t="n">
        <x:v>0</x:v>
      </x:c>
      <x:c r="D11" s="9" t="str">
        <x:f>IF(B11=C11,"PASS","CHECK")</x:f>
        <x:v>PASS</x:v>
      </x:c>
      <x:c r="E11" s="9" t="str">
        <x:v>Hard stop after 2021</x:v>
      </x:c>
    </x:row>
  </x:sheetData>
  <x:pageMargins left="0.7" right="0.7" top="0.75" bottom="0.75" header="0.3" footer="0.3"/>
</x:worksheet>
</file>