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50" windowHeight="12860"/>
  </bookViews>
  <sheets>
    <sheet name="01_GIS_Plot_Data" sheetId="1" r:id="rId1"/>
    <sheet name="02_Frequency_Summary" sheetId="2" r:id="rId2"/>
    <sheet name="03_Plot_QA" sheetId="3" r:id="rId3"/>
  </sheets>
  <calcPr calcId="144525"/>
</workbook>
</file>

<file path=xl/sharedStrings.xml><?xml version="1.0" encoding="utf-8"?>
<sst xmlns="http://schemas.openxmlformats.org/spreadsheetml/2006/main" count="1093" uniqueCount="481">
  <si>
    <t>Final_Location_ID</t>
  </si>
  <si>
    <t>Standardized_Location</t>
  </si>
  <si>
    <t>Object_Types</t>
  </si>
  <si>
    <t>Longitude_WGS84</t>
  </si>
  <si>
    <t>Latitude_WGS84</t>
  </si>
  <si>
    <t>Independent_Event_Count</t>
  </si>
  <si>
    <t>Frequency_Band</t>
  </si>
  <si>
    <t>Frequency_Class</t>
  </si>
  <si>
    <t>Years_Observed</t>
  </si>
  <si>
    <t>First_Event_Date</t>
  </si>
  <si>
    <t>Last_Event_Date</t>
  </si>
  <si>
    <t>Polygon_IDs</t>
  </si>
  <si>
    <t>Fixed45_IDs</t>
  </si>
  <si>
    <t>Plot_Status</t>
  </si>
  <si>
    <t>Frequency_Check</t>
  </si>
  <si>
    <t>FLOC-0003</t>
  </si>
  <si>
    <t>Batu 20, Jalan Sungai Tiram</t>
  </si>
  <si>
    <t>COMMUNITY/AREA; ROAD/LOCALITY; Road</t>
  </si>
  <si>
    <t>1-3</t>
  </si>
  <si>
    <t>Occasional</t>
  </si>
  <si>
    <t>2019;2021;2024</t>
  </si>
  <si>
    <t>PLOT</t>
  </si>
  <si>
    <t>FLOC-0004</t>
  </si>
  <si>
    <t>Century Garden / Taman Century</t>
  </si>
  <si>
    <t>AREA/RESIDENTIAL</t>
  </si>
  <si>
    <t>2026</t>
  </si>
  <si>
    <t>FLOC-0005</t>
  </si>
  <si>
    <t>Danga Bay</t>
  </si>
  <si>
    <t>FLOC-0006</t>
  </si>
  <si>
    <t>Dataran Bandaraya Johor Bahru</t>
  </si>
  <si>
    <t>CIVIC AREA</t>
  </si>
  <si>
    <t>2023</t>
  </si>
  <si>
    <t>HF21</t>
  </si>
  <si>
    <t>FLOC-0007</t>
  </si>
  <si>
    <t>FELDA / Kampung Cahaya Baru</t>
  </si>
  <si>
    <t>COMMUNITY/AREA</t>
  </si>
  <si>
    <t>FLOC-0013</t>
  </si>
  <si>
    <t>Holiday Villa Johor Bahru City Centre</t>
  </si>
  <si>
    <t>FACILITY/POI</t>
  </si>
  <si>
    <t>FLOC-0014</t>
  </si>
  <si>
    <t>Hospital Sultanah Aminah</t>
  </si>
  <si>
    <t>CRITICAL_FACILITY; Hospital campus / access area</t>
  </si>
  <si>
    <t>2016;2022</t>
  </si>
  <si>
    <t>PG2016-HSA-CAMPUS</t>
  </si>
  <si>
    <t>HF22</t>
  </si>
  <si>
    <t>FLOC-0015</t>
  </si>
  <si>
    <t>Hutan Bandar MBJB</t>
  </si>
  <si>
    <t>URBAN PARK/AREA</t>
  </si>
  <si>
    <t>FLOC-0019</t>
  </si>
  <si>
    <t>Jalan Ayer Molek</t>
  </si>
  <si>
    <t>ROAD; ROAD/ROAD CONTEXT</t>
  </si>
  <si>
    <t>2022;2023;2026</t>
  </si>
  <si>
    <t>HF01</t>
  </si>
  <si>
    <t>FLOC-0020</t>
  </si>
  <si>
    <t>Jalan Bilal Mahmood</t>
  </si>
  <si>
    <t>ROAD</t>
  </si>
  <si>
    <t>HF23</t>
  </si>
  <si>
    <t>FLOC-0022</t>
  </si>
  <si>
    <t>Jalan Datin Halimah / Taman Merdeka vicinity</t>
  </si>
  <si>
    <t>FLOC-0023</t>
  </si>
  <si>
    <t>Jalan Dato Sulaiman</t>
  </si>
  <si>
    <t>ROAD; Road</t>
  </si>
  <si>
    <t>2018;2023</t>
  </si>
  <si>
    <t>HF24; HF25</t>
  </si>
  <si>
    <t>FLOC-0024</t>
  </si>
  <si>
    <t>Jalan Denai Utama, Kempas</t>
  </si>
  <si>
    <t>Road</t>
  </si>
  <si>
    <t>2018</t>
  </si>
  <si>
    <t>FLOC-0026</t>
  </si>
  <si>
    <t>Jalan Harmonium 24/1 area</t>
  </si>
  <si>
    <t>FLOC-0027</t>
  </si>
  <si>
    <t>Jalan Ibrahim Sultan</t>
  </si>
  <si>
    <t>HF26</t>
  </si>
  <si>
    <t>FLOC-0028</t>
  </si>
  <si>
    <t>Jalan Ismail Sultan</t>
  </si>
  <si>
    <t>HF38</t>
  </si>
  <si>
    <t>FLOC-0032</t>
  </si>
  <si>
    <t>Jalan Kangkar Tebrau</t>
  </si>
  <si>
    <t>2023;2024</t>
  </si>
  <si>
    <t>FLOC-0033</t>
  </si>
  <si>
    <t>Jalan Keris 2, Taman Sri Tebrau</t>
  </si>
  <si>
    <t>2022</t>
  </si>
  <si>
    <t>FLOC-0034</t>
  </si>
  <si>
    <t>Jalan Kijang</t>
  </si>
  <si>
    <t>FLOC-0035</t>
  </si>
  <si>
    <t>Jalan Kolam Ayer</t>
  </si>
  <si>
    <t>ROAD; ROAD/ROAD SEGMENT; Road; ROAD/ROAD CONTEXT</t>
  </si>
  <si>
    <t>4-6</t>
  </si>
  <si>
    <t>Recurrent</t>
  </si>
  <si>
    <t>2020;2022;2023;2025;2026</t>
  </si>
  <si>
    <t>HF02</t>
  </si>
  <si>
    <t>FLOC-0036</t>
  </si>
  <si>
    <t>Jalan Kota Tinggi / FT003</t>
  </si>
  <si>
    <t>FLOC-0037</t>
  </si>
  <si>
    <t>Jalan Lingkaran Dalam, Johor Bahru</t>
  </si>
  <si>
    <t>2017</t>
  </si>
  <si>
    <t>FLOC-0038</t>
  </si>
  <si>
    <t>Jalan Lurah 3</t>
  </si>
  <si>
    <t>HF41</t>
  </si>
  <si>
    <t>FLOC-0039</t>
  </si>
  <si>
    <t>Jalan Mahmoodiah</t>
  </si>
  <si>
    <t>2022;2023</t>
  </si>
  <si>
    <t>HF03</t>
  </si>
  <si>
    <t>FLOC-0042</t>
  </si>
  <si>
    <t>Jalan Mutiara Emas Utama</t>
  </si>
  <si>
    <t>FLOC-0043</t>
  </si>
  <si>
    <t>Jalan Padi Huma 10</t>
  </si>
  <si>
    <t>HF28</t>
  </si>
  <si>
    <t>FLOC-0044</t>
  </si>
  <si>
    <t>Jalan Padi Huma 9</t>
  </si>
  <si>
    <t>HF29</t>
  </si>
  <si>
    <t>FLOC-0045</t>
  </si>
  <si>
    <t>Jalan Padi Makmur</t>
  </si>
  <si>
    <t>HF30</t>
  </si>
  <si>
    <t>FLOC-0047</t>
  </si>
  <si>
    <t>Jalan Pantai Lido</t>
  </si>
  <si>
    <t>FLOC-0050</t>
  </si>
  <si>
    <t>Jalan Permatang, Kempas</t>
  </si>
  <si>
    <t>FLOC-0052</t>
  </si>
  <si>
    <t>Jalan Ros Merah</t>
  </si>
  <si>
    <t>2017;2020</t>
  </si>
  <si>
    <t>FLOC-0056</t>
  </si>
  <si>
    <t>Jalan Serigala</t>
  </si>
  <si>
    <t>HF31</t>
  </si>
  <si>
    <t>FLOC-0059</t>
  </si>
  <si>
    <t>Jalan Skudai</t>
  </si>
  <si>
    <t>FLOC-0060</t>
  </si>
  <si>
    <t>Jalan Stulang Darat</t>
  </si>
  <si>
    <t>HF10</t>
  </si>
  <si>
    <t>FLOC-0061</t>
  </si>
  <si>
    <t>Jalan Sukun, Kampung Pasir</t>
  </si>
  <si>
    <t>ROAD/ROAD SEGMENT; Road within flood locality</t>
  </si>
  <si>
    <t>2018;2025</t>
  </si>
  <si>
    <t>FLOC-0062</t>
  </si>
  <si>
    <t>Jalan Sungai Chat</t>
  </si>
  <si>
    <t>ROAD; ROAD/ROAD CONTEXT; ROAD/ROAD SEGMENT</t>
  </si>
  <si>
    <t>2023;2025;2026</t>
  </si>
  <si>
    <t>HF04</t>
  </si>
  <si>
    <t>FLOC-0063</t>
  </si>
  <si>
    <t>Jalan Tampoi</t>
  </si>
  <si>
    <t>FLOC-0064</t>
  </si>
  <si>
    <t>Jalan Tawakal, Kampung Melayu Kangkar Pulai</t>
  </si>
  <si>
    <t>Road within residential community</t>
  </si>
  <si>
    <t>2020</t>
  </si>
  <si>
    <t>PG2020-KG-MELAYU-KANGKAR-PULAI</t>
  </si>
  <si>
    <t>FLOC-0065</t>
  </si>
  <si>
    <t>Jalan Tebrau</t>
  </si>
  <si>
    <t>HF05</t>
  </si>
  <si>
    <t>FLOC-0066</t>
  </si>
  <si>
    <t>Jalan Tebrau near Wisma Daiman</t>
  </si>
  <si>
    <t>PG2017-WISMA-DAIMAN-ANCHOR</t>
  </si>
  <si>
    <t>FLOC-0067</t>
  </si>
  <si>
    <t>Jalan Tebrau, Taman Sentosa</t>
  </si>
  <si>
    <t>Road-area event reference</t>
  </si>
  <si>
    <t>FLOC-0068</t>
  </si>
  <si>
    <t>Jalan Tun Abdul Razak</t>
  </si>
  <si>
    <t>ROAD; ROAD/ROAD SEGMENT</t>
  </si>
  <si>
    <t>2022;2023;2025</t>
  </si>
  <si>
    <t>HF06</t>
  </si>
  <si>
    <t>FLOC-0069</t>
  </si>
  <si>
    <t>Jalan Wong Ah Fook</t>
  </si>
  <si>
    <t>ROAD/ROAD CONTEXT; ROAD/ROAD SEGMENT</t>
  </si>
  <si>
    <t>2025;2026</t>
  </si>
  <si>
    <t>HF32</t>
  </si>
  <si>
    <t>FLOC-0070</t>
  </si>
  <si>
    <t>Jalan Wong Ah Fook / Sungai Segget Project Area</t>
  </si>
  <si>
    <t>ROAD; ROAD/CORRIDOR; Urban road-river/project corridor</t>
  </si>
  <si>
    <t>2016;2017;2022</t>
  </si>
  <si>
    <t>PG2016-CBD-SEGGET</t>
  </si>
  <si>
    <t>FLOC-0071</t>
  </si>
  <si>
    <t>Jalan Yahya Awal</t>
  </si>
  <si>
    <t>HF07</t>
  </si>
  <si>
    <t>FLOC-0072</t>
  </si>
  <si>
    <t>Kampung Aman</t>
  </si>
  <si>
    <t>FLOC-0073</t>
  </si>
  <si>
    <t>Kampung Bakar Batu</t>
  </si>
  <si>
    <t>FLOC-0074</t>
  </si>
  <si>
    <t>Kampung Baru Muafakat, Gelang Patah</t>
  </si>
  <si>
    <t>COMMUNITY; Residential kampung</t>
  </si>
  <si>
    <t>2020;2022</t>
  </si>
  <si>
    <t>PG2020-KG-BARU-MUAFAKAT</t>
  </si>
  <si>
    <t>FLOC-0075</t>
  </si>
  <si>
    <t>Kampung Batu 8 1/2, TUTA</t>
  </si>
  <si>
    <t>Kampung</t>
  </si>
  <si>
    <t>2019</t>
  </si>
  <si>
    <t>FLOC-0076</t>
  </si>
  <si>
    <t>Kampung Belantik</t>
  </si>
  <si>
    <t>COMMUNITY/AREA; Kampung</t>
  </si>
  <si>
    <t>FLOC-0077</t>
  </si>
  <si>
    <t>Kampung Bendahara</t>
  </si>
  <si>
    <t>HF11</t>
  </si>
  <si>
    <t>FLOC-0078</t>
  </si>
  <si>
    <t>Kampung Bukit Berangan</t>
  </si>
  <si>
    <t>FLOC-0079</t>
  </si>
  <si>
    <t>Kampung Bukit Dagang</t>
  </si>
  <si>
    <t>2019;2024</t>
  </si>
  <si>
    <t>FLOC-0080</t>
  </si>
  <si>
    <t>Kampung Bunga Ros</t>
  </si>
  <si>
    <t>COMMUNITY; COMMUNITY/AREA; Kampung</t>
  </si>
  <si>
    <t>2019;2022;2025</t>
  </si>
  <si>
    <t>FLOC-0082</t>
  </si>
  <si>
    <t>Kampung Dato Sulaiman Menteri</t>
  </si>
  <si>
    <t>COMMUNITY; Kampung</t>
  </si>
  <si>
    <t>2018;2022</t>
  </si>
  <si>
    <t>FLOC-0083</t>
  </si>
  <si>
    <t>Kampung Dato' Hajah Hasnah Ahmad</t>
  </si>
  <si>
    <t>FLOC-0085</t>
  </si>
  <si>
    <t>Kampung Jaya Sepakat</t>
  </si>
  <si>
    <t>FLOC-0086</t>
  </si>
  <si>
    <t>Kampung Kangkar Tebrau</t>
  </si>
  <si>
    <t>COMMUNITY; COMMUNITY/AREA</t>
  </si>
  <si>
    <t>&gt;=7</t>
  </si>
  <si>
    <t>High-frequency</t>
  </si>
  <si>
    <t>2017;2021;2023;2025</t>
  </si>
  <si>
    <t>PG2017-KANGKAR-TEBRAU</t>
  </si>
  <si>
    <t>HF17</t>
  </si>
  <si>
    <t>FLOC-0087</t>
  </si>
  <si>
    <t>Kampung Kempas Permatang</t>
  </si>
  <si>
    <t>FLOC-0088</t>
  </si>
  <si>
    <t>Kampung Kurnia, Johor Bahru</t>
  </si>
  <si>
    <t>FLOC-0089</t>
  </si>
  <si>
    <t>Kampung Laut Batu 10, Skudai</t>
  </si>
  <si>
    <t>COMMUNITY; Kampung; COMMUNITY/AREA</t>
  </si>
  <si>
    <t>2017;2019;2020;2021;2022;2025</t>
  </si>
  <si>
    <t>FLOC-0090</t>
  </si>
  <si>
    <t>Kampung Maju Jaya</t>
  </si>
  <si>
    <t>2019;2022;2024</t>
  </si>
  <si>
    <t>HF18</t>
  </si>
  <si>
    <t>FLOC-0091</t>
  </si>
  <si>
    <t>Kampung Melayu Lima Kedai</t>
  </si>
  <si>
    <t>Residential hamlet</t>
  </si>
  <si>
    <t>PG2018-MELAYU-LIMA-KEDAI</t>
  </si>
  <si>
    <t>FLOC-0092</t>
  </si>
  <si>
    <t>Kampung Melayu Majidi</t>
  </si>
  <si>
    <t>2018;2021;2022</t>
  </si>
  <si>
    <t>FLOC-0093</t>
  </si>
  <si>
    <t>Kampung Melayu Pandan</t>
  </si>
  <si>
    <t>2019;2025</t>
  </si>
  <si>
    <t>HF12</t>
  </si>
  <si>
    <t>FLOC-0094</t>
  </si>
  <si>
    <t>Kampung Mohd Amin, Kolam Air</t>
  </si>
  <si>
    <t>COMMUNITY; COMMUNITY/AREA; AREA; Kampung</t>
  </si>
  <si>
    <t>2018;2019;2020;2021;2022;2023;2025;2026</t>
  </si>
  <si>
    <t>HF08</t>
  </si>
  <si>
    <t>FLOC-0095</t>
  </si>
  <si>
    <t>Kampung Pasir Tebrau</t>
  </si>
  <si>
    <t>2019;2021;2022;2023;2025</t>
  </si>
  <si>
    <t>FLOC-0096</t>
  </si>
  <si>
    <t>Kampung Pasir, Tampoi/Skudai</t>
  </si>
  <si>
    <t>2017;2020;2021;2022;2023;2025;2026</t>
  </si>
  <si>
    <t>HF14</t>
  </si>
  <si>
    <t>FLOC-0098</t>
  </si>
  <si>
    <t>Kampung Paya Kenangan</t>
  </si>
  <si>
    <t>2017;2019;2021;2022;2023;2025</t>
  </si>
  <si>
    <t>FLOC-0099</t>
  </si>
  <si>
    <t>Kampung Paya Mengkuang</t>
  </si>
  <si>
    <t>COMMUNITY</t>
  </si>
  <si>
    <t>FLOC-0105</t>
  </si>
  <si>
    <t>Kampung Pengkalan Rinting</t>
  </si>
  <si>
    <t>FLOC-0106</t>
  </si>
  <si>
    <t>Kampung Plentong</t>
  </si>
  <si>
    <t>FLOC-0107</t>
  </si>
  <si>
    <t>Kampung Plentong Baru</t>
  </si>
  <si>
    <t>HF13</t>
  </si>
  <si>
    <t>FLOC-0108</t>
  </si>
  <si>
    <t>Kampung Pulai, Ulu Pulai</t>
  </si>
  <si>
    <t>2018;2019</t>
  </si>
  <si>
    <t>FLOC-0109</t>
  </si>
  <si>
    <t>Kampung Sepakat Baru</t>
  </si>
  <si>
    <t>COMMUNITY; Kampung / residential hamlet</t>
  </si>
  <si>
    <t>2019;2021</t>
  </si>
  <si>
    <t>PG2019-KG-SEPAKAT-BARU</t>
  </si>
  <si>
    <t>FLOC-0110</t>
  </si>
  <si>
    <t>Kampung Seri Serdang Baru</t>
  </si>
  <si>
    <t>FLOC-0112</t>
  </si>
  <si>
    <t>Kampung Skudai Kiri</t>
  </si>
  <si>
    <t>Neighborhood</t>
  </si>
  <si>
    <t>FLOC-0113</t>
  </si>
  <si>
    <t>Kampung Sri Jaya Baru</t>
  </si>
  <si>
    <t>2020;2021</t>
  </si>
  <si>
    <t>FLOC-0114</t>
  </si>
  <si>
    <t>Kampung Sri Jaya, Skudai</t>
  </si>
  <si>
    <t>Kampung; COMMUNITY/AREA; Neighborhood</t>
  </si>
  <si>
    <t>2018;2020;2026</t>
  </si>
  <si>
    <t>FLOC-0115</t>
  </si>
  <si>
    <t>Kampung Sri Serdang</t>
  </si>
  <si>
    <t>2020;2025;2026</t>
  </si>
  <si>
    <t>HF15</t>
  </si>
  <si>
    <t>FLOC-0116</t>
  </si>
  <si>
    <t>Kampung Sungai Redan Laut</t>
  </si>
  <si>
    <t>FLOC-0117</t>
  </si>
  <si>
    <t>Kampung Sungai Rinting</t>
  </si>
  <si>
    <t>2021</t>
  </si>
  <si>
    <t>FLOC-0119</t>
  </si>
  <si>
    <t>Kampung Sungai Tiram</t>
  </si>
  <si>
    <t>2017;2019;2023</t>
  </si>
  <si>
    <t>FLOC-0122</t>
  </si>
  <si>
    <t>Kampung Tiram Duku</t>
  </si>
  <si>
    <t>FLOC-0123</t>
  </si>
  <si>
    <t>Kampung Tuah Jaya</t>
  </si>
  <si>
    <t>COMMUNITY/AREA; Residential hamlet</t>
  </si>
  <si>
    <t>2017;2019;2020;2026</t>
  </si>
  <si>
    <t>PG2017-TUAH-JAYA</t>
  </si>
  <si>
    <t>FLOC-0124</t>
  </si>
  <si>
    <t>Kampung Ubi Baru</t>
  </si>
  <si>
    <t>COMMUNITY/AREA; COMMUNITY; Kampung</t>
  </si>
  <si>
    <t>2017;2018;2022;2023;2026</t>
  </si>
  <si>
    <t>FLOC-0125</t>
  </si>
  <si>
    <t>Kampung Ulu Pandan</t>
  </si>
  <si>
    <t>2025</t>
  </si>
  <si>
    <t>HF42</t>
  </si>
  <si>
    <t>FLOC-0129</t>
  </si>
  <si>
    <t>Kempas Denai</t>
  </si>
  <si>
    <t>ROAD/AREA</t>
  </si>
  <si>
    <t>FLOC-0130</t>
  </si>
  <si>
    <t>Kempas Lurah</t>
  </si>
  <si>
    <t>PG2021-KEMPAS-LURAH</t>
  </si>
  <si>
    <t>FLOC-0131</t>
  </si>
  <si>
    <t>Kempas Permatang</t>
  </si>
  <si>
    <t>FLOC-0132</t>
  </si>
  <si>
    <t>Kg. Dato Hajah Hasnah</t>
  </si>
  <si>
    <t>2023;2026</t>
  </si>
  <si>
    <t>FLOC-0133</t>
  </si>
  <si>
    <t>Kg. Paya Sg Redan</t>
  </si>
  <si>
    <t>2017;2024</t>
  </si>
  <si>
    <t>FLOC-0134</t>
  </si>
  <si>
    <t>Kg. Sentosa (Cahaya Baru / eastern Johor Bahru)</t>
  </si>
  <si>
    <t>2017;2019;2020</t>
  </si>
  <si>
    <t>FLOC-0135</t>
  </si>
  <si>
    <t>Kg. Sentosa Barat</t>
  </si>
  <si>
    <t>2017;2021;2022;2023</t>
  </si>
  <si>
    <t>FLOC-0136</t>
  </si>
  <si>
    <t>Kg. Sentosa Damai</t>
  </si>
  <si>
    <t>2021;2023;2024</t>
  </si>
  <si>
    <t>FLOC-0137</t>
  </si>
  <si>
    <t>Kg. Seri Aman / Batu Pulai</t>
  </si>
  <si>
    <t>2021;2023</t>
  </si>
  <si>
    <t>FLOC-0138</t>
  </si>
  <si>
    <t>Kg. Sg. Serai</t>
  </si>
  <si>
    <t>FLOC-0139</t>
  </si>
  <si>
    <t>KIPMall Tampoi</t>
  </si>
  <si>
    <t>AREA/LOCALITY</t>
  </si>
  <si>
    <t>PG2017-KIPMALL-TAMPOI</t>
  </si>
  <si>
    <t>FLOC-0140</t>
  </si>
  <si>
    <t>Klinik Desa Kangkar Tebrau</t>
  </si>
  <si>
    <t>CRITICAL FACILITY</t>
  </si>
  <si>
    <t>FLOC-0141</t>
  </si>
  <si>
    <t>Klinik Desa Plentong</t>
  </si>
  <si>
    <t>FLOC-0142</t>
  </si>
  <si>
    <t>KSL City Mall</t>
  </si>
  <si>
    <t>FLOC-0144</t>
  </si>
  <si>
    <t>Larkin Perdana</t>
  </si>
  <si>
    <t>FLOC-0145</t>
  </si>
  <si>
    <t>Lebuhraya Pasir Gudang</t>
  </si>
  <si>
    <t>FLOC-0148</t>
  </si>
  <si>
    <t>Lorong Aris / Kg. Batu 8 1/2, Skudai</t>
  </si>
  <si>
    <t>ROAD/SUBAREA</t>
  </si>
  <si>
    <t>FLOC-0150</t>
  </si>
  <si>
    <t>Majidee</t>
  </si>
  <si>
    <t>HF36</t>
  </si>
  <si>
    <t>FLOC-0151</t>
  </si>
  <si>
    <t>Maktab Sultan Abu Bakar / English College</t>
  </si>
  <si>
    <t>FLOC-0152</t>
  </si>
  <si>
    <t>Masjid Kg. Kangkar Tebrau</t>
  </si>
  <si>
    <t>FLOC-0154</t>
  </si>
  <si>
    <t>Pandan</t>
  </si>
  <si>
    <t>HF43</t>
  </si>
  <si>
    <t>FLOC-0155</t>
  </si>
  <si>
    <t>Perling / Taman Perling</t>
  </si>
  <si>
    <t>FLOC-0156</t>
  </si>
  <si>
    <t>Persiaran Abu Bakar Sultan</t>
  </si>
  <si>
    <t>HF33</t>
  </si>
  <si>
    <t>FLOC-0157</t>
  </si>
  <si>
    <t>Puteri Harbour Iskandar Puteri</t>
  </si>
  <si>
    <t>AREA</t>
  </si>
  <si>
    <t>HF39</t>
  </si>
  <si>
    <t>FLOC-0161</t>
  </si>
  <si>
    <t>Sekolah Agama Bandar Johor Bahru</t>
  </si>
  <si>
    <t>FLOC-0162</t>
  </si>
  <si>
    <t>Sekolah Kebangsaan Kangkar Tebrau</t>
  </si>
  <si>
    <t>FLOC-0165</t>
  </si>
  <si>
    <t>SK Bukit Mutiara</t>
  </si>
  <si>
    <t>2024</t>
  </si>
  <si>
    <t>FLOC-0166</t>
  </si>
  <si>
    <t>SK Kampung Maju Jaya</t>
  </si>
  <si>
    <t>2024;2025</t>
  </si>
  <si>
    <t>HF44</t>
  </si>
  <si>
    <t>FLOC-0167</t>
  </si>
  <si>
    <t>SK Sungai Tiram</t>
  </si>
  <si>
    <t>FLOC-0168</t>
  </si>
  <si>
    <t>SK Taman Tampoi Utama</t>
  </si>
  <si>
    <t>FLOC-0169</t>
  </si>
  <si>
    <t>Sungai Tiram PPS catchment</t>
  </si>
  <si>
    <t>AREA/COMMUNITY</t>
  </si>
  <si>
    <t>FLOC-0172</t>
  </si>
  <si>
    <t>Taman Abad</t>
  </si>
  <si>
    <t>FLOC-0173</t>
  </si>
  <si>
    <t>Taman Bunga Ros</t>
  </si>
  <si>
    <t>HF37</t>
  </si>
  <si>
    <t>FLOC-0174</t>
  </si>
  <si>
    <t>Taman Damai Jaya</t>
  </si>
  <si>
    <t>Neighborhood; Residential neighbourhood</t>
  </si>
  <si>
    <t>2018;2020</t>
  </si>
  <si>
    <t>PG2018-TAMAN-DAMAI-JAYA</t>
  </si>
  <si>
    <t>FLOC-0175</t>
  </si>
  <si>
    <t>Taman Dato Syed Mohammad Idrus</t>
  </si>
  <si>
    <t>Locality / residential area</t>
  </si>
  <si>
    <t>FLOC-0177</t>
  </si>
  <si>
    <t>Taman Desa Mutiara</t>
  </si>
  <si>
    <t>HF45</t>
  </si>
  <si>
    <t>FLOC-0178</t>
  </si>
  <si>
    <t>Taman Istimewa</t>
  </si>
  <si>
    <t>HF19</t>
  </si>
  <si>
    <t>FLOC-0179</t>
  </si>
  <si>
    <t>Taman Johor Jaya</t>
  </si>
  <si>
    <t>RESIDENTIAL</t>
  </si>
  <si>
    <t>FLOC-0180</t>
  </si>
  <si>
    <t>Taman Kolam Air</t>
  </si>
  <si>
    <t>AREA; AREA/RESIDENTIAL</t>
  </si>
  <si>
    <t>2021;2026</t>
  </si>
  <si>
    <t>FLOC-0181</t>
  </si>
  <si>
    <t>Taman Mawar</t>
  </si>
  <si>
    <t>PG2021-TAMAN-MAWAR</t>
  </si>
  <si>
    <t>FLOC-0182</t>
  </si>
  <si>
    <t>Taman Melodies</t>
  </si>
  <si>
    <t>COMMUNITY/AREA; RESIDENTIAL</t>
  </si>
  <si>
    <t>HF34</t>
  </si>
  <si>
    <t>FLOC-0183</t>
  </si>
  <si>
    <t>Taman Nong Chik</t>
  </si>
  <si>
    <t>AREA/RESIDENTIAL; COMMUNITY/AREA</t>
  </si>
  <si>
    <t>2023;2025</t>
  </si>
  <si>
    <t>HF35</t>
  </si>
  <si>
    <t>FLOC-0184</t>
  </si>
  <si>
    <t>Taman Nusa Bayu</t>
  </si>
  <si>
    <t>Residential neighborhood</t>
  </si>
  <si>
    <t>PG2019-TAMAN-NUSA-BAYU</t>
  </si>
  <si>
    <t>FLOC-0185</t>
  </si>
  <si>
    <t>Taman Nusantara Prima</t>
  </si>
  <si>
    <t>FLOC-0186</t>
  </si>
  <si>
    <t>Taman Pasir Putih</t>
  </si>
  <si>
    <t>FLOC-0187</t>
  </si>
  <si>
    <t>Taman Pelangi</t>
  </si>
  <si>
    <t>FLOC-0188</t>
  </si>
  <si>
    <t>Taman Perling</t>
  </si>
  <si>
    <t>FLOC-0189</t>
  </si>
  <si>
    <t>Taman Rinting</t>
  </si>
  <si>
    <t>FLOC-0190</t>
  </si>
  <si>
    <t>Taman Setia Indah</t>
  </si>
  <si>
    <t>COMMUNITY/AREA; Township / quarter</t>
  </si>
  <si>
    <t>HF20</t>
  </si>
  <si>
    <t>FLOC-0191</t>
  </si>
  <si>
    <t>Taman Skudai Baru</t>
  </si>
  <si>
    <t>FLOC-0192</t>
  </si>
  <si>
    <t>Taman Sri Bahagia</t>
  </si>
  <si>
    <t>FLOC-0193</t>
  </si>
  <si>
    <t>Taman Tampoi Indah</t>
  </si>
  <si>
    <t>HF16</t>
  </si>
  <si>
    <t>FLOC-0194</t>
  </si>
  <si>
    <t>Taman Tampoi Utama</t>
  </si>
  <si>
    <t>AREA/RESIDENTIAL; Neighborhood</t>
  </si>
  <si>
    <t>2020;2025</t>
  </si>
  <si>
    <t>HF40</t>
  </si>
  <si>
    <t>FLOC-0195</t>
  </si>
  <si>
    <t>Taman Tasik / Taman Merdeka</t>
  </si>
  <si>
    <t>FLOC-0196</t>
  </si>
  <si>
    <t>Wisma Persekutuan Johor Bahru</t>
  </si>
  <si>
    <t>Final_Location_Count</t>
  </si>
  <si>
    <t>Definition</t>
  </si>
  <si>
    <t>1-3 independent flood episodes</t>
  </si>
  <si>
    <t>4-6 independent flood episodes</t>
  </si>
  <si>
    <t>&gt;=7 independent flood episodes</t>
  </si>
  <si>
    <t>QA_Item</t>
  </si>
  <si>
    <t>Value</t>
  </si>
  <si>
    <t>Status</t>
  </si>
  <si>
    <t>Plot-ready unique final locations</t>
  </si>
  <si>
    <t>PASS</t>
  </si>
  <si>
    <t>Missing longitude</t>
  </si>
  <si>
    <t>Missing latitude</t>
  </si>
  <si>
    <t>Count &lt; 1</t>
  </si>
  <si>
    <t>Fixed45 points represented in final master</t>
  </si>
  <si>
    <t>Validated polygons represented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</si>
</sst>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0000"/>
  </numFmts>
  <fonts count="22">
    <font>
      <sz val="11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177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3"/>
  <sheetViews>
    <sheetView tabSelected="1" workbookViewId="0">
      <selection activeCell="F8" sqref="F8"/>
    </sheetView>
  </sheetViews>
  <sheetFormatPr defaultColWidth="9" defaultRowHeight="14"/>
  <cols>
    <col min="1" max="1" width="14" customWidth="1"/>
    <col min="2" max="2" width="38" customWidth="1"/>
    <col min="3" max="3" width="24" customWidth="1"/>
    <col min="4" max="5" width="15" customWidth="1"/>
    <col min="6" max="6" width="18" customWidth="1"/>
    <col min="7" max="7" width="14" customWidth="1"/>
    <col min="8" max="8" width="18" customWidth="1"/>
    <col min="9" max="9" width="22" customWidth="1"/>
    <col min="10" max="11" width="14" customWidth="1"/>
    <col min="12" max="12" width="30" customWidth="1"/>
    <col min="13" max="13" width="18" customWidth="1"/>
    <col min="14" max="14" width="12" customWidth="1"/>
    <col min="15" max="15" width="16" customWidth="1"/>
  </cols>
  <sheetData>
    <row r="1" ht="2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8" spans="1:15">
      <c r="A2" s="2" t="s">
        <v>15</v>
      </c>
      <c r="B2" s="2" t="s">
        <v>16</v>
      </c>
      <c r="C2" s="2" t="s">
        <v>17</v>
      </c>
      <c r="D2" s="3">
        <v>103.9119375</v>
      </c>
      <c r="E2" s="3">
        <v>1.5850625</v>
      </c>
      <c r="F2" s="2">
        <v>3</v>
      </c>
      <c r="G2" s="2" t="s">
        <v>18</v>
      </c>
      <c r="H2" s="2" t="s">
        <v>19</v>
      </c>
      <c r="I2" s="2" t="s">
        <v>20</v>
      </c>
      <c r="J2" s="4">
        <v>43814</v>
      </c>
      <c r="K2" s="4">
        <v>45298</v>
      </c>
      <c r="L2" s="2"/>
      <c r="M2" s="2"/>
      <c r="N2" s="2" t="s">
        <v>21</v>
      </c>
      <c r="O2" s="2" t="str">
        <f t="shared" ref="O2:O65" si="0">IF(F2&lt;=3,"1-3",IF(F2&lt;=6,"4-6","&gt;=7"))</f>
        <v>1-3</v>
      </c>
    </row>
    <row r="3" spans="1:15">
      <c r="A3" s="2" t="s">
        <v>22</v>
      </c>
      <c r="B3" s="2" t="s">
        <v>23</v>
      </c>
      <c r="C3" s="2" t="s">
        <v>24</v>
      </c>
      <c r="D3" s="3">
        <v>103.76237</v>
      </c>
      <c r="E3" s="3">
        <v>1.4831</v>
      </c>
      <c r="F3" s="2">
        <v>1</v>
      </c>
      <c r="G3" s="2" t="s">
        <v>18</v>
      </c>
      <c r="H3" s="2" t="s">
        <v>19</v>
      </c>
      <c r="I3" s="2" t="s">
        <v>25</v>
      </c>
      <c r="J3" s="4">
        <v>46295</v>
      </c>
      <c r="K3" s="4">
        <v>46295</v>
      </c>
      <c r="L3" s="2"/>
      <c r="M3" s="2"/>
      <c r="N3" s="2" t="s">
        <v>21</v>
      </c>
      <c r="O3" s="2" t="str">
        <f t="shared" si="0"/>
        <v>1-3</v>
      </c>
    </row>
    <row r="4" spans="1:15">
      <c r="A4" s="2" t="s">
        <v>26</v>
      </c>
      <c r="B4" s="2" t="s">
        <v>27</v>
      </c>
      <c r="C4" s="2" t="s">
        <v>24</v>
      </c>
      <c r="D4" s="3">
        <v>103.71846</v>
      </c>
      <c r="E4" s="3">
        <v>1.48118</v>
      </c>
      <c r="F4" s="2">
        <v>1</v>
      </c>
      <c r="G4" s="2" t="s">
        <v>18</v>
      </c>
      <c r="H4" s="2" t="s">
        <v>19</v>
      </c>
      <c r="I4" s="2" t="s">
        <v>25</v>
      </c>
      <c r="J4" s="4">
        <v>46295</v>
      </c>
      <c r="K4" s="4">
        <v>46295</v>
      </c>
      <c r="L4" s="2"/>
      <c r="M4" s="2"/>
      <c r="N4" s="2" t="s">
        <v>21</v>
      </c>
      <c r="O4" s="2" t="str">
        <f t="shared" si="0"/>
        <v>1-3</v>
      </c>
    </row>
    <row r="5" spans="1:15">
      <c r="A5" s="2" t="s">
        <v>28</v>
      </c>
      <c r="B5" s="2" t="s">
        <v>29</v>
      </c>
      <c r="C5" s="2" t="s">
        <v>30</v>
      </c>
      <c r="D5" s="3">
        <v>103.74196336546</v>
      </c>
      <c r="E5" s="3">
        <v>1.4597388</v>
      </c>
      <c r="F5" s="2">
        <v>1</v>
      </c>
      <c r="G5" s="2" t="s">
        <v>18</v>
      </c>
      <c r="H5" s="2" t="s">
        <v>19</v>
      </c>
      <c r="I5" s="2" t="s">
        <v>31</v>
      </c>
      <c r="J5" s="4">
        <v>45266</v>
      </c>
      <c r="K5" s="4">
        <v>45266</v>
      </c>
      <c r="L5" s="2"/>
      <c r="M5" s="2" t="s">
        <v>32</v>
      </c>
      <c r="N5" s="2" t="s">
        <v>21</v>
      </c>
      <c r="O5" s="2" t="str">
        <f t="shared" si="0"/>
        <v>1-3</v>
      </c>
    </row>
    <row r="6" spans="1:15">
      <c r="A6" s="2" t="s">
        <v>33</v>
      </c>
      <c r="B6" s="2" t="s">
        <v>34</v>
      </c>
      <c r="C6" s="2" t="s">
        <v>35</v>
      </c>
      <c r="D6" s="3">
        <v>103.9308</v>
      </c>
      <c r="E6" s="3">
        <v>1.52768</v>
      </c>
      <c r="F6" s="2">
        <v>1</v>
      </c>
      <c r="G6" s="2" t="s">
        <v>18</v>
      </c>
      <c r="H6" s="2" t="s">
        <v>19</v>
      </c>
      <c r="I6" s="2" t="s">
        <v>31</v>
      </c>
      <c r="J6" s="4">
        <v>44986</v>
      </c>
      <c r="K6" s="4">
        <v>44986</v>
      </c>
      <c r="L6" s="2"/>
      <c r="M6" s="2"/>
      <c r="N6" s="2" t="s">
        <v>21</v>
      </c>
      <c r="O6" s="2" t="str">
        <f t="shared" si="0"/>
        <v>1-3</v>
      </c>
    </row>
    <row r="7" spans="1:15">
      <c r="A7" s="2" t="s">
        <v>36</v>
      </c>
      <c r="B7" s="2" t="s">
        <v>37</v>
      </c>
      <c r="C7" s="2" t="s">
        <v>38</v>
      </c>
      <c r="D7" s="3">
        <v>103.76168</v>
      </c>
      <c r="E7" s="3">
        <v>1.48698</v>
      </c>
      <c r="F7" s="2">
        <v>1</v>
      </c>
      <c r="G7" s="2" t="s">
        <v>18</v>
      </c>
      <c r="H7" s="2" t="s">
        <v>19</v>
      </c>
      <c r="I7" s="2" t="s">
        <v>25</v>
      </c>
      <c r="J7" s="4">
        <v>46295</v>
      </c>
      <c r="K7" s="4">
        <v>46295</v>
      </c>
      <c r="L7" s="2"/>
      <c r="M7" s="2"/>
      <c r="N7" s="2" t="s">
        <v>21</v>
      </c>
      <c r="O7" s="2" t="str">
        <f t="shared" si="0"/>
        <v>1-3</v>
      </c>
    </row>
    <row r="8" ht="42" spans="1:15">
      <c r="A8" s="2" t="s">
        <v>39</v>
      </c>
      <c r="B8" s="2" t="s">
        <v>40</v>
      </c>
      <c r="C8" s="2" t="s">
        <v>41</v>
      </c>
      <c r="D8" s="3">
        <v>103.7466457</v>
      </c>
      <c r="E8" s="3">
        <v>1.4575013</v>
      </c>
      <c r="F8" s="2">
        <v>3</v>
      </c>
      <c r="G8" s="2" t="s">
        <v>18</v>
      </c>
      <c r="H8" s="2" t="s">
        <v>19</v>
      </c>
      <c r="I8" s="2" t="s">
        <v>42</v>
      </c>
      <c r="J8" s="4">
        <v>42668</v>
      </c>
      <c r="K8" s="4">
        <v>44775</v>
      </c>
      <c r="L8" s="2" t="s">
        <v>43</v>
      </c>
      <c r="M8" s="2" t="s">
        <v>44</v>
      </c>
      <c r="N8" s="2" t="s">
        <v>21</v>
      </c>
      <c r="O8" s="2" t="str">
        <f t="shared" si="0"/>
        <v>1-3</v>
      </c>
    </row>
    <row r="9" spans="1:15">
      <c r="A9" s="2" t="s">
        <v>45</v>
      </c>
      <c r="B9" s="2" t="s">
        <v>46</v>
      </c>
      <c r="C9" s="2" t="s">
        <v>47</v>
      </c>
      <c r="D9" s="3">
        <v>103.74271</v>
      </c>
      <c r="E9" s="3">
        <v>1.479856</v>
      </c>
      <c r="F9" s="2">
        <v>1</v>
      </c>
      <c r="G9" s="2" t="s">
        <v>18</v>
      </c>
      <c r="H9" s="2" t="s">
        <v>19</v>
      </c>
      <c r="I9" s="2" t="s">
        <v>31</v>
      </c>
      <c r="J9" s="4">
        <v>45266</v>
      </c>
      <c r="K9" s="4">
        <v>45266</v>
      </c>
      <c r="L9" s="2"/>
      <c r="M9" s="2"/>
      <c r="N9" s="2" t="s">
        <v>21</v>
      </c>
      <c r="O9" s="2" t="str">
        <f t="shared" si="0"/>
        <v>1-3</v>
      </c>
    </row>
    <row r="10" ht="28" spans="1:15">
      <c r="A10" s="2" t="s">
        <v>48</v>
      </c>
      <c r="B10" s="2" t="s">
        <v>49</v>
      </c>
      <c r="C10" s="2" t="s">
        <v>50</v>
      </c>
      <c r="D10" s="3">
        <v>103.7587117</v>
      </c>
      <c r="E10" s="3">
        <v>1.4594963</v>
      </c>
      <c r="F10" s="2">
        <v>3</v>
      </c>
      <c r="G10" s="2" t="s">
        <v>18</v>
      </c>
      <c r="H10" s="2" t="s">
        <v>19</v>
      </c>
      <c r="I10" s="2" t="s">
        <v>51</v>
      </c>
      <c r="J10" s="4">
        <v>44775</v>
      </c>
      <c r="K10" s="4">
        <v>46295</v>
      </c>
      <c r="L10" s="2"/>
      <c r="M10" s="2" t="s">
        <v>52</v>
      </c>
      <c r="N10" s="2" t="s">
        <v>21</v>
      </c>
      <c r="O10" s="2" t="str">
        <f t="shared" si="0"/>
        <v>1-3</v>
      </c>
    </row>
    <row r="11" spans="1:15">
      <c r="A11" s="2" t="s">
        <v>53</v>
      </c>
      <c r="B11" s="2" t="s">
        <v>54</v>
      </c>
      <c r="C11" s="2" t="s">
        <v>55</v>
      </c>
      <c r="D11" s="3">
        <v>103.7460468</v>
      </c>
      <c r="E11" s="3">
        <v>1.46528000000001</v>
      </c>
      <c r="F11" s="2">
        <v>1</v>
      </c>
      <c r="G11" s="2" t="s">
        <v>18</v>
      </c>
      <c r="H11" s="2" t="s">
        <v>19</v>
      </c>
      <c r="I11" s="2" t="s">
        <v>31</v>
      </c>
      <c r="J11" s="4">
        <v>45266</v>
      </c>
      <c r="K11" s="4">
        <v>45266</v>
      </c>
      <c r="L11" s="2"/>
      <c r="M11" s="2" t="s">
        <v>56</v>
      </c>
      <c r="N11" s="2" t="s">
        <v>21</v>
      </c>
      <c r="O11" s="2" t="str">
        <f t="shared" si="0"/>
        <v>1-3</v>
      </c>
    </row>
    <row r="12" spans="1:15">
      <c r="A12" s="2" t="s">
        <v>57</v>
      </c>
      <c r="B12" s="2" t="s">
        <v>58</v>
      </c>
      <c r="C12" s="2" t="s">
        <v>55</v>
      </c>
      <c r="D12" s="3">
        <v>103.7359187</v>
      </c>
      <c r="E12" s="3">
        <v>1.4794199</v>
      </c>
      <c r="F12" s="2">
        <v>1</v>
      </c>
      <c r="G12" s="2" t="s">
        <v>18</v>
      </c>
      <c r="H12" s="2" t="s">
        <v>19</v>
      </c>
      <c r="I12" s="2" t="s">
        <v>31</v>
      </c>
      <c r="J12" s="4">
        <v>45274</v>
      </c>
      <c r="K12" s="4">
        <v>45274</v>
      </c>
      <c r="L12" s="2"/>
      <c r="M12" s="2"/>
      <c r="N12" s="2" t="s">
        <v>21</v>
      </c>
      <c r="O12" s="2" t="str">
        <f t="shared" si="0"/>
        <v>1-3</v>
      </c>
    </row>
    <row r="13" spans="1:15">
      <c r="A13" s="2" t="s">
        <v>59</v>
      </c>
      <c r="B13" s="2" t="s">
        <v>60</v>
      </c>
      <c r="C13" s="2" t="s">
        <v>61</v>
      </c>
      <c r="D13" s="3">
        <v>103.7570514</v>
      </c>
      <c r="E13" s="3">
        <v>1.48073119999999</v>
      </c>
      <c r="F13" s="2">
        <v>3</v>
      </c>
      <c r="G13" s="2" t="s">
        <v>18</v>
      </c>
      <c r="H13" s="2" t="s">
        <v>19</v>
      </c>
      <c r="I13" s="2" t="s">
        <v>62</v>
      </c>
      <c r="J13" s="4">
        <v>43383</v>
      </c>
      <c r="K13" s="4">
        <v>45274</v>
      </c>
      <c r="L13" s="2"/>
      <c r="M13" s="2" t="s">
        <v>63</v>
      </c>
      <c r="N13" s="2" t="s">
        <v>21</v>
      </c>
      <c r="O13" s="2" t="str">
        <f t="shared" si="0"/>
        <v>1-3</v>
      </c>
    </row>
    <row r="14" spans="1:15">
      <c r="A14" s="2" t="s">
        <v>64</v>
      </c>
      <c r="B14" s="2" t="s">
        <v>65</v>
      </c>
      <c r="C14" s="2" t="s">
        <v>66</v>
      </c>
      <c r="D14" s="3">
        <v>103.71851</v>
      </c>
      <c r="E14" s="3">
        <v>1.514607</v>
      </c>
      <c r="F14" s="2">
        <v>2</v>
      </c>
      <c r="G14" s="2" t="s">
        <v>18</v>
      </c>
      <c r="H14" s="2" t="s">
        <v>19</v>
      </c>
      <c r="I14" s="2" t="s">
        <v>67</v>
      </c>
      <c r="J14" s="4">
        <v>43209</v>
      </c>
      <c r="K14" s="4">
        <v>43210</v>
      </c>
      <c r="L14" s="2"/>
      <c r="M14" s="2"/>
      <c r="N14" s="2" t="s">
        <v>21</v>
      </c>
      <c r="O14" s="2" t="str">
        <f t="shared" si="0"/>
        <v>1-3</v>
      </c>
    </row>
    <row r="15" spans="1:15">
      <c r="A15" s="2" t="s">
        <v>68</v>
      </c>
      <c r="B15" s="2" t="s">
        <v>69</v>
      </c>
      <c r="C15" s="2" t="s">
        <v>55</v>
      </c>
      <c r="D15" s="3">
        <v>103.79419</v>
      </c>
      <c r="E15" s="3">
        <v>1.55191</v>
      </c>
      <c r="F15" s="2">
        <v>1</v>
      </c>
      <c r="G15" s="2" t="s">
        <v>18</v>
      </c>
      <c r="H15" s="2" t="s">
        <v>19</v>
      </c>
      <c r="I15" s="2" t="s">
        <v>31</v>
      </c>
      <c r="J15" s="4">
        <v>45274</v>
      </c>
      <c r="K15" s="4">
        <v>45274</v>
      </c>
      <c r="L15" s="2"/>
      <c r="M15" s="2"/>
      <c r="N15" s="2" t="s">
        <v>21</v>
      </c>
      <c r="O15" s="2" t="str">
        <f t="shared" si="0"/>
        <v>1-3</v>
      </c>
    </row>
    <row r="16" spans="1:15">
      <c r="A16" s="2" t="s">
        <v>70</v>
      </c>
      <c r="B16" s="2" t="s">
        <v>71</v>
      </c>
      <c r="C16" s="2" t="s">
        <v>55</v>
      </c>
      <c r="D16" s="3">
        <v>103.7755173</v>
      </c>
      <c r="E16" s="3">
        <v>1.4644141</v>
      </c>
      <c r="F16" s="2">
        <v>1</v>
      </c>
      <c r="G16" s="2" t="s">
        <v>18</v>
      </c>
      <c r="H16" s="2" t="s">
        <v>19</v>
      </c>
      <c r="I16" s="2" t="s">
        <v>31</v>
      </c>
      <c r="J16" s="4">
        <v>45266</v>
      </c>
      <c r="K16" s="4">
        <v>45266</v>
      </c>
      <c r="L16" s="2"/>
      <c r="M16" s="2" t="s">
        <v>72</v>
      </c>
      <c r="N16" s="2" t="s">
        <v>21</v>
      </c>
      <c r="O16" s="2" t="str">
        <f t="shared" si="0"/>
        <v>1-3</v>
      </c>
    </row>
    <row r="17" spans="1:15">
      <c r="A17" s="2" t="s">
        <v>73</v>
      </c>
      <c r="B17" s="2" t="s">
        <v>74</v>
      </c>
      <c r="C17" s="2" t="s">
        <v>55</v>
      </c>
      <c r="D17" s="3">
        <v>103.6763692</v>
      </c>
      <c r="E17" s="3">
        <v>1.47258519999999</v>
      </c>
      <c r="F17" s="2">
        <v>1</v>
      </c>
      <c r="G17" s="2" t="s">
        <v>18</v>
      </c>
      <c r="H17" s="2" t="s">
        <v>19</v>
      </c>
      <c r="I17" s="2" t="s">
        <v>31</v>
      </c>
      <c r="J17" s="4">
        <v>45266</v>
      </c>
      <c r="K17" s="4">
        <v>45266</v>
      </c>
      <c r="L17" s="2"/>
      <c r="M17" s="2" t="s">
        <v>75</v>
      </c>
      <c r="N17" s="2" t="s">
        <v>21</v>
      </c>
      <c r="O17" s="2" t="str">
        <f t="shared" si="0"/>
        <v>1-3</v>
      </c>
    </row>
    <row r="18" spans="1:15">
      <c r="A18" s="2" t="s">
        <v>76</v>
      </c>
      <c r="B18" s="2" t="s">
        <v>77</v>
      </c>
      <c r="C18" s="2" t="s">
        <v>55</v>
      </c>
      <c r="D18" s="3">
        <v>103.7648053</v>
      </c>
      <c r="E18" s="3">
        <v>1.531945</v>
      </c>
      <c r="F18" s="2">
        <v>2</v>
      </c>
      <c r="G18" s="2" t="s">
        <v>18</v>
      </c>
      <c r="H18" s="2" t="s">
        <v>19</v>
      </c>
      <c r="I18" s="2" t="s">
        <v>78</v>
      </c>
      <c r="J18" s="4">
        <v>45261</v>
      </c>
      <c r="K18" s="4">
        <v>45300</v>
      </c>
      <c r="L18" s="2"/>
      <c r="M18" s="2"/>
      <c r="N18" s="2" t="s">
        <v>21</v>
      </c>
      <c r="O18" s="2" t="str">
        <f t="shared" si="0"/>
        <v>1-3</v>
      </c>
    </row>
    <row r="19" spans="1:15">
      <c r="A19" s="2" t="s">
        <v>79</v>
      </c>
      <c r="B19" s="2" t="s">
        <v>80</v>
      </c>
      <c r="C19" s="2" t="s">
        <v>55</v>
      </c>
      <c r="D19" s="3">
        <v>103.7679</v>
      </c>
      <c r="E19" s="3">
        <v>1.4899</v>
      </c>
      <c r="F19" s="2">
        <v>1</v>
      </c>
      <c r="G19" s="2" t="s">
        <v>18</v>
      </c>
      <c r="H19" s="2" t="s">
        <v>19</v>
      </c>
      <c r="I19" s="2" t="s">
        <v>81</v>
      </c>
      <c r="J19" s="4">
        <v>44872</v>
      </c>
      <c r="K19" s="4">
        <v>44872</v>
      </c>
      <c r="L19" s="2"/>
      <c r="M19" s="2"/>
      <c r="N19" s="2" t="s">
        <v>21</v>
      </c>
      <c r="O19" s="2" t="str">
        <f t="shared" si="0"/>
        <v>1-3</v>
      </c>
    </row>
    <row r="20" spans="1:15">
      <c r="A20" s="2" t="s">
        <v>82</v>
      </c>
      <c r="B20" s="2" t="s">
        <v>83</v>
      </c>
      <c r="C20" s="2" t="s">
        <v>66</v>
      </c>
      <c r="D20" s="3">
        <v>103.7625739</v>
      </c>
      <c r="E20" s="3">
        <v>1.4864896</v>
      </c>
      <c r="F20" s="2">
        <v>1</v>
      </c>
      <c r="G20" s="2" t="s">
        <v>18</v>
      </c>
      <c r="H20" s="2" t="s">
        <v>19</v>
      </c>
      <c r="I20" s="2" t="s">
        <v>67</v>
      </c>
      <c r="J20" s="4">
        <v>43383</v>
      </c>
      <c r="K20" s="4">
        <v>43383</v>
      </c>
      <c r="L20" s="2"/>
      <c r="M20" s="2"/>
      <c r="N20" s="2" t="s">
        <v>21</v>
      </c>
      <c r="O20" s="2" t="str">
        <f t="shared" si="0"/>
        <v>1-3</v>
      </c>
    </row>
    <row r="21" ht="42" spans="1:15">
      <c r="A21" s="2" t="s">
        <v>84</v>
      </c>
      <c r="B21" s="2" t="s">
        <v>85</v>
      </c>
      <c r="C21" s="2" t="s">
        <v>86</v>
      </c>
      <c r="D21" s="3">
        <v>103.7220526</v>
      </c>
      <c r="E21" s="3">
        <v>1.48238540000001</v>
      </c>
      <c r="F21" s="2">
        <v>5</v>
      </c>
      <c r="G21" s="2" t="s">
        <v>87</v>
      </c>
      <c r="H21" s="2" t="s">
        <v>88</v>
      </c>
      <c r="I21" s="2" t="s">
        <v>89</v>
      </c>
      <c r="J21" s="4">
        <v>44105</v>
      </c>
      <c r="K21" s="4">
        <v>46295</v>
      </c>
      <c r="L21" s="2"/>
      <c r="M21" s="2" t="s">
        <v>90</v>
      </c>
      <c r="N21" s="2" t="s">
        <v>21</v>
      </c>
      <c r="O21" s="2" t="str">
        <f t="shared" si="0"/>
        <v>4-6</v>
      </c>
    </row>
    <row r="22" spans="1:15">
      <c r="A22" s="2" t="s">
        <v>91</v>
      </c>
      <c r="B22" s="2" t="s">
        <v>92</v>
      </c>
      <c r="C22" s="2" t="s">
        <v>55</v>
      </c>
      <c r="D22" s="3">
        <v>103.8012632</v>
      </c>
      <c r="E22" s="3">
        <v>1.5566538</v>
      </c>
      <c r="F22" s="2">
        <v>1</v>
      </c>
      <c r="G22" s="2" t="s">
        <v>18</v>
      </c>
      <c r="H22" s="2" t="s">
        <v>19</v>
      </c>
      <c r="I22" s="2" t="s">
        <v>81</v>
      </c>
      <c r="J22" s="4">
        <v>44668</v>
      </c>
      <c r="K22" s="4">
        <v>44668</v>
      </c>
      <c r="L22" s="2"/>
      <c r="M22" s="2"/>
      <c r="N22" s="2" t="s">
        <v>21</v>
      </c>
      <c r="O22" s="2" t="str">
        <f t="shared" si="0"/>
        <v>1-3</v>
      </c>
    </row>
    <row r="23" spans="1:15">
      <c r="A23" s="2" t="s">
        <v>93</v>
      </c>
      <c r="B23" s="2" t="s">
        <v>94</v>
      </c>
      <c r="C23" s="2" t="s">
        <v>55</v>
      </c>
      <c r="D23" s="3">
        <v>103.749959</v>
      </c>
      <c r="E23" s="3">
        <v>1.4664595</v>
      </c>
      <c r="F23" s="2">
        <v>1</v>
      </c>
      <c r="G23" s="2" t="s">
        <v>18</v>
      </c>
      <c r="H23" s="2" t="s">
        <v>19</v>
      </c>
      <c r="I23" s="2" t="s">
        <v>95</v>
      </c>
      <c r="J23" s="4">
        <v>43094</v>
      </c>
      <c r="K23" s="4">
        <v>43094</v>
      </c>
      <c r="L23" s="2"/>
      <c r="M23" s="2"/>
      <c r="N23" s="2" t="s">
        <v>21</v>
      </c>
      <c r="O23" s="2" t="str">
        <f t="shared" si="0"/>
        <v>1-3</v>
      </c>
    </row>
    <row r="24" spans="1:15">
      <c r="A24" s="2" t="s">
        <v>96</v>
      </c>
      <c r="B24" s="2" t="s">
        <v>97</v>
      </c>
      <c r="C24" s="2" t="s">
        <v>55</v>
      </c>
      <c r="D24" s="3">
        <v>103.7155955</v>
      </c>
      <c r="E24" s="3">
        <v>1.5302594</v>
      </c>
      <c r="F24" s="2">
        <v>1</v>
      </c>
      <c r="G24" s="2" t="s">
        <v>18</v>
      </c>
      <c r="H24" s="2" t="s">
        <v>19</v>
      </c>
      <c r="I24" s="2" t="s">
        <v>31</v>
      </c>
      <c r="J24" s="4">
        <v>45266</v>
      </c>
      <c r="K24" s="4">
        <v>45266</v>
      </c>
      <c r="L24" s="2"/>
      <c r="M24" s="2" t="s">
        <v>98</v>
      </c>
      <c r="N24" s="2" t="s">
        <v>21</v>
      </c>
      <c r="O24" s="2" t="str">
        <f t="shared" si="0"/>
        <v>1-3</v>
      </c>
    </row>
    <row r="25" spans="1:15">
      <c r="A25" s="2" t="s">
        <v>99</v>
      </c>
      <c r="B25" s="2" t="s">
        <v>100</v>
      </c>
      <c r="C25" s="2" t="s">
        <v>55</v>
      </c>
      <c r="D25" s="3">
        <v>103.7482815</v>
      </c>
      <c r="E25" s="3">
        <v>1.4629658</v>
      </c>
      <c r="F25" s="2">
        <v>2</v>
      </c>
      <c r="G25" s="2" t="s">
        <v>18</v>
      </c>
      <c r="H25" s="2" t="s">
        <v>19</v>
      </c>
      <c r="I25" s="2" t="s">
        <v>101</v>
      </c>
      <c r="J25" s="4">
        <v>44775</v>
      </c>
      <c r="K25" s="4">
        <v>45266</v>
      </c>
      <c r="L25" s="2"/>
      <c r="M25" s="2" t="s">
        <v>102</v>
      </c>
      <c r="N25" s="2" t="s">
        <v>21</v>
      </c>
      <c r="O25" s="2" t="str">
        <f t="shared" si="0"/>
        <v>1-3</v>
      </c>
    </row>
    <row r="26" spans="1:15">
      <c r="A26" s="2" t="s">
        <v>103</v>
      </c>
      <c r="B26" s="2" t="s">
        <v>104</v>
      </c>
      <c r="C26" s="2" t="s">
        <v>55</v>
      </c>
      <c r="D26" s="3">
        <v>103.7804</v>
      </c>
      <c r="E26" s="3">
        <v>1.5605</v>
      </c>
      <c r="F26" s="2">
        <v>1</v>
      </c>
      <c r="G26" s="2" t="s">
        <v>18</v>
      </c>
      <c r="H26" s="2" t="s">
        <v>19</v>
      </c>
      <c r="I26" s="2" t="s">
        <v>31</v>
      </c>
      <c r="J26" s="4">
        <v>45274</v>
      </c>
      <c r="K26" s="4">
        <v>45274</v>
      </c>
      <c r="L26" s="2"/>
      <c r="M26" s="2"/>
      <c r="N26" s="2" t="s">
        <v>21</v>
      </c>
      <c r="O26" s="2" t="str">
        <f t="shared" si="0"/>
        <v>1-3</v>
      </c>
    </row>
    <row r="27" spans="1:15">
      <c r="A27" s="2" t="s">
        <v>105</v>
      </c>
      <c r="B27" s="2" t="s">
        <v>106</v>
      </c>
      <c r="C27" s="2" t="s">
        <v>55</v>
      </c>
      <c r="D27" s="3">
        <v>103.7234744</v>
      </c>
      <c r="E27" s="3">
        <v>1.49891240000001</v>
      </c>
      <c r="F27" s="2">
        <v>1</v>
      </c>
      <c r="G27" s="2" t="s">
        <v>18</v>
      </c>
      <c r="H27" s="2" t="s">
        <v>19</v>
      </c>
      <c r="I27" s="2" t="s">
        <v>31</v>
      </c>
      <c r="J27" s="4">
        <v>45266</v>
      </c>
      <c r="K27" s="4">
        <v>45266</v>
      </c>
      <c r="L27" s="2"/>
      <c r="M27" s="2" t="s">
        <v>107</v>
      </c>
      <c r="N27" s="2" t="s">
        <v>21</v>
      </c>
      <c r="O27" s="2" t="str">
        <f t="shared" si="0"/>
        <v>1-3</v>
      </c>
    </row>
    <row r="28" spans="1:15">
      <c r="A28" s="2" t="s">
        <v>108</v>
      </c>
      <c r="B28" s="2" t="s">
        <v>109</v>
      </c>
      <c r="C28" s="2" t="s">
        <v>55</v>
      </c>
      <c r="D28" s="3">
        <v>103.7237744</v>
      </c>
      <c r="E28" s="3">
        <v>1.4983831</v>
      </c>
      <c r="F28" s="2">
        <v>1</v>
      </c>
      <c r="G28" s="2" t="s">
        <v>18</v>
      </c>
      <c r="H28" s="2" t="s">
        <v>19</v>
      </c>
      <c r="I28" s="2" t="s">
        <v>31</v>
      </c>
      <c r="J28" s="4">
        <v>45266</v>
      </c>
      <c r="K28" s="4">
        <v>45266</v>
      </c>
      <c r="L28" s="2"/>
      <c r="M28" s="2" t="s">
        <v>110</v>
      </c>
      <c r="N28" s="2" t="s">
        <v>21</v>
      </c>
      <c r="O28" s="2" t="str">
        <f t="shared" si="0"/>
        <v>1-3</v>
      </c>
    </row>
    <row r="29" spans="1:15">
      <c r="A29" s="2" t="s">
        <v>111</v>
      </c>
      <c r="B29" s="2" t="s">
        <v>112</v>
      </c>
      <c r="C29" s="2" t="s">
        <v>55</v>
      </c>
      <c r="D29" s="3">
        <v>103.7208677</v>
      </c>
      <c r="E29" s="3">
        <v>1.4866099</v>
      </c>
      <c r="F29" s="2">
        <v>1</v>
      </c>
      <c r="G29" s="2" t="s">
        <v>18</v>
      </c>
      <c r="H29" s="2" t="s">
        <v>19</v>
      </c>
      <c r="I29" s="2" t="s">
        <v>31</v>
      </c>
      <c r="J29" s="4">
        <v>45266</v>
      </c>
      <c r="K29" s="4">
        <v>45266</v>
      </c>
      <c r="L29" s="2"/>
      <c r="M29" s="2" t="s">
        <v>113</v>
      </c>
      <c r="N29" s="2" t="s">
        <v>21</v>
      </c>
      <c r="O29" s="2" t="str">
        <f t="shared" si="0"/>
        <v>1-3</v>
      </c>
    </row>
    <row r="30" spans="1:15">
      <c r="A30" s="2" t="s">
        <v>114</v>
      </c>
      <c r="B30" s="2" t="s">
        <v>115</v>
      </c>
      <c r="C30" s="2" t="s">
        <v>55</v>
      </c>
      <c r="D30" s="3">
        <v>103.74418</v>
      </c>
      <c r="E30" s="3">
        <v>1.4593</v>
      </c>
      <c r="F30" s="2">
        <v>1</v>
      </c>
      <c r="G30" s="2" t="s">
        <v>18</v>
      </c>
      <c r="H30" s="2" t="s">
        <v>19</v>
      </c>
      <c r="I30" s="2" t="s">
        <v>81</v>
      </c>
      <c r="J30" s="4">
        <v>44775</v>
      </c>
      <c r="K30" s="4">
        <v>44775</v>
      </c>
      <c r="L30" s="2"/>
      <c r="M30" s="2"/>
      <c r="N30" s="2" t="s">
        <v>21</v>
      </c>
      <c r="O30" s="2" t="str">
        <f t="shared" si="0"/>
        <v>1-3</v>
      </c>
    </row>
    <row r="31" spans="1:15">
      <c r="A31" s="2" t="s">
        <v>116</v>
      </c>
      <c r="B31" s="2" t="s">
        <v>117</v>
      </c>
      <c r="C31" s="2" t="s">
        <v>66</v>
      </c>
      <c r="D31" s="3">
        <v>103.7232702328</v>
      </c>
      <c r="E31" s="3">
        <v>1.5353449124</v>
      </c>
      <c r="F31" s="2">
        <v>1</v>
      </c>
      <c r="G31" s="2" t="s">
        <v>18</v>
      </c>
      <c r="H31" s="2" t="s">
        <v>19</v>
      </c>
      <c r="I31" s="2" t="s">
        <v>67</v>
      </c>
      <c r="J31" s="4">
        <v>43210</v>
      </c>
      <c r="K31" s="4">
        <v>43210</v>
      </c>
      <c r="L31" s="2"/>
      <c r="M31" s="2"/>
      <c r="N31" s="2" t="s">
        <v>21</v>
      </c>
      <c r="O31" s="2" t="str">
        <f t="shared" si="0"/>
        <v>1-3</v>
      </c>
    </row>
    <row r="32" spans="1:15">
      <c r="A32" s="2" t="s">
        <v>118</v>
      </c>
      <c r="B32" s="2" t="s">
        <v>119</v>
      </c>
      <c r="C32" s="2" t="s">
        <v>61</v>
      </c>
      <c r="D32" s="3">
        <v>103.7947712</v>
      </c>
      <c r="E32" s="3">
        <v>1.534148</v>
      </c>
      <c r="F32" s="2">
        <v>2</v>
      </c>
      <c r="G32" s="2" t="s">
        <v>18</v>
      </c>
      <c r="H32" s="2" t="s">
        <v>19</v>
      </c>
      <c r="I32" s="2" t="s">
        <v>120</v>
      </c>
      <c r="J32" s="4">
        <v>42887</v>
      </c>
      <c r="K32" s="4">
        <v>43986</v>
      </c>
      <c r="L32" s="2"/>
      <c r="M32" s="2"/>
      <c r="N32" s="2" t="s">
        <v>21</v>
      </c>
      <c r="O32" s="2" t="str">
        <f t="shared" si="0"/>
        <v>1-3</v>
      </c>
    </row>
    <row r="33" spans="1:15">
      <c r="A33" s="2" t="s">
        <v>121</v>
      </c>
      <c r="B33" s="2" t="s">
        <v>122</v>
      </c>
      <c r="C33" s="2" t="s">
        <v>55</v>
      </c>
      <c r="D33" s="3">
        <v>103.760885</v>
      </c>
      <c r="E33" s="3">
        <v>1.48538309999999</v>
      </c>
      <c r="F33" s="2">
        <v>1</v>
      </c>
      <c r="G33" s="2" t="s">
        <v>18</v>
      </c>
      <c r="H33" s="2" t="s">
        <v>19</v>
      </c>
      <c r="I33" s="2" t="s">
        <v>31</v>
      </c>
      <c r="J33" s="4">
        <v>45266</v>
      </c>
      <c r="K33" s="4">
        <v>45266</v>
      </c>
      <c r="L33" s="2"/>
      <c r="M33" s="2" t="s">
        <v>123</v>
      </c>
      <c r="N33" s="2" t="s">
        <v>21</v>
      </c>
      <c r="O33" s="2" t="str">
        <f t="shared" si="0"/>
        <v>1-3</v>
      </c>
    </row>
    <row r="34" spans="1:15">
      <c r="A34" s="2" t="s">
        <v>124</v>
      </c>
      <c r="B34" s="2" t="s">
        <v>125</v>
      </c>
      <c r="C34" s="2" t="s">
        <v>55</v>
      </c>
      <c r="D34" s="3">
        <v>103.7256712</v>
      </c>
      <c r="E34" s="3">
        <v>1.4714218</v>
      </c>
      <c r="F34" s="2">
        <v>1</v>
      </c>
      <c r="G34" s="2" t="s">
        <v>18</v>
      </c>
      <c r="H34" s="2" t="s">
        <v>19</v>
      </c>
      <c r="I34" s="2" t="s">
        <v>31</v>
      </c>
      <c r="J34" s="4">
        <v>45274</v>
      </c>
      <c r="K34" s="4">
        <v>45274</v>
      </c>
      <c r="L34" s="2"/>
      <c r="M34" s="2"/>
      <c r="N34" s="2" t="s">
        <v>21</v>
      </c>
      <c r="O34" s="2" t="str">
        <f t="shared" si="0"/>
        <v>1-3</v>
      </c>
    </row>
    <row r="35" spans="1:15">
      <c r="A35" s="2" t="s">
        <v>126</v>
      </c>
      <c r="B35" s="2" t="s">
        <v>127</v>
      </c>
      <c r="C35" s="2" t="s">
        <v>55</v>
      </c>
      <c r="D35" s="3">
        <v>103.7773894</v>
      </c>
      <c r="E35" s="3">
        <v>1.47246319999999</v>
      </c>
      <c r="F35" s="2">
        <v>1</v>
      </c>
      <c r="G35" s="2" t="s">
        <v>18</v>
      </c>
      <c r="H35" s="2" t="s">
        <v>19</v>
      </c>
      <c r="I35" s="2" t="s">
        <v>31</v>
      </c>
      <c r="J35" s="4">
        <v>45266</v>
      </c>
      <c r="K35" s="4">
        <v>45266</v>
      </c>
      <c r="L35" s="2"/>
      <c r="M35" s="2" t="s">
        <v>128</v>
      </c>
      <c r="N35" s="2" t="s">
        <v>21</v>
      </c>
      <c r="O35" s="2" t="str">
        <f t="shared" si="0"/>
        <v>1-3</v>
      </c>
    </row>
    <row r="36" ht="28" spans="1:15">
      <c r="A36" s="2" t="s">
        <v>129</v>
      </c>
      <c r="B36" s="2" t="s">
        <v>130</v>
      </c>
      <c r="C36" s="2" t="s">
        <v>131</v>
      </c>
      <c r="D36" s="3">
        <v>103.6963972</v>
      </c>
      <c r="E36" s="3">
        <v>1.4999611</v>
      </c>
      <c r="F36" s="2">
        <v>2</v>
      </c>
      <c r="G36" s="2" t="s">
        <v>18</v>
      </c>
      <c r="H36" s="2" t="s">
        <v>19</v>
      </c>
      <c r="I36" s="2" t="s">
        <v>132</v>
      </c>
      <c r="J36" s="4">
        <v>43402</v>
      </c>
      <c r="K36" s="4">
        <v>45736</v>
      </c>
      <c r="L36" s="2"/>
      <c r="M36" s="2"/>
      <c r="N36" s="2" t="s">
        <v>21</v>
      </c>
      <c r="O36" s="2" t="str">
        <f t="shared" si="0"/>
        <v>1-3</v>
      </c>
    </row>
    <row r="37" ht="42" spans="1:15">
      <c r="A37" s="2" t="s">
        <v>133</v>
      </c>
      <c r="B37" s="2" t="s">
        <v>134</v>
      </c>
      <c r="C37" s="2" t="s">
        <v>135</v>
      </c>
      <c r="D37" s="3">
        <v>103.7385575</v>
      </c>
      <c r="E37" s="3">
        <v>1.4609922</v>
      </c>
      <c r="F37" s="2">
        <v>3</v>
      </c>
      <c r="G37" s="2" t="s">
        <v>18</v>
      </c>
      <c r="H37" s="2" t="s">
        <v>19</v>
      </c>
      <c r="I37" s="2" t="s">
        <v>136</v>
      </c>
      <c r="J37" s="4">
        <v>45266</v>
      </c>
      <c r="K37" s="4">
        <v>46295</v>
      </c>
      <c r="L37" s="2"/>
      <c r="M37" s="2" t="s">
        <v>137</v>
      </c>
      <c r="N37" s="2" t="s">
        <v>21</v>
      </c>
      <c r="O37" s="2" t="str">
        <f t="shared" si="0"/>
        <v>1-3</v>
      </c>
    </row>
    <row r="38" spans="1:15">
      <c r="A38" s="2" t="s">
        <v>138</v>
      </c>
      <c r="B38" s="2" t="s">
        <v>139</v>
      </c>
      <c r="C38" s="2" t="s">
        <v>55</v>
      </c>
      <c r="D38" s="3">
        <v>103.708266</v>
      </c>
      <c r="E38" s="3">
        <v>1.500366</v>
      </c>
      <c r="F38" s="2">
        <v>1</v>
      </c>
      <c r="G38" s="2" t="s">
        <v>18</v>
      </c>
      <c r="H38" s="2" t="s">
        <v>19</v>
      </c>
      <c r="I38" s="2" t="s">
        <v>31</v>
      </c>
      <c r="J38" s="4">
        <v>45274</v>
      </c>
      <c r="K38" s="4">
        <v>45274</v>
      </c>
      <c r="L38" s="2"/>
      <c r="M38" s="2"/>
      <c r="N38" s="2" t="s">
        <v>21</v>
      </c>
      <c r="O38" s="2" t="str">
        <f t="shared" si="0"/>
        <v>1-3</v>
      </c>
    </row>
    <row r="39" ht="28" spans="1:15">
      <c r="A39" s="2" t="s">
        <v>140</v>
      </c>
      <c r="B39" s="2" t="s">
        <v>141</v>
      </c>
      <c r="C39" s="2" t="s">
        <v>142</v>
      </c>
      <c r="D39" s="3">
        <v>103.58622188</v>
      </c>
      <c r="E39" s="3">
        <v>1.55797471</v>
      </c>
      <c r="F39" s="2">
        <v>1</v>
      </c>
      <c r="G39" s="2" t="s">
        <v>18</v>
      </c>
      <c r="H39" s="2" t="s">
        <v>19</v>
      </c>
      <c r="I39" s="2" t="s">
        <v>143</v>
      </c>
      <c r="J39" s="4">
        <v>43964</v>
      </c>
      <c r="K39" s="4">
        <v>43964</v>
      </c>
      <c r="L39" s="2" t="s">
        <v>144</v>
      </c>
      <c r="M39" s="2"/>
      <c r="N39" s="2" t="s">
        <v>21</v>
      </c>
      <c r="O39" s="2" t="str">
        <f t="shared" si="0"/>
        <v>1-3</v>
      </c>
    </row>
    <row r="40" spans="1:15">
      <c r="A40" s="2" t="s">
        <v>145</v>
      </c>
      <c r="B40" s="2" t="s">
        <v>146</v>
      </c>
      <c r="C40" s="2" t="s">
        <v>55</v>
      </c>
      <c r="D40" s="3">
        <v>103.762918</v>
      </c>
      <c r="E40" s="3">
        <v>1.47486940000001</v>
      </c>
      <c r="F40" s="2">
        <v>1</v>
      </c>
      <c r="G40" s="2" t="s">
        <v>18</v>
      </c>
      <c r="H40" s="2" t="s">
        <v>19</v>
      </c>
      <c r="I40" s="2" t="s">
        <v>31</v>
      </c>
      <c r="J40" s="4">
        <v>45266</v>
      </c>
      <c r="K40" s="4">
        <v>45266</v>
      </c>
      <c r="L40" s="2"/>
      <c r="M40" s="2" t="s">
        <v>147</v>
      </c>
      <c r="N40" s="2" t="s">
        <v>21</v>
      </c>
      <c r="O40" s="2" t="str">
        <f t="shared" si="0"/>
        <v>1-3</v>
      </c>
    </row>
    <row r="41" ht="28" spans="1:15">
      <c r="A41" s="2" t="s">
        <v>148</v>
      </c>
      <c r="B41" s="2" t="s">
        <v>149</v>
      </c>
      <c r="C41" s="2" t="s">
        <v>55</v>
      </c>
      <c r="D41" s="3">
        <v>103.76676</v>
      </c>
      <c r="E41" s="3">
        <v>1.49464</v>
      </c>
      <c r="F41" s="2">
        <v>1</v>
      </c>
      <c r="G41" s="2" t="s">
        <v>18</v>
      </c>
      <c r="H41" s="2" t="s">
        <v>19</v>
      </c>
      <c r="I41" s="2" t="s">
        <v>95</v>
      </c>
      <c r="J41" s="4">
        <v>42737</v>
      </c>
      <c r="K41" s="4">
        <v>42737</v>
      </c>
      <c r="L41" s="2" t="s">
        <v>150</v>
      </c>
      <c r="M41" s="2"/>
      <c r="N41" s="2" t="s">
        <v>21</v>
      </c>
      <c r="O41" s="2" t="str">
        <f t="shared" si="0"/>
        <v>1-3</v>
      </c>
    </row>
    <row r="42" spans="1:15">
      <c r="A42" s="2" t="s">
        <v>151</v>
      </c>
      <c r="B42" s="2" t="s">
        <v>152</v>
      </c>
      <c r="C42" s="2" t="s">
        <v>153</v>
      </c>
      <c r="D42" s="3">
        <v>103.7773</v>
      </c>
      <c r="E42" s="3">
        <v>1.4942</v>
      </c>
      <c r="F42" s="2">
        <v>1</v>
      </c>
      <c r="G42" s="2" t="s">
        <v>18</v>
      </c>
      <c r="H42" s="2" t="s">
        <v>19</v>
      </c>
      <c r="I42" s="2" t="s">
        <v>67</v>
      </c>
      <c r="J42" s="4">
        <v>43383</v>
      </c>
      <c r="K42" s="4">
        <v>43383</v>
      </c>
      <c r="L42" s="2"/>
      <c r="M42" s="2"/>
      <c r="N42" s="2" t="s">
        <v>21</v>
      </c>
      <c r="O42" s="2" t="str">
        <f t="shared" si="0"/>
        <v>1-3</v>
      </c>
    </row>
    <row r="43" ht="28" spans="1:15">
      <c r="A43" s="2" t="s">
        <v>154</v>
      </c>
      <c r="B43" s="2" t="s">
        <v>155</v>
      </c>
      <c r="C43" s="2" t="s">
        <v>156</v>
      </c>
      <c r="D43" s="3">
        <v>103.7527329</v>
      </c>
      <c r="E43" s="3">
        <v>1.48037910000001</v>
      </c>
      <c r="F43" s="2">
        <v>3</v>
      </c>
      <c r="G43" s="2" t="s">
        <v>18</v>
      </c>
      <c r="H43" s="2" t="s">
        <v>19</v>
      </c>
      <c r="I43" s="2" t="s">
        <v>157</v>
      </c>
      <c r="J43" s="4">
        <v>44775</v>
      </c>
      <c r="K43" s="4">
        <v>46003</v>
      </c>
      <c r="L43" s="2"/>
      <c r="M43" s="2" t="s">
        <v>158</v>
      </c>
      <c r="N43" s="2" t="s">
        <v>21</v>
      </c>
      <c r="O43" s="2" t="str">
        <f t="shared" si="0"/>
        <v>1-3</v>
      </c>
    </row>
    <row r="44" ht="28" spans="1:15">
      <c r="A44" s="2" t="s">
        <v>159</v>
      </c>
      <c r="B44" s="2" t="s">
        <v>160</v>
      </c>
      <c r="C44" s="2" t="s">
        <v>161</v>
      </c>
      <c r="D44" s="3">
        <v>103.7656178</v>
      </c>
      <c r="E44" s="3">
        <v>1.4576093</v>
      </c>
      <c r="F44" s="2">
        <v>2</v>
      </c>
      <c r="G44" s="2" t="s">
        <v>18</v>
      </c>
      <c r="H44" s="2" t="s">
        <v>19</v>
      </c>
      <c r="I44" s="2" t="s">
        <v>162</v>
      </c>
      <c r="J44" s="4">
        <v>46003</v>
      </c>
      <c r="K44" s="4">
        <v>46295</v>
      </c>
      <c r="L44" s="2"/>
      <c r="M44" s="2" t="s">
        <v>163</v>
      </c>
      <c r="N44" s="2" t="s">
        <v>21</v>
      </c>
      <c r="O44" s="2" t="str">
        <f t="shared" si="0"/>
        <v>1-3</v>
      </c>
    </row>
    <row r="45" ht="42" spans="1:15">
      <c r="A45" s="2" t="s">
        <v>164</v>
      </c>
      <c r="B45" s="2" t="s">
        <v>165</v>
      </c>
      <c r="C45" s="2" t="s">
        <v>166</v>
      </c>
      <c r="D45" s="3">
        <v>103.76189</v>
      </c>
      <c r="E45" s="3">
        <v>1.46395</v>
      </c>
      <c r="F45" s="2">
        <v>3</v>
      </c>
      <c r="G45" s="2" t="s">
        <v>18</v>
      </c>
      <c r="H45" s="2" t="s">
        <v>19</v>
      </c>
      <c r="I45" s="2" t="s">
        <v>167</v>
      </c>
      <c r="J45" s="4">
        <v>42386</v>
      </c>
      <c r="K45" s="4">
        <v>44775</v>
      </c>
      <c r="L45" s="2" t="s">
        <v>168</v>
      </c>
      <c r="M45" s="2"/>
      <c r="N45" s="2" t="s">
        <v>21</v>
      </c>
      <c r="O45" s="2" t="str">
        <f t="shared" si="0"/>
        <v>1-3</v>
      </c>
    </row>
    <row r="46" ht="28" spans="1:15">
      <c r="A46" s="2" t="s">
        <v>169</v>
      </c>
      <c r="B46" s="2" t="s">
        <v>170</v>
      </c>
      <c r="C46" s="2" t="s">
        <v>50</v>
      </c>
      <c r="D46" s="3">
        <v>103.7553464</v>
      </c>
      <c r="E46" s="3">
        <v>1.46337250000001</v>
      </c>
      <c r="F46" s="2">
        <v>3</v>
      </c>
      <c r="G46" s="2" t="s">
        <v>18</v>
      </c>
      <c r="H46" s="2" t="s">
        <v>19</v>
      </c>
      <c r="I46" s="2" t="s">
        <v>51</v>
      </c>
      <c r="J46" s="4">
        <v>44775</v>
      </c>
      <c r="K46" s="4">
        <v>46295</v>
      </c>
      <c r="L46" s="2"/>
      <c r="M46" s="2" t="s">
        <v>171</v>
      </c>
      <c r="N46" s="2" t="s">
        <v>21</v>
      </c>
      <c r="O46" s="2" t="str">
        <f t="shared" si="0"/>
        <v>1-3</v>
      </c>
    </row>
    <row r="47" spans="1:15">
      <c r="A47" s="2" t="s">
        <v>172</v>
      </c>
      <c r="B47" s="2" t="s">
        <v>173</v>
      </c>
      <c r="C47" s="2" t="s">
        <v>35</v>
      </c>
      <c r="D47" s="3">
        <v>103.7368</v>
      </c>
      <c r="E47" s="3">
        <v>1.50516</v>
      </c>
      <c r="F47" s="2">
        <v>1</v>
      </c>
      <c r="G47" s="2" t="s">
        <v>18</v>
      </c>
      <c r="H47" s="2" t="s">
        <v>19</v>
      </c>
      <c r="I47" s="2" t="s">
        <v>31</v>
      </c>
      <c r="J47" s="4">
        <v>44971</v>
      </c>
      <c r="K47" s="4">
        <v>44971</v>
      </c>
      <c r="L47" s="2"/>
      <c r="M47" s="2"/>
      <c r="N47" s="2" t="s">
        <v>21</v>
      </c>
      <c r="O47" s="2" t="str">
        <f t="shared" si="0"/>
        <v>1-3</v>
      </c>
    </row>
    <row r="48" spans="1:15">
      <c r="A48" s="2" t="s">
        <v>174</v>
      </c>
      <c r="B48" s="2" t="s">
        <v>175</v>
      </c>
      <c r="C48" s="2" t="s">
        <v>35</v>
      </c>
      <c r="D48" s="3">
        <v>103.708604</v>
      </c>
      <c r="E48" s="3">
        <v>1.473954</v>
      </c>
      <c r="F48" s="2">
        <v>1</v>
      </c>
      <c r="G48" s="2" t="s">
        <v>18</v>
      </c>
      <c r="H48" s="2" t="s">
        <v>19</v>
      </c>
      <c r="I48" s="2" t="s">
        <v>95</v>
      </c>
      <c r="J48" s="4">
        <v>42737</v>
      </c>
      <c r="K48" s="4">
        <v>42737</v>
      </c>
      <c r="L48" s="2"/>
      <c r="M48" s="2"/>
      <c r="N48" s="2" t="s">
        <v>21</v>
      </c>
      <c r="O48" s="2" t="str">
        <f t="shared" si="0"/>
        <v>1-3</v>
      </c>
    </row>
    <row r="49" ht="28" spans="1:15">
      <c r="A49" s="2" t="s">
        <v>176</v>
      </c>
      <c r="B49" s="2" t="s">
        <v>177</v>
      </c>
      <c r="C49" s="2" t="s">
        <v>178</v>
      </c>
      <c r="D49" s="3">
        <v>103.5947457</v>
      </c>
      <c r="E49" s="3">
        <v>1.4430619</v>
      </c>
      <c r="F49" s="2">
        <v>4</v>
      </c>
      <c r="G49" s="2" t="s">
        <v>87</v>
      </c>
      <c r="H49" s="2" t="s">
        <v>88</v>
      </c>
      <c r="I49" s="2" t="s">
        <v>179</v>
      </c>
      <c r="J49" s="4">
        <v>44002</v>
      </c>
      <c r="K49" s="4">
        <v>44829</v>
      </c>
      <c r="L49" s="2" t="s">
        <v>180</v>
      </c>
      <c r="M49" s="2"/>
      <c r="N49" s="2" t="s">
        <v>21</v>
      </c>
      <c r="O49" s="2" t="str">
        <f t="shared" si="0"/>
        <v>4-6</v>
      </c>
    </row>
    <row r="50" spans="1:15">
      <c r="A50" s="2" t="s">
        <v>181</v>
      </c>
      <c r="B50" s="2" t="s">
        <v>182</v>
      </c>
      <c r="C50" s="2" t="s">
        <v>183</v>
      </c>
      <c r="D50" s="3">
        <v>103.67230887</v>
      </c>
      <c r="E50" s="3">
        <v>1.52340697</v>
      </c>
      <c r="F50" s="2">
        <v>1</v>
      </c>
      <c r="G50" s="2" t="s">
        <v>18</v>
      </c>
      <c r="H50" s="2" t="s">
        <v>19</v>
      </c>
      <c r="I50" s="2" t="s">
        <v>184</v>
      </c>
      <c r="J50" s="4">
        <v>43814</v>
      </c>
      <c r="K50" s="4">
        <v>43814</v>
      </c>
      <c r="L50" s="2"/>
      <c r="M50" s="2"/>
      <c r="N50" s="2" t="s">
        <v>21</v>
      </c>
      <c r="O50" s="2" t="str">
        <f t="shared" si="0"/>
        <v>1-3</v>
      </c>
    </row>
    <row r="51" ht="28" spans="1:15">
      <c r="A51" s="2" t="s">
        <v>185</v>
      </c>
      <c r="B51" s="2" t="s">
        <v>186</v>
      </c>
      <c r="C51" s="2" t="s">
        <v>187</v>
      </c>
      <c r="D51" s="3">
        <v>103.76650814</v>
      </c>
      <c r="E51" s="3">
        <v>1.51378258</v>
      </c>
      <c r="F51" s="2">
        <v>2</v>
      </c>
      <c r="G51" s="2" t="s">
        <v>18</v>
      </c>
      <c r="H51" s="2" t="s">
        <v>19</v>
      </c>
      <c r="I51" s="2" t="s">
        <v>132</v>
      </c>
      <c r="J51" s="4">
        <v>43383</v>
      </c>
      <c r="K51" s="4">
        <v>45736</v>
      </c>
      <c r="L51" s="2"/>
      <c r="M51" s="2"/>
      <c r="N51" s="2" t="s">
        <v>21</v>
      </c>
      <c r="O51" s="2" t="str">
        <f t="shared" si="0"/>
        <v>1-3</v>
      </c>
    </row>
    <row r="52" spans="1:15">
      <c r="A52" s="2" t="s">
        <v>188</v>
      </c>
      <c r="B52" s="2" t="s">
        <v>189</v>
      </c>
      <c r="C52" s="2" t="s">
        <v>183</v>
      </c>
      <c r="D52" s="3">
        <v>103.7627931</v>
      </c>
      <c r="E52" s="3">
        <v>1.512616</v>
      </c>
      <c r="F52" s="2">
        <v>1</v>
      </c>
      <c r="G52" s="2" t="s">
        <v>18</v>
      </c>
      <c r="H52" s="2" t="s">
        <v>19</v>
      </c>
      <c r="I52" s="2" t="s">
        <v>67</v>
      </c>
      <c r="J52" s="4">
        <v>43383</v>
      </c>
      <c r="K52" s="4">
        <v>43383</v>
      </c>
      <c r="L52" s="2"/>
      <c r="M52" s="2" t="s">
        <v>190</v>
      </c>
      <c r="N52" s="2" t="s">
        <v>21</v>
      </c>
      <c r="O52" s="2" t="str">
        <f t="shared" si="0"/>
        <v>1-3</v>
      </c>
    </row>
    <row r="53" spans="1:15">
      <c r="A53" s="2" t="s">
        <v>191</v>
      </c>
      <c r="B53" s="2" t="s">
        <v>192</v>
      </c>
      <c r="C53" s="2" t="s">
        <v>35</v>
      </c>
      <c r="D53" s="3">
        <v>103.9223</v>
      </c>
      <c r="E53" s="3">
        <v>1.6692</v>
      </c>
      <c r="F53" s="2">
        <v>1</v>
      </c>
      <c r="G53" s="2" t="s">
        <v>18</v>
      </c>
      <c r="H53" s="2" t="s">
        <v>19</v>
      </c>
      <c r="I53" s="2" t="s">
        <v>95</v>
      </c>
      <c r="J53" s="4">
        <v>42759</v>
      </c>
      <c r="K53" s="4">
        <v>42759</v>
      </c>
      <c r="L53" s="2"/>
      <c r="M53" s="2"/>
      <c r="N53" s="2" t="s">
        <v>21</v>
      </c>
      <c r="O53" s="2" t="str">
        <f t="shared" si="0"/>
        <v>1-3</v>
      </c>
    </row>
    <row r="54" ht="28" spans="1:15">
      <c r="A54" s="2" t="s">
        <v>193</v>
      </c>
      <c r="B54" s="2" t="s">
        <v>194</v>
      </c>
      <c r="C54" s="2" t="s">
        <v>187</v>
      </c>
      <c r="D54" s="3">
        <v>103.924811</v>
      </c>
      <c r="E54" s="3">
        <v>1.59376731</v>
      </c>
      <c r="F54" s="2">
        <v>2</v>
      </c>
      <c r="G54" s="2" t="s">
        <v>18</v>
      </c>
      <c r="H54" s="2" t="s">
        <v>19</v>
      </c>
      <c r="I54" s="2" t="s">
        <v>195</v>
      </c>
      <c r="J54" s="4">
        <v>43814</v>
      </c>
      <c r="K54" s="4">
        <v>45298</v>
      </c>
      <c r="L54" s="2"/>
      <c r="M54" s="2"/>
      <c r="N54" s="2" t="s">
        <v>21</v>
      </c>
      <c r="O54" s="2" t="str">
        <f t="shared" si="0"/>
        <v>1-3</v>
      </c>
    </row>
    <row r="55" ht="42" spans="1:15">
      <c r="A55" s="2" t="s">
        <v>196</v>
      </c>
      <c r="B55" s="2" t="s">
        <v>197</v>
      </c>
      <c r="C55" s="2" t="s">
        <v>198</v>
      </c>
      <c r="D55" s="3">
        <v>103.75965347</v>
      </c>
      <c r="E55" s="3">
        <v>1.53411714</v>
      </c>
      <c r="F55" s="2">
        <v>3</v>
      </c>
      <c r="G55" s="2" t="s">
        <v>18</v>
      </c>
      <c r="H55" s="2" t="s">
        <v>19</v>
      </c>
      <c r="I55" s="2" t="s">
        <v>199</v>
      </c>
      <c r="J55" s="4">
        <v>43814</v>
      </c>
      <c r="K55" s="4">
        <v>45735</v>
      </c>
      <c r="L55" s="2"/>
      <c r="M55" s="2"/>
      <c r="N55" s="2" t="s">
        <v>21</v>
      </c>
      <c r="O55" s="2" t="str">
        <f t="shared" si="0"/>
        <v>1-3</v>
      </c>
    </row>
    <row r="56" spans="1:15">
      <c r="A56" s="2" t="s">
        <v>200</v>
      </c>
      <c r="B56" s="2" t="s">
        <v>201</v>
      </c>
      <c r="C56" s="2" t="s">
        <v>202</v>
      </c>
      <c r="D56" s="3">
        <v>103.76665</v>
      </c>
      <c r="E56" s="3">
        <v>1.50759</v>
      </c>
      <c r="F56" s="2">
        <v>2</v>
      </c>
      <c r="G56" s="2" t="s">
        <v>18</v>
      </c>
      <c r="H56" s="2" t="s">
        <v>19</v>
      </c>
      <c r="I56" s="2" t="s">
        <v>203</v>
      </c>
      <c r="J56" s="4">
        <v>43383</v>
      </c>
      <c r="K56" s="4">
        <v>44829</v>
      </c>
      <c r="L56" s="2"/>
      <c r="M56" s="2"/>
      <c r="N56" s="2" t="s">
        <v>21</v>
      </c>
      <c r="O56" s="2" t="str">
        <f t="shared" si="0"/>
        <v>1-3</v>
      </c>
    </row>
    <row r="57" spans="1:15">
      <c r="A57" s="2" t="s">
        <v>204</v>
      </c>
      <c r="B57" s="2" t="s">
        <v>205</v>
      </c>
      <c r="C57" s="2" t="s">
        <v>183</v>
      </c>
      <c r="D57" s="3">
        <v>103.76902</v>
      </c>
      <c r="E57" s="3">
        <v>1.50481</v>
      </c>
      <c r="F57" s="2">
        <v>1</v>
      </c>
      <c r="G57" s="2" t="s">
        <v>18</v>
      </c>
      <c r="H57" s="2" t="s">
        <v>19</v>
      </c>
      <c r="I57" s="2" t="s">
        <v>67</v>
      </c>
      <c r="J57" s="4">
        <v>43383</v>
      </c>
      <c r="K57" s="4">
        <v>43383</v>
      </c>
      <c r="L57" s="2"/>
      <c r="M57" s="2"/>
      <c r="N57" s="2" t="s">
        <v>21</v>
      </c>
      <c r="O57" s="2" t="str">
        <f t="shared" si="0"/>
        <v>1-3</v>
      </c>
    </row>
    <row r="58" spans="1:15">
      <c r="A58" s="2" t="s">
        <v>206</v>
      </c>
      <c r="B58" s="2" t="s">
        <v>207</v>
      </c>
      <c r="C58" s="2" t="s">
        <v>35</v>
      </c>
      <c r="D58" s="3">
        <v>103.65153</v>
      </c>
      <c r="E58" s="3">
        <v>1.5874</v>
      </c>
      <c r="F58" s="2">
        <v>1</v>
      </c>
      <c r="G58" s="2" t="s">
        <v>18</v>
      </c>
      <c r="H58" s="2" t="s">
        <v>19</v>
      </c>
      <c r="I58" s="2" t="s">
        <v>95</v>
      </c>
      <c r="J58" s="4">
        <v>42843</v>
      </c>
      <c r="K58" s="4">
        <v>42843</v>
      </c>
      <c r="L58" s="2"/>
      <c r="M58" s="2"/>
      <c r="N58" s="2" t="s">
        <v>21</v>
      </c>
      <c r="O58" s="2" t="str">
        <f t="shared" si="0"/>
        <v>1-3</v>
      </c>
    </row>
    <row r="59" ht="28" spans="1:15">
      <c r="A59" s="2" t="s">
        <v>208</v>
      </c>
      <c r="B59" s="2" t="s">
        <v>209</v>
      </c>
      <c r="C59" s="2" t="s">
        <v>210</v>
      </c>
      <c r="D59" s="3">
        <v>103.756604173059</v>
      </c>
      <c r="E59" s="3">
        <v>1.531815</v>
      </c>
      <c r="F59" s="2">
        <v>8</v>
      </c>
      <c r="G59" s="2" t="s">
        <v>211</v>
      </c>
      <c r="H59" s="2" t="s">
        <v>212</v>
      </c>
      <c r="I59" s="2" t="s">
        <v>213</v>
      </c>
      <c r="J59" s="4">
        <v>42838</v>
      </c>
      <c r="K59" s="4">
        <v>45735</v>
      </c>
      <c r="L59" s="2" t="s">
        <v>214</v>
      </c>
      <c r="M59" s="2" t="s">
        <v>215</v>
      </c>
      <c r="N59" s="2" t="s">
        <v>21</v>
      </c>
      <c r="O59" s="2" t="str">
        <f t="shared" si="0"/>
        <v>&gt;=7</v>
      </c>
    </row>
    <row r="60" spans="1:15">
      <c r="A60" s="2" t="s">
        <v>216</v>
      </c>
      <c r="B60" s="2" t="s">
        <v>217</v>
      </c>
      <c r="C60" s="2" t="s">
        <v>35</v>
      </c>
      <c r="D60" s="3">
        <v>103.72438747</v>
      </c>
      <c r="E60" s="3">
        <v>1.52886592</v>
      </c>
      <c r="F60" s="2">
        <v>3</v>
      </c>
      <c r="G60" s="2" t="s">
        <v>18</v>
      </c>
      <c r="H60" s="2" t="s">
        <v>19</v>
      </c>
      <c r="I60" s="2" t="s">
        <v>95</v>
      </c>
      <c r="J60" s="4">
        <v>42737</v>
      </c>
      <c r="K60" s="4">
        <v>43053</v>
      </c>
      <c r="L60" s="2"/>
      <c r="M60" s="2"/>
      <c r="N60" s="2" t="s">
        <v>21</v>
      </c>
      <c r="O60" s="2" t="str">
        <f t="shared" si="0"/>
        <v>1-3</v>
      </c>
    </row>
    <row r="61" ht="28" spans="1:15">
      <c r="A61" s="2" t="s">
        <v>218</v>
      </c>
      <c r="B61" s="2" t="s">
        <v>219</v>
      </c>
      <c r="C61" s="2" t="s">
        <v>210</v>
      </c>
      <c r="D61" s="3">
        <v>103.75612</v>
      </c>
      <c r="E61" s="3">
        <v>1.49744</v>
      </c>
      <c r="F61" s="2">
        <v>2</v>
      </c>
      <c r="G61" s="2" t="s">
        <v>18</v>
      </c>
      <c r="H61" s="2" t="s">
        <v>19</v>
      </c>
      <c r="I61" s="2" t="s">
        <v>101</v>
      </c>
      <c r="J61" s="4">
        <v>44872</v>
      </c>
      <c r="K61" s="4">
        <v>44971</v>
      </c>
      <c r="L61" s="2"/>
      <c r="M61" s="2"/>
      <c r="N61" s="2" t="s">
        <v>21</v>
      </c>
      <c r="O61" s="2" t="str">
        <f t="shared" si="0"/>
        <v>1-3</v>
      </c>
    </row>
    <row r="62" ht="28" spans="1:15">
      <c r="A62" s="2" t="s">
        <v>220</v>
      </c>
      <c r="B62" s="2" t="s">
        <v>221</v>
      </c>
      <c r="C62" s="2" t="s">
        <v>222</v>
      </c>
      <c r="D62" s="3">
        <v>103.6605</v>
      </c>
      <c r="E62" s="3">
        <v>1.5453</v>
      </c>
      <c r="F62" s="2">
        <v>14</v>
      </c>
      <c r="G62" s="2" t="s">
        <v>211</v>
      </c>
      <c r="H62" s="2" t="s">
        <v>212</v>
      </c>
      <c r="I62" s="2" t="s">
        <v>223</v>
      </c>
      <c r="J62" s="4">
        <v>42843</v>
      </c>
      <c r="K62" s="4">
        <v>45736</v>
      </c>
      <c r="L62" s="2"/>
      <c r="M62" s="2"/>
      <c r="N62" s="2" t="s">
        <v>21</v>
      </c>
      <c r="O62" s="2" t="str">
        <f t="shared" si="0"/>
        <v>&gt;=7</v>
      </c>
    </row>
    <row r="63" ht="42" spans="1:15">
      <c r="A63" s="2" t="s">
        <v>224</v>
      </c>
      <c r="B63" s="2" t="s">
        <v>225</v>
      </c>
      <c r="C63" s="2" t="s">
        <v>198</v>
      </c>
      <c r="D63" s="3">
        <v>103.7159181</v>
      </c>
      <c r="E63" s="3">
        <v>1.58109209999999</v>
      </c>
      <c r="F63" s="2">
        <v>3</v>
      </c>
      <c r="G63" s="2" t="s">
        <v>18</v>
      </c>
      <c r="H63" s="2" t="s">
        <v>19</v>
      </c>
      <c r="I63" s="2" t="s">
        <v>226</v>
      </c>
      <c r="J63" s="4">
        <v>43814</v>
      </c>
      <c r="K63" s="4">
        <v>45298</v>
      </c>
      <c r="L63" s="2"/>
      <c r="M63" s="2" t="s">
        <v>227</v>
      </c>
      <c r="N63" s="2" t="s">
        <v>21</v>
      </c>
      <c r="O63" s="2" t="str">
        <f t="shared" si="0"/>
        <v>1-3</v>
      </c>
    </row>
    <row r="64" spans="1:15">
      <c r="A64" s="2" t="s">
        <v>228</v>
      </c>
      <c r="B64" s="2" t="s">
        <v>229</v>
      </c>
      <c r="C64" s="2" t="s">
        <v>230</v>
      </c>
      <c r="D64" s="3">
        <v>103.62481</v>
      </c>
      <c r="E64" s="3">
        <v>1.50435</v>
      </c>
      <c r="F64" s="2">
        <v>1</v>
      </c>
      <c r="G64" s="2" t="s">
        <v>18</v>
      </c>
      <c r="H64" s="2" t="s">
        <v>19</v>
      </c>
      <c r="I64" s="2" t="s">
        <v>67</v>
      </c>
      <c r="J64" s="4">
        <v>43395</v>
      </c>
      <c r="K64" s="4">
        <v>43395</v>
      </c>
      <c r="L64" s="2" t="s">
        <v>231</v>
      </c>
      <c r="M64" s="2"/>
      <c r="N64" s="2" t="s">
        <v>21</v>
      </c>
      <c r="O64" s="2" t="str">
        <f t="shared" si="0"/>
        <v>1-3</v>
      </c>
    </row>
    <row r="65" spans="1:15">
      <c r="A65" s="2" t="s">
        <v>232</v>
      </c>
      <c r="B65" s="2" t="s">
        <v>233</v>
      </c>
      <c r="C65" s="2" t="s">
        <v>202</v>
      </c>
      <c r="D65" s="3">
        <v>103.75192484</v>
      </c>
      <c r="E65" s="3">
        <v>1.51174352</v>
      </c>
      <c r="F65" s="2">
        <v>3</v>
      </c>
      <c r="G65" s="2" t="s">
        <v>18</v>
      </c>
      <c r="H65" s="2" t="s">
        <v>19</v>
      </c>
      <c r="I65" s="2" t="s">
        <v>234</v>
      </c>
      <c r="J65" s="4">
        <v>43383</v>
      </c>
      <c r="K65" s="4">
        <v>44872</v>
      </c>
      <c r="L65" s="2"/>
      <c r="M65" s="2"/>
      <c r="N65" s="2" t="s">
        <v>21</v>
      </c>
      <c r="O65" s="2" t="str">
        <f t="shared" si="0"/>
        <v>1-3</v>
      </c>
    </row>
    <row r="66" ht="28" spans="1:15">
      <c r="A66" s="2" t="s">
        <v>235</v>
      </c>
      <c r="B66" s="2" t="s">
        <v>236</v>
      </c>
      <c r="C66" s="2" t="s">
        <v>187</v>
      </c>
      <c r="D66" s="3">
        <v>103.773858346421</v>
      </c>
      <c r="E66" s="3">
        <v>1.52264915000001</v>
      </c>
      <c r="F66" s="2">
        <v>2</v>
      </c>
      <c r="G66" s="2" t="s">
        <v>18</v>
      </c>
      <c r="H66" s="2" t="s">
        <v>19</v>
      </c>
      <c r="I66" s="2" t="s">
        <v>237</v>
      </c>
      <c r="J66" s="4">
        <v>43760</v>
      </c>
      <c r="K66" s="4">
        <v>45736</v>
      </c>
      <c r="L66" s="2"/>
      <c r="M66" s="2" t="s">
        <v>238</v>
      </c>
      <c r="N66" s="2" t="s">
        <v>21</v>
      </c>
      <c r="O66" s="2" t="str">
        <f t="shared" ref="O66:O129" si="1">IF(F66&lt;=3,"1-3",IF(F66&lt;=6,"4-6","&gt;=7"))</f>
        <v>1-3</v>
      </c>
    </row>
    <row r="67" ht="42" spans="1:15">
      <c r="A67" s="2" t="s">
        <v>239</v>
      </c>
      <c r="B67" s="2" t="s">
        <v>240</v>
      </c>
      <c r="C67" s="2" t="s">
        <v>241</v>
      </c>
      <c r="D67" s="3">
        <v>103.7354126</v>
      </c>
      <c r="E67" s="3">
        <v>1.46736369999999</v>
      </c>
      <c r="F67" s="2">
        <v>10</v>
      </c>
      <c r="G67" s="2" t="s">
        <v>211</v>
      </c>
      <c r="H67" s="2" t="s">
        <v>212</v>
      </c>
      <c r="I67" s="2" t="s">
        <v>242</v>
      </c>
      <c r="J67" s="4">
        <v>43383</v>
      </c>
      <c r="K67" s="4">
        <v>46295</v>
      </c>
      <c r="L67" s="2"/>
      <c r="M67" s="2" t="s">
        <v>243</v>
      </c>
      <c r="N67" s="2" t="s">
        <v>21</v>
      </c>
      <c r="O67" s="2" t="str">
        <f t="shared" si="1"/>
        <v>&gt;=7</v>
      </c>
    </row>
    <row r="68" ht="42" spans="1:15">
      <c r="A68" s="2" t="s">
        <v>244</v>
      </c>
      <c r="B68" s="2" t="s">
        <v>245</v>
      </c>
      <c r="C68" s="2" t="s">
        <v>198</v>
      </c>
      <c r="D68" s="3">
        <v>103.74327778</v>
      </c>
      <c r="E68" s="3">
        <v>1.54413889</v>
      </c>
      <c r="F68" s="2">
        <v>6</v>
      </c>
      <c r="G68" s="2" t="s">
        <v>87</v>
      </c>
      <c r="H68" s="2" t="s">
        <v>88</v>
      </c>
      <c r="I68" s="2" t="s">
        <v>246</v>
      </c>
      <c r="J68" s="4">
        <v>43814</v>
      </c>
      <c r="K68" s="4">
        <v>45735</v>
      </c>
      <c r="L68" s="2"/>
      <c r="M68" s="2"/>
      <c r="N68" s="2" t="s">
        <v>21</v>
      </c>
      <c r="O68" s="2" t="str">
        <f t="shared" si="1"/>
        <v>4-6</v>
      </c>
    </row>
    <row r="69" ht="42" spans="1:15">
      <c r="A69" s="2" t="s">
        <v>247</v>
      </c>
      <c r="B69" s="2" t="s">
        <v>248</v>
      </c>
      <c r="C69" s="2" t="s">
        <v>198</v>
      </c>
      <c r="D69" s="3">
        <v>103.6969651</v>
      </c>
      <c r="E69" s="3">
        <v>1.49553030000001</v>
      </c>
      <c r="F69" s="2">
        <v>14</v>
      </c>
      <c r="G69" s="2" t="s">
        <v>211</v>
      </c>
      <c r="H69" s="2" t="s">
        <v>212</v>
      </c>
      <c r="I69" s="2" t="s">
        <v>249</v>
      </c>
      <c r="J69" s="4">
        <v>43049</v>
      </c>
      <c r="K69" s="4">
        <v>46295</v>
      </c>
      <c r="L69" s="2"/>
      <c r="M69" s="2" t="s">
        <v>250</v>
      </c>
      <c r="N69" s="2" t="s">
        <v>21</v>
      </c>
      <c r="O69" s="2" t="str">
        <f t="shared" si="1"/>
        <v>&gt;=7</v>
      </c>
    </row>
    <row r="70" ht="42" spans="1:15">
      <c r="A70" s="2" t="s">
        <v>251</v>
      </c>
      <c r="B70" s="2" t="s">
        <v>252</v>
      </c>
      <c r="C70" s="2" t="s">
        <v>198</v>
      </c>
      <c r="D70" s="3">
        <v>103.74961954</v>
      </c>
      <c r="E70" s="3">
        <v>1.5403203</v>
      </c>
      <c r="F70" s="2">
        <v>9</v>
      </c>
      <c r="G70" s="2" t="s">
        <v>211</v>
      </c>
      <c r="H70" s="2" t="s">
        <v>212</v>
      </c>
      <c r="I70" s="2" t="s">
        <v>253</v>
      </c>
      <c r="J70" s="4">
        <v>42843</v>
      </c>
      <c r="K70" s="4">
        <v>45735</v>
      </c>
      <c r="L70" s="2"/>
      <c r="M70" s="2"/>
      <c r="N70" s="2" t="s">
        <v>21</v>
      </c>
      <c r="O70" s="2" t="str">
        <f t="shared" si="1"/>
        <v>&gt;=7</v>
      </c>
    </row>
    <row r="71" spans="1:15">
      <c r="A71" s="2" t="s">
        <v>254</v>
      </c>
      <c r="B71" s="2" t="s">
        <v>255</v>
      </c>
      <c r="C71" s="2" t="s">
        <v>256</v>
      </c>
      <c r="D71" s="3">
        <v>103.58727458</v>
      </c>
      <c r="E71" s="3">
        <v>1.37194144</v>
      </c>
      <c r="F71" s="2">
        <v>2</v>
      </c>
      <c r="G71" s="2" t="s">
        <v>18</v>
      </c>
      <c r="H71" s="2" t="s">
        <v>19</v>
      </c>
      <c r="I71" s="2" t="s">
        <v>81</v>
      </c>
      <c r="J71" s="4">
        <v>44685</v>
      </c>
      <c r="K71" s="4">
        <v>44829</v>
      </c>
      <c r="L71" s="2"/>
      <c r="M71" s="2"/>
      <c r="N71" s="2" t="s">
        <v>21</v>
      </c>
      <c r="O71" s="2" t="str">
        <f t="shared" si="1"/>
        <v>1-3</v>
      </c>
    </row>
    <row r="72" spans="1:15">
      <c r="A72" s="2" t="s">
        <v>257</v>
      </c>
      <c r="B72" s="2" t="s">
        <v>258</v>
      </c>
      <c r="C72" s="2" t="s">
        <v>183</v>
      </c>
      <c r="D72" s="3">
        <v>103.70472574</v>
      </c>
      <c r="E72" s="3">
        <v>1.49166007</v>
      </c>
      <c r="F72" s="2">
        <v>1</v>
      </c>
      <c r="G72" s="2" t="s">
        <v>18</v>
      </c>
      <c r="H72" s="2" t="s">
        <v>19</v>
      </c>
      <c r="I72" s="2" t="s">
        <v>143</v>
      </c>
      <c r="J72" s="4">
        <v>44156</v>
      </c>
      <c r="K72" s="4">
        <v>44156</v>
      </c>
      <c r="L72" s="2"/>
      <c r="M72" s="2"/>
      <c r="N72" s="2" t="s">
        <v>21</v>
      </c>
      <c r="O72" s="2" t="str">
        <f t="shared" si="1"/>
        <v>1-3</v>
      </c>
    </row>
    <row r="73" spans="1:15">
      <c r="A73" s="2" t="s">
        <v>259</v>
      </c>
      <c r="B73" s="2" t="s">
        <v>260</v>
      </c>
      <c r="C73" s="2" t="s">
        <v>183</v>
      </c>
      <c r="D73" s="3">
        <v>103.800959</v>
      </c>
      <c r="E73" s="3">
        <v>1.493921</v>
      </c>
      <c r="F73" s="2">
        <v>1</v>
      </c>
      <c r="G73" s="2" t="s">
        <v>18</v>
      </c>
      <c r="H73" s="2" t="s">
        <v>19</v>
      </c>
      <c r="I73" s="2" t="s">
        <v>143</v>
      </c>
      <c r="J73" s="4">
        <v>43986</v>
      </c>
      <c r="K73" s="4">
        <v>43986</v>
      </c>
      <c r="L73" s="2"/>
      <c r="M73" s="2"/>
      <c r="N73" s="2" t="s">
        <v>21</v>
      </c>
      <c r="O73" s="2" t="str">
        <f t="shared" si="1"/>
        <v>1-3</v>
      </c>
    </row>
    <row r="74" spans="1:15">
      <c r="A74" s="2" t="s">
        <v>261</v>
      </c>
      <c r="B74" s="2" t="s">
        <v>262</v>
      </c>
      <c r="C74" s="2" t="s">
        <v>256</v>
      </c>
      <c r="D74" s="3">
        <v>103.8166885</v>
      </c>
      <c r="E74" s="3">
        <v>1.5179158</v>
      </c>
      <c r="F74" s="2">
        <v>1</v>
      </c>
      <c r="G74" s="2" t="s">
        <v>18</v>
      </c>
      <c r="H74" s="2" t="s">
        <v>19</v>
      </c>
      <c r="I74" s="2" t="s">
        <v>81</v>
      </c>
      <c r="J74" s="4">
        <v>44810</v>
      </c>
      <c r="K74" s="4">
        <v>44810</v>
      </c>
      <c r="L74" s="2"/>
      <c r="M74" s="2" t="s">
        <v>263</v>
      </c>
      <c r="N74" s="2" t="s">
        <v>21</v>
      </c>
      <c r="O74" s="2" t="str">
        <f t="shared" si="1"/>
        <v>1-3</v>
      </c>
    </row>
    <row r="75" spans="1:15">
      <c r="A75" s="2" t="s">
        <v>264</v>
      </c>
      <c r="B75" s="2" t="s">
        <v>265</v>
      </c>
      <c r="C75" s="2" t="s">
        <v>183</v>
      </c>
      <c r="D75" s="3">
        <v>103.56799503</v>
      </c>
      <c r="E75" s="3">
        <v>1.47115514</v>
      </c>
      <c r="F75" s="2">
        <v>3</v>
      </c>
      <c r="G75" s="2" t="s">
        <v>18</v>
      </c>
      <c r="H75" s="2" t="s">
        <v>19</v>
      </c>
      <c r="I75" s="2" t="s">
        <v>266</v>
      </c>
      <c r="J75" s="4">
        <v>43237</v>
      </c>
      <c r="K75" s="4">
        <v>43760</v>
      </c>
      <c r="L75" s="2"/>
      <c r="M75" s="2"/>
      <c r="N75" s="2" t="s">
        <v>21</v>
      </c>
      <c r="O75" s="2" t="str">
        <f t="shared" si="1"/>
        <v>1-3</v>
      </c>
    </row>
    <row r="76" ht="28" spans="1:15">
      <c r="A76" s="2" t="s">
        <v>267</v>
      </c>
      <c r="B76" s="2" t="s">
        <v>268</v>
      </c>
      <c r="C76" s="2" t="s">
        <v>269</v>
      </c>
      <c r="D76" s="3">
        <v>103.66117</v>
      </c>
      <c r="E76" s="3">
        <v>1.56411</v>
      </c>
      <c r="F76" s="2">
        <v>3</v>
      </c>
      <c r="G76" s="2" t="s">
        <v>18</v>
      </c>
      <c r="H76" s="2" t="s">
        <v>19</v>
      </c>
      <c r="I76" s="2" t="s">
        <v>270</v>
      </c>
      <c r="J76" s="4">
        <v>43814</v>
      </c>
      <c r="K76" s="4">
        <v>44206</v>
      </c>
      <c r="L76" s="2" t="s">
        <v>271</v>
      </c>
      <c r="M76" s="2"/>
      <c r="N76" s="2" t="s">
        <v>21</v>
      </c>
      <c r="O76" s="2" t="str">
        <f t="shared" si="1"/>
        <v>1-3</v>
      </c>
    </row>
    <row r="77" spans="1:15">
      <c r="A77" s="2" t="s">
        <v>272</v>
      </c>
      <c r="B77" s="2" t="s">
        <v>273</v>
      </c>
      <c r="C77" s="2" t="s">
        <v>183</v>
      </c>
      <c r="D77" s="3">
        <v>103.68986464</v>
      </c>
      <c r="E77" s="3">
        <v>1.50134219</v>
      </c>
      <c r="F77" s="2">
        <v>1</v>
      </c>
      <c r="G77" s="2" t="s">
        <v>18</v>
      </c>
      <c r="H77" s="2" t="s">
        <v>19</v>
      </c>
      <c r="I77" s="2" t="s">
        <v>143</v>
      </c>
      <c r="J77" s="4">
        <v>44156</v>
      </c>
      <c r="K77" s="4">
        <v>44156</v>
      </c>
      <c r="L77" s="2"/>
      <c r="M77" s="2"/>
      <c r="N77" s="2" t="s">
        <v>21</v>
      </c>
      <c r="O77" s="2" t="str">
        <f t="shared" si="1"/>
        <v>1-3</v>
      </c>
    </row>
    <row r="78" spans="1:15">
      <c r="A78" s="2" t="s">
        <v>274</v>
      </c>
      <c r="B78" s="2" t="s">
        <v>275</v>
      </c>
      <c r="C78" s="2" t="s">
        <v>276</v>
      </c>
      <c r="D78" s="3">
        <v>103.71164</v>
      </c>
      <c r="E78" s="3">
        <v>1.48682</v>
      </c>
      <c r="F78" s="2">
        <v>1</v>
      </c>
      <c r="G78" s="2" t="s">
        <v>18</v>
      </c>
      <c r="H78" s="2" t="s">
        <v>19</v>
      </c>
      <c r="I78" s="2" t="s">
        <v>67</v>
      </c>
      <c r="J78" s="4">
        <v>43210</v>
      </c>
      <c r="K78" s="4">
        <v>43210</v>
      </c>
      <c r="L78" s="2"/>
      <c r="M78" s="2"/>
      <c r="N78" s="2" t="s">
        <v>21</v>
      </c>
      <c r="O78" s="2" t="str">
        <f t="shared" si="1"/>
        <v>1-3</v>
      </c>
    </row>
    <row r="79" spans="1:15">
      <c r="A79" s="2" t="s">
        <v>277</v>
      </c>
      <c r="B79" s="2" t="s">
        <v>278</v>
      </c>
      <c r="C79" s="2" t="s">
        <v>202</v>
      </c>
      <c r="D79" s="3">
        <v>103.69059841</v>
      </c>
      <c r="E79" s="3">
        <v>1.49949602</v>
      </c>
      <c r="F79" s="2">
        <v>2</v>
      </c>
      <c r="G79" s="2" t="s">
        <v>18</v>
      </c>
      <c r="H79" s="2" t="s">
        <v>19</v>
      </c>
      <c r="I79" s="2" t="s">
        <v>279</v>
      </c>
      <c r="J79" s="4">
        <v>44156</v>
      </c>
      <c r="K79" s="4">
        <v>44469</v>
      </c>
      <c r="L79" s="2"/>
      <c r="M79" s="2"/>
      <c r="N79" s="2" t="s">
        <v>21</v>
      </c>
      <c r="O79" s="2" t="str">
        <f t="shared" si="1"/>
        <v>1-3</v>
      </c>
    </row>
    <row r="80" ht="42" spans="1:15">
      <c r="A80" s="2" t="s">
        <v>280</v>
      </c>
      <c r="B80" s="2" t="s">
        <v>281</v>
      </c>
      <c r="C80" s="2" t="s">
        <v>282</v>
      </c>
      <c r="D80" s="3">
        <v>103.68912</v>
      </c>
      <c r="E80" s="3">
        <v>1.49933</v>
      </c>
      <c r="F80" s="2">
        <v>3</v>
      </c>
      <c r="G80" s="2" t="s">
        <v>18</v>
      </c>
      <c r="H80" s="2" t="s">
        <v>19</v>
      </c>
      <c r="I80" s="2" t="s">
        <v>283</v>
      </c>
      <c r="J80" s="4">
        <v>43395</v>
      </c>
      <c r="K80" s="4">
        <v>46295</v>
      </c>
      <c r="L80" s="2"/>
      <c r="M80" s="2"/>
      <c r="N80" s="2" t="s">
        <v>21</v>
      </c>
      <c r="O80" s="2" t="str">
        <f t="shared" si="1"/>
        <v>1-3</v>
      </c>
    </row>
    <row r="81" ht="28" spans="1:15">
      <c r="A81" s="2" t="s">
        <v>284</v>
      </c>
      <c r="B81" s="2" t="s">
        <v>285</v>
      </c>
      <c r="C81" s="2" t="s">
        <v>187</v>
      </c>
      <c r="D81" s="3">
        <v>103.6919335</v>
      </c>
      <c r="E81" s="3">
        <v>1.50174870000003</v>
      </c>
      <c r="F81" s="2">
        <v>3</v>
      </c>
      <c r="G81" s="2" t="s">
        <v>18</v>
      </c>
      <c r="H81" s="2" t="s">
        <v>19</v>
      </c>
      <c r="I81" s="2" t="s">
        <v>286</v>
      </c>
      <c r="J81" s="4">
        <v>44156</v>
      </c>
      <c r="K81" s="4">
        <v>46295</v>
      </c>
      <c r="L81" s="2"/>
      <c r="M81" s="2" t="s">
        <v>287</v>
      </c>
      <c r="N81" s="2" t="s">
        <v>21</v>
      </c>
      <c r="O81" s="2" t="str">
        <f t="shared" si="1"/>
        <v>1-3</v>
      </c>
    </row>
    <row r="82" spans="1:15">
      <c r="A82" s="2" t="s">
        <v>288</v>
      </c>
      <c r="B82" s="2" t="s">
        <v>289</v>
      </c>
      <c r="C82" s="2" t="s">
        <v>35</v>
      </c>
      <c r="D82" s="3">
        <v>103.9518889</v>
      </c>
      <c r="E82" s="3">
        <v>1.6123889</v>
      </c>
      <c r="F82" s="2">
        <v>1</v>
      </c>
      <c r="G82" s="2" t="s">
        <v>18</v>
      </c>
      <c r="H82" s="2" t="s">
        <v>19</v>
      </c>
      <c r="I82" s="2" t="s">
        <v>95</v>
      </c>
      <c r="J82" s="4">
        <v>42759</v>
      </c>
      <c r="K82" s="4">
        <v>42759</v>
      </c>
      <c r="L82" s="2"/>
      <c r="M82" s="2"/>
      <c r="N82" s="2" t="s">
        <v>21</v>
      </c>
      <c r="O82" s="2" t="str">
        <f t="shared" si="1"/>
        <v>1-3</v>
      </c>
    </row>
    <row r="83" spans="1:15">
      <c r="A83" s="2" t="s">
        <v>290</v>
      </c>
      <c r="B83" s="2" t="s">
        <v>291</v>
      </c>
      <c r="C83" s="2" t="s">
        <v>256</v>
      </c>
      <c r="D83" s="3">
        <v>103.8743</v>
      </c>
      <c r="E83" s="3">
        <v>1.48054</v>
      </c>
      <c r="F83" s="2">
        <v>1</v>
      </c>
      <c r="G83" s="2" t="s">
        <v>18</v>
      </c>
      <c r="H83" s="2" t="s">
        <v>19</v>
      </c>
      <c r="I83" s="2" t="s">
        <v>292</v>
      </c>
      <c r="J83" s="4">
        <v>44389</v>
      </c>
      <c r="K83" s="4">
        <v>44389</v>
      </c>
      <c r="L83" s="2"/>
      <c r="M83" s="2"/>
      <c r="N83" s="2" t="s">
        <v>21</v>
      </c>
      <c r="O83" s="2" t="str">
        <f t="shared" si="1"/>
        <v>1-3</v>
      </c>
    </row>
    <row r="84" ht="28" spans="1:15">
      <c r="A84" s="2" t="s">
        <v>293</v>
      </c>
      <c r="B84" s="2" t="s">
        <v>294</v>
      </c>
      <c r="C84" s="2" t="s">
        <v>187</v>
      </c>
      <c r="D84" s="3">
        <v>103.88063</v>
      </c>
      <c r="E84" s="3">
        <v>1.5844</v>
      </c>
      <c r="F84" s="2">
        <v>5</v>
      </c>
      <c r="G84" s="2" t="s">
        <v>87</v>
      </c>
      <c r="H84" s="2" t="s">
        <v>88</v>
      </c>
      <c r="I84" s="2" t="s">
        <v>295</v>
      </c>
      <c r="J84" s="4">
        <v>42759</v>
      </c>
      <c r="K84" s="4">
        <v>44986</v>
      </c>
      <c r="L84" s="2"/>
      <c r="M84" s="2"/>
      <c r="N84" s="2" t="s">
        <v>21</v>
      </c>
      <c r="O84" s="2" t="str">
        <f t="shared" si="1"/>
        <v>4-6</v>
      </c>
    </row>
    <row r="85" spans="1:15">
      <c r="A85" s="2" t="s">
        <v>296</v>
      </c>
      <c r="B85" s="2" t="s">
        <v>297</v>
      </c>
      <c r="C85" s="2" t="s">
        <v>256</v>
      </c>
      <c r="D85" s="3">
        <v>103.57953798</v>
      </c>
      <c r="E85" s="3">
        <v>1.38836699</v>
      </c>
      <c r="F85" s="2">
        <v>1</v>
      </c>
      <c r="G85" s="2" t="s">
        <v>18</v>
      </c>
      <c r="H85" s="2" t="s">
        <v>19</v>
      </c>
      <c r="I85" s="2" t="s">
        <v>81</v>
      </c>
      <c r="J85" s="4">
        <v>44829</v>
      </c>
      <c r="K85" s="4">
        <v>44829</v>
      </c>
      <c r="L85" s="2"/>
      <c r="M85" s="2"/>
      <c r="N85" s="2" t="s">
        <v>21</v>
      </c>
      <c r="O85" s="2" t="str">
        <f t="shared" si="1"/>
        <v>1-3</v>
      </c>
    </row>
    <row r="86" ht="28" spans="1:15">
      <c r="A86" s="2" t="s">
        <v>298</v>
      </c>
      <c r="B86" s="2" t="s">
        <v>299</v>
      </c>
      <c r="C86" s="2" t="s">
        <v>300</v>
      </c>
      <c r="D86" s="3">
        <v>103.67688</v>
      </c>
      <c r="E86" s="3">
        <v>1.47873</v>
      </c>
      <c r="F86" s="2">
        <v>5</v>
      </c>
      <c r="G86" s="2" t="s">
        <v>87</v>
      </c>
      <c r="H86" s="2" t="s">
        <v>88</v>
      </c>
      <c r="I86" s="2" t="s">
        <v>301</v>
      </c>
      <c r="J86" s="4">
        <v>42997</v>
      </c>
      <c r="K86" s="4">
        <v>46295</v>
      </c>
      <c r="L86" s="2" t="s">
        <v>302</v>
      </c>
      <c r="M86" s="2"/>
      <c r="N86" s="2" t="s">
        <v>21</v>
      </c>
      <c r="O86" s="2" t="str">
        <f t="shared" si="1"/>
        <v>4-6</v>
      </c>
    </row>
    <row r="87" ht="28" spans="1:15">
      <c r="A87" s="2" t="s">
        <v>303</v>
      </c>
      <c r="B87" s="2" t="s">
        <v>304</v>
      </c>
      <c r="C87" s="2" t="s">
        <v>305</v>
      </c>
      <c r="D87" s="3">
        <v>103.75707329</v>
      </c>
      <c r="E87" s="3">
        <v>1.5191611</v>
      </c>
      <c r="F87" s="2">
        <v>5</v>
      </c>
      <c r="G87" s="2" t="s">
        <v>87</v>
      </c>
      <c r="H87" s="2" t="s">
        <v>88</v>
      </c>
      <c r="I87" s="2" t="s">
        <v>306</v>
      </c>
      <c r="J87" s="4">
        <v>42896</v>
      </c>
      <c r="K87" s="4">
        <v>46295</v>
      </c>
      <c r="L87" s="2"/>
      <c r="M87" s="2"/>
      <c r="N87" s="2" t="s">
        <v>21</v>
      </c>
      <c r="O87" s="2" t="str">
        <f t="shared" si="1"/>
        <v>4-6</v>
      </c>
    </row>
    <row r="88" spans="1:15">
      <c r="A88" s="2" t="s">
        <v>307</v>
      </c>
      <c r="B88" s="2" t="s">
        <v>308</v>
      </c>
      <c r="C88" s="2" t="s">
        <v>35</v>
      </c>
      <c r="D88" s="3">
        <v>103.7683272</v>
      </c>
      <c r="E88" s="3">
        <v>1.53455009999999</v>
      </c>
      <c r="F88" s="2">
        <v>1</v>
      </c>
      <c r="G88" s="2" t="s">
        <v>18</v>
      </c>
      <c r="H88" s="2" t="s">
        <v>19</v>
      </c>
      <c r="I88" s="2" t="s">
        <v>309</v>
      </c>
      <c r="J88" s="4">
        <v>45735</v>
      </c>
      <c r="K88" s="4">
        <v>45735</v>
      </c>
      <c r="L88" s="2"/>
      <c r="M88" s="2" t="s">
        <v>310</v>
      </c>
      <c r="N88" s="2" t="s">
        <v>21</v>
      </c>
      <c r="O88" s="2" t="str">
        <f t="shared" si="1"/>
        <v>1-3</v>
      </c>
    </row>
    <row r="89" spans="1:15">
      <c r="A89" s="2" t="s">
        <v>311</v>
      </c>
      <c r="B89" s="2" t="s">
        <v>312</v>
      </c>
      <c r="C89" s="2" t="s">
        <v>313</v>
      </c>
      <c r="D89" s="3">
        <v>103.71851</v>
      </c>
      <c r="E89" s="3">
        <v>1.514607</v>
      </c>
      <c r="F89" s="2">
        <v>1</v>
      </c>
      <c r="G89" s="2" t="s">
        <v>18</v>
      </c>
      <c r="H89" s="2" t="s">
        <v>19</v>
      </c>
      <c r="I89" s="2" t="s">
        <v>292</v>
      </c>
      <c r="J89" s="4">
        <v>44469</v>
      </c>
      <c r="K89" s="4">
        <v>44469</v>
      </c>
      <c r="L89" s="2"/>
      <c r="M89" s="2"/>
      <c r="N89" s="2" t="s">
        <v>21</v>
      </c>
      <c r="O89" s="2" t="str">
        <f t="shared" si="1"/>
        <v>1-3</v>
      </c>
    </row>
    <row r="90" spans="1:15">
      <c r="A90" s="2" t="s">
        <v>314</v>
      </c>
      <c r="B90" s="2" t="s">
        <v>315</v>
      </c>
      <c r="C90" s="2" t="s">
        <v>256</v>
      </c>
      <c r="D90" s="3">
        <v>103.71579344</v>
      </c>
      <c r="E90" s="3">
        <v>1.52911376</v>
      </c>
      <c r="F90" s="2">
        <v>1</v>
      </c>
      <c r="G90" s="2" t="s">
        <v>18</v>
      </c>
      <c r="H90" s="2" t="s">
        <v>19</v>
      </c>
      <c r="I90" s="2" t="s">
        <v>292</v>
      </c>
      <c r="J90" s="4">
        <v>44469</v>
      </c>
      <c r="K90" s="4">
        <v>44469</v>
      </c>
      <c r="L90" s="2" t="s">
        <v>316</v>
      </c>
      <c r="M90" s="2"/>
      <c r="N90" s="2" t="s">
        <v>21</v>
      </c>
      <c r="O90" s="2" t="str">
        <f t="shared" si="1"/>
        <v>1-3</v>
      </c>
    </row>
    <row r="91" spans="1:15">
      <c r="A91" s="2" t="s">
        <v>317</v>
      </c>
      <c r="B91" s="2" t="s">
        <v>318</v>
      </c>
      <c r="C91" s="2" t="s">
        <v>313</v>
      </c>
      <c r="D91" s="3">
        <v>103.72755</v>
      </c>
      <c r="E91" s="3">
        <v>1.52696</v>
      </c>
      <c r="F91" s="2">
        <v>1</v>
      </c>
      <c r="G91" s="2" t="s">
        <v>18</v>
      </c>
      <c r="H91" s="2" t="s">
        <v>19</v>
      </c>
      <c r="I91" s="2" t="s">
        <v>292</v>
      </c>
      <c r="J91" s="4">
        <v>44469</v>
      </c>
      <c r="K91" s="4">
        <v>44469</v>
      </c>
      <c r="L91" s="2"/>
      <c r="M91" s="2"/>
      <c r="N91" s="2" t="s">
        <v>21</v>
      </c>
      <c r="O91" s="2" t="str">
        <f t="shared" si="1"/>
        <v>1-3</v>
      </c>
    </row>
    <row r="92" spans="1:15">
      <c r="A92" s="2" t="s">
        <v>319</v>
      </c>
      <c r="B92" s="2" t="s">
        <v>320</v>
      </c>
      <c r="C92" s="2" t="s">
        <v>35</v>
      </c>
      <c r="D92" s="3">
        <v>103.76977282</v>
      </c>
      <c r="E92" s="3">
        <v>1.50468654</v>
      </c>
      <c r="F92" s="2">
        <v>2</v>
      </c>
      <c r="G92" s="2" t="s">
        <v>18</v>
      </c>
      <c r="H92" s="2" t="s">
        <v>19</v>
      </c>
      <c r="I92" s="2" t="s">
        <v>321</v>
      </c>
      <c r="J92" s="4">
        <v>44971</v>
      </c>
      <c r="K92" s="4">
        <v>46295</v>
      </c>
      <c r="L92" s="2"/>
      <c r="M92" s="2"/>
      <c r="N92" s="2" t="s">
        <v>21</v>
      </c>
      <c r="O92" s="2" t="str">
        <f t="shared" si="1"/>
        <v>1-3</v>
      </c>
    </row>
    <row r="93" spans="1:15">
      <c r="A93" s="2" t="s">
        <v>322</v>
      </c>
      <c r="B93" s="2" t="s">
        <v>323</v>
      </c>
      <c r="C93" s="2" t="s">
        <v>35</v>
      </c>
      <c r="D93" s="3">
        <v>103.931586</v>
      </c>
      <c r="E93" s="3">
        <v>1.619208</v>
      </c>
      <c r="F93" s="2">
        <v>3</v>
      </c>
      <c r="G93" s="2" t="s">
        <v>18</v>
      </c>
      <c r="H93" s="2" t="s">
        <v>19</v>
      </c>
      <c r="I93" s="2" t="s">
        <v>324</v>
      </c>
      <c r="J93" s="4">
        <v>42758</v>
      </c>
      <c r="K93" s="4">
        <v>45295</v>
      </c>
      <c r="L93" s="2"/>
      <c r="M93" s="2"/>
      <c r="N93" s="2" t="s">
        <v>21</v>
      </c>
      <c r="O93" s="2" t="str">
        <f t="shared" si="1"/>
        <v>1-3</v>
      </c>
    </row>
    <row r="94" ht="28" spans="1:15">
      <c r="A94" s="2" t="s">
        <v>325</v>
      </c>
      <c r="B94" s="2" t="s">
        <v>326</v>
      </c>
      <c r="C94" s="2" t="s">
        <v>187</v>
      </c>
      <c r="D94" s="3">
        <v>103.92735539</v>
      </c>
      <c r="E94" s="3">
        <v>1.52125286</v>
      </c>
      <c r="F94" s="2">
        <v>3</v>
      </c>
      <c r="G94" s="2" t="s">
        <v>18</v>
      </c>
      <c r="H94" s="2" t="s">
        <v>19</v>
      </c>
      <c r="I94" s="2" t="s">
        <v>327</v>
      </c>
      <c r="J94" s="4">
        <v>42759</v>
      </c>
      <c r="K94" s="4">
        <v>43956</v>
      </c>
      <c r="L94" s="2"/>
      <c r="M94" s="2"/>
      <c r="N94" s="2" t="s">
        <v>21</v>
      </c>
      <c r="O94" s="2" t="str">
        <f t="shared" si="1"/>
        <v>1-3</v>
      </c>
    </row>
    <row r="95" ht="28" spans="1:15">
      <c r="A95" s="2" t="s">
        <v>328</v>
      </c>
      <c r="B95" s="2" t="s">
        <v>329</v>
      </c>
      <c r="C95" s="2" t="s">
        <v>210</v>
      </c>
      <c r="D95" s="3">
        <v>103.92185516</v>
      </c>
      <c r="E95" s="3">
        <v>1.52194889</v>
      </c>
      <c r="F95" s="2">
        <v>9</v>
      </c>
      <c r="G95" s="2" t="s">
        <v>211</v>
      </c>
      <c r="H95" s="2" t="s">
        <v>212</v>
      </c>
      <c r="I95" s="2" t="s">
        <v>330</v>
      </c>
      <c r="J95" s="4">
        <v>42843</v>
      </c>
      <c r="K95" s="4">
        <v>45261</v>
      </c>
      <c r="L95" s="2"/>
      <c r="M95" s="2"/>
      <c r="N95" s="2" t="s">
        <v>21</v>
      </c>
      <c r="O95" s="2" t="str">
        <f t="shared" si="1"/>
        <v>&gt;=7</v>
      </c>
    </row>
    <row r="96" ht="28" spans="1:15">
      <c r="A96" s="2" t="s">
        <v>331</v>
      </c>
      <c r="B96" s="2" t="s">
        <v>332</v>
      </c>
      <c r="C96" s="2" t="s">
        <v>210</v>
      </c>
      <c r="D96" s="3">
        <v>103.93562865</v>
      </c>
      <c r="E96" s="3">
        <v>1.52139605</v>
      </c>
      <c r="F96" s="2">
        <v>6</v>
      </c>
      <c r="G96" s="2" t="s">
        <v>87</v>
      </c>
      <c r="H96" s="2" t="s">
        <v>88</v>
      </c>
      <c r="I96" s="2" t="s">
        <v>333</v>
      </c>
      <c r="J96" s="4">
        <v>44198</v>
      </c>
      <c r="K96" s="4">
        <v>45295</v>
      </c>
      <c r="L96" s="2"/>
      <c r="M96" s="2"/>
      <c r="N96" s="2" t="s">
        <v>21</v>
      </c>
      <c r="O96" s="2" t="str">
        <f t="shared" si="1"/>
        <v>4-6</v>
      </c>
    </row>
    <row r="97" ht="28" spans="1:15">
      <c r="A97" s="2" t="s">
        <v>334</v>
      </c>
      <c r="B97" s="2" t="s">
        <v>335</v>
      </c>
      <c r="C97" s="2" t="s">
        <v>210</v>
      </c>
      <c r="D97" s="3">
        <v>103.9404605</v>
      </c>
      <c r="E97" s="3">
        <v>1.47435541</v>
      </c>
      <c r="F97" s="2">
        <v>2</v>
      </c>
      <c r="G97" s="2" t="s">
        <v>18</v>
      </c>
      <c r="H97" s="2" t="s">
        <v>19</v>
      </c>
      <c r="I97" s="2" t="s">
        <v>336</v>
      </c>
      <c r="J97" s="4">
        <v>44441</v>
      </c>
      <c r="K97" s="4">
        <v>45261</v>
      </c>
      <c r="L97" s="2"/>
      <c r="M97" s="2"/>
      <c r="N97" s="2" t="s">
        <v>21</v>
      </c>
      <c r="O97" s="2" t="str">
        <f t="shared" si="1"/>
        <v>1-3</v>
      </c>
    </row>
    <row r="98" spans="1:15">
      <c r="A98" s="2" t="s">
        <v>337</v>
      </c>
      <c r="B98" s="2" t="s">
        <v>338</v>
      </c>
      <c r="C98" s="2" t="s">
        <v>35</v>
      </c>
      <c r="D98" s="3">
        <v>103.9220255</v>
      </c>
      <c r="E98" s="3">
        <v>1.6536289</v>
      </c>
      <c r="F98" s="2">
        <v>2</v>
      </c>
      <c r="G98" s="2" t="s">
        <v>18</v>
      </c>
      <c r="H98" s="2" t="s">
        <v>19</v>
      </c>
      <c r="I98" s="2" t="s">
        <v>324</v>
      </c>
      <c r="J98" s="4">
        <v>42759</v>
      </c>
      <c r="K98" s="4">
        <v>45295</v>
      </c>
      <c r="L98" s="2"/>
      <c r="M98" s="2"/>
      <c r="N98" s="2" t="s">
        <v>21</v>
      </c>
      <c r="O98" s="2" t="str">
        <f t="shared" si="1"/>
        <v>1-3</v>
      </c>
    </row>
    <row r="99" spans="1:15">
      <c r="A99" s="2" t="s">
        <v>339</v>
      </c>
      <c r="B99" s="2" t="s">
        <v>340</v>
      </c>
      <c r="C99" s="2" t="s">
        <v>341</v>
      </c>
      <c r="D99" s="3">
        <v>103.687206</v>
      </c>
      <c r="E99" s="3">
        <v>1.508748</v>
      </c>
      <c r="F99" s="2">
        <v>1</v>
      </c>
      <c r="G99" s="2" t="s">
        <v>18</v>
      </c>
      <c r="H99" s="2" t="s">
        <v>19</v>
      </c>
      <c r="I99" s="2" t="s">
        <v>95</v>
      </c>
      <c r="J99" s="4">
        <v>42737</v>
      </c>
      <c r="K99" s="4">
        <v>42737</v>
      </c>
      <c r="L99" s="2" t="s">
        <v>342</v>
      </c>
      <c r="M99" s="2"/>
      <c r="N99" s="2" t="s">
        <v>21</v>
      </c>
      <c r="O99" s="2" t="str">
        <f t="shared" si="1"/>
        <v>1-3</v>
      </c>
    </row>
    <row r="100" spans="1:15">
      <c r="A100" s="2" t="s">
        <v>343</v>
      </c>
      <c r="B100" s="2" t="s">
        <v>344</v>
      </c>
      <c r="C100" s="2" t="s">
        <v>345</v>
      </c>
      <c r="D100" s="3">
        <v>103.75802</v>
      </c>
      <c r="E100" s="3">
        <v>1.53597</v>
      </c>
      <c r="F100" s="2">
        <v>1</v>
      </c>
      <c r="G100" s="2" t="s">
        <v>18</v>
      </c>
      <c r="H100" s="2" t="s">
        <v>19</v>
      </c>
      <c r="I100" s="2" t="s">
        <v>309</v>
      </c>
      <c r="J100" s="4">
        <v>45737</v>
      </c>
      <c r="K100" s="4">
        <v>45737</v>
      </c>
      <c r="L100" s="2"/>
      <c r="M100" s="2"/>
      <c r="N100" s="2" t="s">
        <v>21</v>
      </c>
      <c r="O100" s="2" t="str">
        <f t="shared" si="1"/>
        <v>1-3</v>
      </c>
    </row>
    <row r="101" spans="1:15">
      <c r="A101" s="2" t="s">
        <v>346</v>
      </c>
      <c r="B101" s="2" t="s">
        <v>347</v>
      </c>
      <c r="C101" s="2" t="s">
        <v>345</v>
      </c>
      <c r="D101" s="3">
        <v>103.82057</v>
      </c>
      <c r="E101" s="3">
        <v>1.5225</v>
      </c>
      <c r="F101" s="2">
        <v>1</v>
      </c>
      <c r="G101" s="2" t="s">
        <v>18</v>
      </c>
      <c r="H101" s="2" t="s">
        <v>19</v>
      </c>
      <c r="I101" s="2" t="s">
        <v>309</v>
      </c>
      <c r="J101" s="4">
        <v>45737</v>
      </c>
      <c r="K101" s="4">
        <v>45737</v>
      </c>
      <c r="L101" s="2"/>
      <c r="M101" s="2"/>
      <c r="N101" s="2" t="s">
        <v>21</v>
      </c>
      <c r="O101" s="2" t="str">
        <f t="shared" si="1"/>
        <v>1-3</v>
      </c>
    </row>
    <row r="102" spans="1:15">
      <c r="A102" s="2" t="s">
        <v>348</v>
      </c>
      <c r="B102" s="2" t="s">
        <v>349</v>
      </c>
      <c r="C102" s="2" t="s">
        <v>38</v>
      </c>
      <c r="D102" s="3">
        <v>103.76228</v>
      </c>
      <c r="E102" s="3">
        <v>1.48537</v>
      </c>
      <c r="F102" s="2">
        <v>1</v>
      </c>
      <c r="G102" s="2" t="s">
        <v>18</v>
      </c>
      <c r="H102" s="2" t="s">
        <v>19</v>
      </c>
      <c r="I102" s="2" t="s">
        <v>25</v>
      </c>
      <c r="J102" s="4">
        <v>46295</v>
      </c>
      <c r="K102" s="4">
        <v>46295</v>
      </c>
      <c r="L102" s="2"/>
      <c r="M102" s="2"/>
      <c r="N102" s="2" t="s">
        <v>21</v>
      </c>
      <c r="O102" s="2" t="str">
        <f t="shared" si="1"/>
        <v>1-3</v>
      </c>
    </row>
    <row r="103" spans="1:15">
      <c r="A103" s="2" t="s">
        <v>350</v>
      </c>
      <c r="B103" s="2" t="s">
        <v>351</v>
      </c>
      <c r="C103" s="2" t="s">
        <v>35</v>
      </c>
      <c r="D103" s="3">
        <v>103.74826</v>
      </c>
      <c r="E103" s="3">
        <v>1.50108</v>
      </c>
      <c r="F103" s="2">
        <v>1</v>
      </c>
      <c r="G103" s="2" t="s">
        <v>18</v>
      </c>
      <c r="H103" s="2" t="s">
        <v>19</v>
      </c>
      <c r="I103" s="2" t="s">
        <v>31</v>
      </c>
      <c r="J103" s="4">
        <v>44971</v>
      </c>
      <c r="K103" s="4">
        <v>44971</v>
      </c>
      <c r="L103" s="2"/>
      <c r="M103" s="2"/>
      <c r="N103" s="2" t="s">
        <v>21</v>
      </c>
      <c r="O103" s="2" t="str">
        <f t="shared" si="1"/>
        <v>1-3</v>
      </c>
    </row>
    <row r="104" spans="1:15">
      <c r="A104" s="2" t="s">
        <v>352</v>
      </c>
      <c r="B104" s="2" t="s">
        <v>353</v>
      </c>
      <c r="C104" s="2" t="s">
        <v>55</v>
      </c>
      <c r="D104" s="3">
        <v>103.7149533</v>
      </c>
      <c r="E104" s="3">
        <v>1.5118305</v>
      </c>
      <c r="F104" s="2">
        <v>1</v>
      </c>
      <c r="G104" s="2" t="s">
        <v>18</v>
      </c>
      <c r="H104" s="2" t="s">
        <v>19</v>
      </c>
      <c r="I104" s="2" t="s">
        <v>292</v>
      </c>
      <c r="J104" s="4">
        <v>44389</v>
      </c>
      <c r="K104" s="4">
        <v>44389</v>
      </c>
      <c r="L104" s="2"/>
      <c r="M104" s="2"/>
      <c r="N104" s="2" t="s">
        <v>21</v>
      </c>
      <c r="O104" s="2" t="str">
        <f t="shared" si="1"/>
        <v>1-3</v>
      </c>
    </row>
    <row r="105" spans="1:15">
      <c r="A105" s="2" t="s">
        <v>354</v>
      </c>
      <c r="B105" s="2" t="s">
        <v>355</v>
      </c>
      <c r="C105" s="2" t="s">
        <v>356</v>
      </c>
      <c r="D105" s="3">
        <v>103.67230887</v>
      </c>
      <c r="E105" s="3">
        <v>1.52340697</v>
      </c>
      <c r="F105" s="2">
        <v>2</v>
      </c>
      <c r="G105" s="2" t="s">
        <v>18</v>
      </c>
      <c r="H105" s="2" t="s">
        <v>19</v>
      </c>
      <c r="I105" s="2" t="s">
        <v>292</v>
      </c>
      <c r="J105" s="4">
        <v>44198</v>
      </c>
      <c r="K105" s="4">
        <v>44206</v>
      </c>
      <c r="L105" s="2"/>
      <c r="M105" s="2"/>
      <c r="N105" s="2" t="s">
        <v>21</v>
      </c>
      <c r="O105" s="2" t="str">
        <f t="shared" si="1"/>
        <v>1-3</v>
      </c>
    </row>
    <row r="106" spans="1:15">
      <c r="A106" s="2" t="s">
        <v>357</v>
      </c>
      <c r="B106" s="2" t="s">
        <v>358</v>
      </c>
      <c r="C106" s="2" t="s">
        <v>35</v>
      </c>
      <c r="D106" s="3">
        <v>103.7579076</v>
      </c>
      <c r="E106" s="3">
        <v>1.5145389</v>
      </c>
      <c r="F106" s="2">
        <v>1</v>
      </c>
      <c r="G106" s="2" t="s">
        <v>18</v>
      </c>
      <c r="H106" s="2" t="s">
        <v>19</v>
      </c>
      <c r="I106" s="2" t="s">
        <v>31</v>
      </c>
      <c r="J106" s="4">
        <v>45266</v>
      </c>
      <c r="K106" s="4">
        <v>45266</v>
      </c>
      <c r="L106" s="2"/>
      <c r="M106" s="2" t="s">
        <v>359</v>
      </c>
      <c r="N106" s="2" t="s">
        <v>21</v>
      </c>
      <c r="O106" s="2" t="str">
        <f t="shared" si="1"/>
        <v>1-3</v>
      </c>
    </row>
    <row r="107" spans="1:15">
      <c r="A107" s="2" t="s">
        <v>360</v>
      </c>
      <c r="B107" s="2" t="s">
        <v>361</v>
      </c>
      <c r="C107" s="2" t="s">
        <v>38</v>
      </c>
      <c r="D107" s="3">
        <v>103.73922</v>
      </c>
      <c r="E107" s="3">
        <v>1.46358</v>
      </c>
      <c r="F107" s="2">
        <v>1</v>
      </c>
      <c r="G107" s="2" t="s">
        <v>18</v>
      </c>
      <c r="H107" s="2" t="s">
        <v>19</v>
      </c>
      <c r="I107" s="2" t="s">
        <v>25</v>
      </c>
      <c r="J107" s="4">
        <v>46295</v>
      </c>
      <c r="K107" s="4">
        <v>46295</v>
      </c>
      <c r="L107" s="2"/>
      <c r="M107" s="2"/>
      <c r="N107" s="2" t="s">
        <v>21</v>
      </c>
      <c r="O107" s="2" t="str">
        <f t="shared" si="1"/>
        <v>1-3</v>
      </c>
    </row>
    <row r="108" spans="1:15">
      <c r="A108" s="2" t="s">
        <v>362</v>
      </c>
      <c r="B108" s="2" t="s">
        <v>363</v>
      </c>
      <c r="C108" s="2" t="s">
        <v>345</v>
      </c>
      <c r="D108" s="3">
        <v>103.75623</v>
      </c>
      <c r="E108" s="3">
        <v>1.53382</v>
      </c>
      <c r="F108" s="2">
        <v>1</v>
      </c>
      <c r="G108" s="2" t="s">
        <v>18</v>
      </c>
      <c r="H108" s="2" t="s">
        <v>19</v>
      </c>
      <c r="I108" s="2" t="s">
        <v>309</v>
      </c>
      <c r="J108" s="4">
        <v>45668</v>
      </c>
      <c r="K108" s="4">
        <v>45668</v>
      </c>
      <c r="L108" s="2"/>
      <c r="M108" s="2"/>
      <c r="N108" s="2" t="s">
        <v>21</v>
      </c>
      <c r="O108" s="2" t="str">
        <f t="shared" si="1"/>
        <v>1-3</v>
      </c>
    </row>
    <row r="109" spans="1:15">
      <c r="A109" s="2" t="s">
        <v>364</v>
      </c>
      <c r="B109" s="2" t="s">
        <v>365</v>
      </c>
      <c r="C109" s="2" t="s">
        <v>24</v>
      </c>
      <c r="D109" s="3">
        <v>103.7639473</v>
      </c>
      <c r="E109" s="3">
        <v>1.52182970000001</v>
      </c>
      <c r="F109" s="2">
        <v>1</v>
      </c>
      <c r="G109" s="2" t="s">
        <v>18</v>
      </c>
      <c r="H109" s="2" t="s">
        <v>19</v>
      </c>
      <c r="I109" s="2" t="s">
        <v>309</v>
      </c>
      <c r="J109" s="4">
        <v>45736</v>
      </c>
      <c r="K109" s="4">
        <v>45736</v>
      </c>
      <c r="L109" s="2"/>
      <c r="M109" s="2" t="s">
        <v>366</v>
      </c>
      <c r="N109" s="2" t="s">
        <v>21</v>
      </c>
      <c r="O109" s="2" t="str">
        <f t="shared" si="1"/>
        <v>1-3</v>
      </c>
    </row>
    <row r="110" spans="1:15">
      <c r="A110" s="2" t="s">
        <v>367</v>
      </c>
      <c r="B110" s="2" t="s">
        <v>368</v>
      </c>
      <c r="C110" s="2" t="s">
        <v>24</v>
      </c>
      <c r="D110" s="3">
        <v>103.683194</v>
      </c>
      <c r="E110" s="3">
        <v>1.487722</v>
      </c>
      <c r="F110" s="2">
        <v>1</v>
      </c>
      <c r="G110" s="2" t="s">
        <v>18</v>
      </c>
      <c r="H110" s="2" t="s">
        <v>19</v>
      </c>
      <c r="I110" s="2" t="s">
        <v>309</v>
      </c>
      <c r="J110" s="4">
        <v>45736</v>
      </c>
      <c r="K110" s="4">
        <v>45736</v>
      </c>
      <c r="L110" s="2"/>
      <c r="M110" s="2"/>
      <c r="N110" s="2" t="s">
        <v>21</v>
      </c>
      <c r="O110" s="2" t="str">
        <f t="shared" si="1"/>
        <v>1-3</v>
      </c>
    </row>
    <row r="111" spans="1:15">
      <c r="A111" s="2" t="s">
        <v>369</v>
      </c>
      <c r="B111" s="2" t="s">
        <v>370</v>
      </c>
      <c r="C111" s="2" t="s">
        <v>55</v>
      </c>
      <c r="D111" s="3">
        <v>103.7190029</v>
      </c>
      <c r="E111" s="3">
        <v>1.4843025</v>
      </c>
      <c r="F111" s="2">
        <v>1</v>
      </c>
      <c r="G111" s="2" t="s">
        <v>18</v>
      </c>
      <c r="H111" s="2" t="s">
        <v>19</v>
      </c>
      <c r="I111" s="2" t="s">
        <v>81</v>
      </c>
      <c r="J111" s="4">
        <v>44775</v>
      </c>
      <c r="K111" s="4">
        <v>44775</v>
      </c>
      <c r="L111" s="2"/>
      <c r="M111" s="2" t="s">
        <v>371</v>
      </c>
      <c r="N111" s="2" t="s">
        <v>21</v>
      </c>
      <c r="O111" s="2" t="str">
        <f t="shared" si="1"/>
        <v>1-3</v>
      </c>
    </row>
    <row r="112" spans="1:15">
      <c r="A112" s="2" t="s">
        <v>372</v>
      </c>
      <c r="B112" s="2" t="s">
        <v>373</v>
      </c>
      <c r="C112" s="2" t="s">
        <v>374</v>
      </c>
      <c r="D112" s="3">
        <v>103.66077</v>
      </c>
      <c r="E112" s="3">
        <v>1.41407400000001</v>
      </c>
      <c r="F112" s="2">
        <v>1</v>
      </c>
      <c r="G112" s="2" t="s">
        <v>18</v>
      </c>
      <c r="H112" s="2" t="s">
        <v>19</v>
      </c>
      <c r="I112" s="2" t="s">
        <v>81</v>
      </c>
      <c r="J112" s="4">
        <v>44809</v>
      </c>
      <c r="K112" s="4">
        <v>44809</v>
      </c>
      <c r="L112" s="2"/>
      <c r="M112" s="2" t="s">
        <v>375</v>
      </c>
      <c r="N112" s="2" t="s">
        <v>21</v>
      </c>
      <c r="O112" s="2" t="str">
        <f t="shared" si="1"/>
        <v>1-3</v>
      </c>
    </row>
    <row r="113" spans="1:15">
      <c r="A113" s="2" t="s">
        <v>376</v>
      </c>
      <c r="B113" s="2" t="s">
        <v>377</v>
      </c>
      <c r="C113" s="2" t="s">
        <v>38</v>
      </c>
      <c r="D113" s="3">
        <v>103.75113</v>
      </c>
      <c r="E113" s="3">
        <v>1.46787</v>
      </c>
      <c r="F113" s="2">
        <v>1</v>
      </c>
      <c r="G113" s="2" t="s">
        <v>18</v>
      </c>
      <c r="H113" s="2" t="s">
        <v>19</v>
      </c>
      <c r="I113" s="2" t="s">
        <v>25</v>
      </c>
      <c r="J113" s="4">
        <v>46295</v>
      </c>
      <c r="K113" s="4">
        <v>46295</v>
      </c>
      <c r="L113" s="2"/>
      <c r="M113" s="2"/>
      <c r="N113" s="2" t="s">
        <v>21</v>
      </c>
      <c r="O113" s="2" t="str">
        <f t="shared" si="1"/>
        <v>1-3</v>
      </c>
    </row>
    <row r="114" spans="1:15">
      <c r="A114" s="2" t="s">
        <v>378</v>
      </c>
      <c r="B114" s="2" t="s">
        <v>379</v>
      </c>
      <c r="C114" s="2" t="s">
        <v>345</v>
      </c>
      <c r="D114" s="3">
        <v>103.7555</v>
      </c>
      <c r="E114" s="3">
        <v>1.53241</v>
      </c>
      <c r="F114" s="2">
        <v>2</v>
      </c>
      <c r="G114" s="2" t="s">
        <v>18</v>
      </c>
      <c r="H114" s="2" t="s">
        <v>19</v>
      </c>
      <c r="I114" s="2" t="s">
        <v>309</v>
      </c>
      <c r="J114" s="4">
        <v>45668</v>
      </c>
      <c r="K114" s="4">
        <v>45736</v>
      </c>
      <c r="L114" s="2"/>
      <c r="M114" s="2"/>
      <c r="N114" s="2" t="s">
        <v>21</v>
      </c>
      <c r="O114" s="2" t="str">
        <f t="shared" si="1"/>
        <v>1-3</v>
      </c>
    </row>
    <row r="115" spans="1:15">
      <c r="A115" s="2" t="s">
        <v>380</v>
      </c>
      <c r="B115" s="2" t="s">
        <v>381</v>
      </c>
      <c r="C115" s="2" t="s">
        <v>345</v>
      </c>
      <c r="D115" s="3">
        <v>103.741375207901</v>
      </c>
      <c r="E115" s="3">
        <v>1.54085596501295</v>
      </c>
      <c r="F115" s="2">
        <v>1</v>
      </c>
      <c r="G115" s="2" t="s">
        <v>18</v>
      </c>
      <c r="H115" s="2" t="s">
        <v>19</v>
      </c>
      <c r="I115" s="2" t="s">
        <v>382</v>
      </c>
      <c r="J115" s="4">
        <v>45298</v>
      </c>
      <c r="K115" s="4">
        <v>45298</v>
      </c>
      <c r="L115" s="2"/>
      <c r="M115" s="2"/>
      <c r="N115" s="2" t="s">
        <v>21</v>
      </c>
      <c r="O115" s="2" t="str">
        <f t="shared" si="1"/>
        <v>1-3</v>
      </c>
    </row>
    <row r="116" spans="1:15">
      <c r="A116" s="2" t="s">
        <v>383</v>
      </c>
      <c r="B116" s="2" t="s">
        <v>384</v>
      </c>
      <c r="C116" s="2" t="s">
        <v>345</v>
      </c>
      <c r="D116" s="3">
        <v>103.718275204555</v>
      </c>
      <c r="E116" s="3">
        <v>1.5804887</v>
      </c>
      <c r="F116" s="2">
        <v>2</v>
      </c>
      <c r="G116" s="2" t="s">
        <v>18</v>
      </c>
      <c r="H116" s="2" t="s">
        <v>19</v>
      </c>
      <c r="I116" s="2" t="s">
        <v>385</v>
      </c>
      <c r="J116" s="4">
        <v>45298</v>
      </c>
      <c r="K116" s="4">
        <v>45736</v>
      </c>
      <c r="L116" s="2"/>
      <c r="M116" s="2" t="s">
        <v>386</v>
      </c>
      <c r="N116" s="2" t="s">
        <v>21</v>
      </c>
      <c r="O116" s="2" t="str">
        <f t="shared" si="1"/>
        <v>1-3</v>
      </c>
    </row>
    <row r="117" spans="1:15">
      <c r="A117" s="2" t="s">
        <v>387</v>
      </c>
      <c r="B117" s="2" t="s">
        <v>388</v>
      </c>
      <c r="C117" s="2" t="s">
        <v>345</v>
      </c>
      <c r="D117" s="3">
        <v>103.879771828651</v>
      </c>
      <c r="E117" s="3">
        <v>1.58516029538754</v>
      </c>
      <c r="F117" s="2">
        <v>1</v>
      </c>
      <c r="G117" s="2" t="s">
        <v>18</v>
      </c>
      <c r="H117" s="2" t="s">
        <v>19</v>
      </c>
      <c r="I117" s="2" t="s">
        <v>382</v>
      </c>
      <c r="J117" s="4">
        <v>45298</v>
      </c>
      <c r="K117" s="4">
        <v>45298</v>
      </c>
      <c r="L117" s="2"/>
      <c r="M117" s="2"/>
      <c r="N117" s="2" t="s">
        <v>21</v>
      </c>
      <c r="O117" s="2" t="str">
        <f t="shared" si="1"/>
        <v>1-3</v>
      </c>
    </row>
    <row r="118" spans="1:15">
      <c r="A118" s="2" t="s">
        <v>389</v>
      </c>
      <c r="B118" s="2" t="s">
        <v>390</v>
      </c>
      <c r="C118" s="2" t="s">
        <v>345</v>
      </c>
      <c r="D118" s="3">
        <v>103.680172562599</v>
      </c>
      <c r="E118" s="3">
        <v>1.51604363425928</v>
      </c>
      <c r="F118" s="2">
        <v>1</v>
      </c>
      <c r="G118" s="2" t="s">
        <v>18</v>
      </c>
      <c r="H118" s="2" t="s">
        <v>19</v>
      </c>
      <c r="I118" s="2" t="s">
        <v>309</v>
      </c>
      <c r="J118" s="4">
        <v>45736</v>
      </c>
      <c r="K118" s="4">
        <v>45736</v>
      </c>
      <c r="L118" s="2"/>
      <c r="M118" s="2"/>
      <c r="N118" s="2" t="s">
        <v>21</v>
      </c>
      <c r="O118" s="2" t="str">
        <f t="shared" si="1"/>
        <v>1-3</v>
      </c>
    </row>
    <row r="119" spans="1:15">
      <c r="A119" s="2" t="s">
        <v>391</v>
      </c>
      <c r="B119" s="2" t="s">
        <v>392</v>
      </c>
      <c r="C119" s="2" t="s">
        <v>393</v>
      </c>
      <c r="D119" s="3">
        <v>103.8806315</v>
      </c>
      <c r="E119" s="3">
        <v>1.5843974</v>
      </c>
      <c r="F119" s="2">
        <v>1</v>
      </c>
      <c r="G119" s="2" t="s">
        <v>18</v>
      </c>
      <c r="H119" s="2" t="s">
        <v>19</v>
      </c>
      <c r="I119" s="2" t="s">
        <v>81</v>
      </c>
      <c r="J119" s="4">
        <v>44564</v>
      </c>
      <c r="K119" s="4">
        <v>44564</v>
      </c>
      <c r="L119" s="2"/>
      <c r="M119" s="2"/>
      <c r="N119" s="2" t="s">
        <v>21</v>
      </c>
      <c r="O119" s="2" t="str">
        <f t="shared" si="1"/>
        <v>1-3</v>
      </c>
    </row>
    <row r="120" spans="1:15">
      <c r="A120" s="2" t="s">
        <v>394</v>
      </c>
      <c r="B120" s="2" t="s">
        <v>395</v>
      </c>
      <c r="C120" s="2" t="s">
        <v>35</v>
      </c>
      <c r="D120" s="3">
        <v>103.7595973</v>
      </c>
      <c r="E120" s="3">
        <v>1.482543</v>
      </c>
      <c r="F120" s="2">
        <v>1</v>
      </c>
      <c r="G120" s="2" t="s">
        <v>18</v>
      </c>
      <c r="H120" s="2" t="s">
        <v>19</v>
      </c>
      <c r="I120" s="2" t="s">
        <v>31</v>
      </c>
      <c r="J120" s="4">
        <v>45266</v>
      </c>
      <c r="K120" s="4">
        <v>45266</v>
      </c>
      <c r="L120" s="2"/>
      <c r="M120" s="2"/>
      <c r="N120" s="2" t="s">
        <v>21</v>
      </c>
      <c r="O120" s="2" t="str">
        <f t="shared" si="1"/>
        <v>1-3</v>
      </c>
    </row>
    <row r="121" spans="1:15">
      <c r="A121" s="2" t="s">
        <v>396</v>
      </c>
      <c r="B121" s="2" t="s">
        <v>397</v>
      </c>
      <c r="C121" s="2" t="s">
        <v>35</v>
      </c>
      <c r="D121" s="3">
        <v>103.8206509</v>
      </c>
      <c r="E121" s="3">
        <v>1.5212749</v>
      </c>
      <c r="F121" s="2">
        <v>1</v>
      </c>
      <c r="G121" s="2" t="s">
        <v>18</v>
      </c>
      <c r="H121" s="2" t="s">
        <v>19</v>
      </c>
      <c r="I121" s="2" t="s">
        <v>31</v>
      </c>
      <c r="J121" s="4">
        <v>45261</v>
      </c>
      <c r="K121" s="4">
        <v>45261</v>
      </c>
      <c r="L121" s="2"/>
      <c r="M121" s="2" t="s">
        <v>398</v>
      </c>
      <c r="N121" s="2" t="s">
        <v>21</v>
      </c>
      <c r="O121" s="2" t="str">
        <f t="shared" si="1"/>
        <v>1-3</v>
      </c>
    </row>
    <row r="122" ht="28" spans="1:15">
      <c r="A122" s="2" t="s">
        <v>399</v>
      </c>
      <c r="B122" s="2" t="s">
        <v>400</v>
      </c>
      <c r="C122" s="2" t="s">
        <v>401</v>
      </c>
      <c r="D122" s="3">
        <v>103.64612</v>
      </c>
      <c r="E122" s="3">
        <v>1.5035</v>
      </c>
      <c r="F122" s="2">
        <v>2</v>
      </c>
      <c r="G122" s="2" t="s">
        <v>18</v>
      </c>
      <c r="H122" s="2" t="s">
        <v>19</v>
      </c>
      <c r="I122" s="2" t="s">
        <v>402</v>
      </c>
      <c r="J122" s="4">
        <v>43395</v>
      </c>
      <c r="K122" s="4">
        <v>44017</v>
      </c>
      <c r="L122" s="2" t="s">
        <v>403</v>
      </c>
      <c r="M122" s="2"/>
      <c r="N122" s="2" t="s">
        <v>21</v>
      </c>
      <c r="O122" s="2" t="str">
        <f t="shared" si="1"/>
        <v>1-3</v>
      </c>
    </row>
    <row r="123" spans="1:15">
      <c r="A123" s="2" t="s">
        <v>404</v>
      </c>
      <c r="B123" s="2" t="s">
        <v>405</v>
      </c>
      <c r="C123" s="2" t="s">
        <v>406</v>
      </c>
      <c r="D123" s="3">
        <v>103.5923</v>
      </c>
      <c r="E123" s="3">
        <v>1.4417</v>
      </c>
      <c r="F123" s="2">
        <v>1</v>
      </c>
      <c r="G123" s="2" t="s">
        <v>18</v>
      </c>
      <c r="H123" s="2" t="s">
        <v>19</v>
      </c>
      <c r="I123" s="2" t="s">
        <v>143</v>
      </c>
      <c r="J123" s="4">
        <v>44002</v>
      </c>
      <c r="K123" s="4">
        <v>44002</v>
      </c>
      <c r="L123" s="2"/>
      <c r="M123" s="2"/>
      <c r="N123" s="2" t="s">
        <v>21</v>
      </c>
      <c r="O123" s="2" t="str">
        <f t="shared" si="1"/>
        <v>1-3</v>
      </c>
    </row>
    <row r="124" spans="1:15">
      <c r="A124" s="2" t="s">
        <v>407</v>
      </c>
      <c r="B124" s="2" t="s">
        <v>408</v>
      </c>
      <c r="C124" s="2" t="s">
        <v>24</v>
      </c>
      <c r="D124" s="3">
        <v>103.747256167436</v>
      </c>
      <c r="E124" s="3">
        <v>1.5406298</v>
      </c>
      <c r="F124" s="2">
        <v>1</v>
      </c>
      <c r="G124" s="2" t="s">
        <v>18</v>
      </c>
      <c r="H124" s="2" t="s">
        <v>19</v>
      </c>
      <c r="I124" s="2" t="s">
        <v>309</v>
      </c>
      <c r="J124" s="4">
        <v>45736</v>
      </c>
      <c r="K124" s="4">
        <v>45736</v>
      </c>
      <c r="L124" s="2"/>
      <c r="M124" s="2" t="s">
        <v>409</v>
      </c>
      <c r="N124" s="2" t="s">
        <v>21</v>
      </c>
      <c r="O124" s="2" t="str">
        <f t="shared" si="1"/>
        <v>1-3</v>
      </c>
    </row>
    <row r="125" spans="1:15">
      <c r="A125" s="2" t="s">
        <v>410</v>
      </c>
      <c r="B125" s="2" t="s">
        <v>411</v>
      </c>
      <c r="C125" s="2" t="s">
        <v>276</v>
      </c>
      <c r="D125" s="3">
        <v>103.7698568</v>
      </c>
      <c r="E125" s="3">
        <v>1.5305637</v>
      </c>
      <c r="F125" s="2">
        <v>1</v>
      </c>
      <c r="G125" s="2" t="s">
        <v>18</v>
      </c>
      <c r="H125" s="2" t="s">
        <v>19</v>
      </c>
      <c r="I125" s="2" t="s">
        <v>184</v>
      </c>
      <c r="J125" s="4">
        <v>43513</v>
      </c>
      <c r="K125" s="4">
        <v>43513</v>
      </c>
      <c r="L125" s="2"/>
      <c r="M125" s="2" t="s">
        <v>412</v>
      </c>
      <c r="N125" s="2" t="s">
        <v>21</v>
      </c>
      <c r="O125" s="2" t="str">
        <f t="shared" si="1"/>
        <v>1-3</v>
      </c>
    </row>
    <row r="126" spans="1:15">
      <c r="A126" s="2" t="s">
        <v>413</v>
      </c>
      <c r="B126" s="2" t="s">
        <v>414</v>
      </c>
      <c r="C126" s="2" t="s">
        <v>415</v>
      </c>
      <c r="D126" s="3">
        <v>103.8024</v>
      </c>
      <c r="E126" s="3">
        <v>1.5428</v>
      </c>
      <c r="F126" s="2">
        <v>1</v>
      </c>
      <c r="G126" s="2" t="s">
        <v>18</v>
      </c>
      <c r="H126" s="2" t="s">
        <v>19</v>
      </c>
      <c r="I126" s="2" t="s">
        <v>292</v>
      </c>
      <c r="J126" s="4">
        <v>44469</v>
      </c>
      <c r="K126" s="4">
        <v>44469</v>
      </c>
      <c r="L126" s="2"/>
      <c r="M126" s="2"/>
      <c r="N126" s="2" t="s">
        <v>21</v>
      </c>
      <c r="O126" s="2" t="str">
        <f t="shared" si="1"/>
        <v>1-3</v>
      </c>
    </row>
    <row r="127" ht="28" spans="1:15">
      <c r="A127" s="2" t="s">
        <v>416</v>
      </c>
      <c r="B127" s="2" t="s">
        <v>417</v>
      </c>
      <c r="C127" s="2" t="s">
        <v>418</v>
      </c>
      <c r="D127" s="3">
        <v>103.736444</v>
      </c>
      <c r="E127" s="3">
        <v>1.473837</v>
      </c>
      <c r="F127" s="2">
        <v>2</v>
      </c>
      <c r="G127" s="2" t="s">
        <v>18</v>
      </c>
      <c r="H127" s="2" t="s">
        <v>19</v>
      </c>
      <c r="I127" s="2" t="s">
        <v>419</v>
      </c>
      <c r="J127" s="4">
        <v>44469</v>
      </c>
      <c r="K127" s="4">
        <v>46295</v>
      </c>
      <c r="L127" s="2"/>
      <c r="M127" s="2"/>
      <c r="N127" s="2" t="s">
        <v>21</v>
      </c>
      <c r="O127" s="2" t="str">
        <f t="shared" si="1"/>
        <v>1-3</v>
      </c>
    </row>
    <row r="128" spans="1:15">
      <c r="A128" s="2" t="s">
        <v>420</v>
      </c>
      <c r="B128" s="2" t="s">
        <v>421</v>
      </c>
      <c r="C128" s="2" t="s">
        <v>415</v>
      </c>
      <c r="D128" s="3">
        <v>103.8948094913</v>
      </c>
      <c r="E128" s="3">
        <v>1.4696218674</v>
      </c>
      <c r="F128" s="2">
        <v>1</v>
      </c>
      <c r="G128" s="2" t="s">
        <v>18</v>
      </c>
      <c r="H128" s="2" t="s">
        <v>19</v>
      </c>
      <c r="I128" s="2" t="s">
        <v>292</v>
      </c>
      <c r="J128" s="4">
        <v>44389</v>
      </c>
      <c r="K128" s="4">
        <v>44389</v>
      </c>
      <c r="L128" s="2" t="s">
        <v>422</v>
      </c>
      <c r="M128" s="2"/>
      <c r="N128" s="2" t="s">
        <v>21</v>
      </c>
      <c r="O128" s="2" t="str">
        <f t="shared" si="1"/>
        <v>1-3</v>
      </c>
    </row>
    <row r="129" ht="28" spans="1:15">
      <c r="A129" s="2" t="s">
        <v>423</v>
      </c>
      <c r="B129" s="2" t="s">
        <v>424</v>
      </c>
      <c r="C129" s="2" t="s">
        <v>425</v>
      </c>
      <c r="D129" s="3">
        <v>103.7613894</v>
      </c>
      <c r="E129" s="3">
        <v>1.49019649999999</v>
      </c>
      <c r="F129" s="2">
        <v>2</v>
      </c>
      <c r="G129" s="2" t="s">
        <v>18</v>
      </c>
      <c r="H129" s="2" t="s">
        <v>19</v>
      </c>
      <c r="I129" s="2" t="s">
        <v>101</v>
      </c>
      <c r="J129" s="4">
        <v>44872</v>
      </c>
      <c r="K129" s="4">
        <v>45266</v>
      </c>
      <c r="L129" s="2"/>
      <c r="M129" s="2" t="s">
        <v>426</v>
      </c>
      <c r="N129" s="2" t="s">
        <v>21</v>
      </c>
      <c r="O129" s="2" t="str">
        <f t="shared" si="1"/>
        <v>1-3</v>
      </c>
    </row>
    <row r="130" ht="28" spans="1:15">
      <c r="A130" s="2" t="s">
        <v>427</v>
      </c>
      <c r="B130" s="2" t="s">
        <v>428</v>
      </c>
      <c r="C130" s="2" t="s">
        <v>429</v>
      </c>
      <c r="D130" s="3">
        <v>103.7395647</v>
      </c>
      <c r="E130" s="3">
        <v>1.47655640000002</v>
      </c>
      <c r="F130" s="2">
        <v>2</v>
      </c>
      <c r="G130" s="2" t="s">
        <v>18</v>
      </c>
      <c r="H130" s="2" t="s">
        <v>19</v>
      </c>
      <c r="I130" s="2" t="s">
        <v>430</v>
      </c>
      <c r="J130" s="4">
        <v>45266</v>
      </c>
      <c r="K130" s="4">
        <v>46003</v>
      </c>
      <c r="L130" s="2"/>
      <c r="M130" s="2" t="s">
        <v>431</v>
      </c>
      <c r="N130" s="2" t="s">
        <v>21</v>
      </c>
      <c r="O130" s="2" t="str">
        <f t="shared" ref="O130:O143" si="2">IF(F130&lt;=3,"1-3",IF(F130&lt;=6,"4-6","&gt;=7"))</f>
        <v>1-3</v>
      </c>
    </row>
    <row r="131" spans="1:15">
      <c r="A131" s="2" t="s">
        <v>432</v>
      </c>
      <c r="B131" s="2" t="s">
        <v>433</v>
      </c>
      <c r="C131" s="2" t="s">
        <v>434</v>
      </c>
      <c r="D131" s="3">
        <v>103.60088</v>
      </c>
      <c r="E131" s="3">
        <v>1.48009</v>
      </c>
      <c r="F131" s="2">
        <v>1</v>
      </c>
      <c r="G131" s="2" t="s">
        <v>18</v>
      </c>
      <c r="H131" s="2" t="s">
        <v>19</v>
      </c>
      <c r="I131" s="2" t="s">
        <v>184</v>
      </c>
      <c r="J131" s="4">
        <v>43760</v>
      </c>
      <c r="K131" s="4">
        <v>43760</v>
      </c>
      <c r="L131" s="2" t="s">
        <v>435</v>
      </c>
      <c r="M131" s="2"/>
      <c r="N131" s="2" t="s">
        <v>21</v>
      </c>
      <c r="O131" s="2" t="str">
        <f t="shared" si="2"/>
        <v>1-3</v>
      </c>
    </row>
    <row r="132" spans="1:15">
      <c r="A132" s="2" t="s">
        <v>436</v>
      </c>
      <c r="B132" s="2" t="s">
        <v>437</v>
      </c>
      <c r="C132" s="2" t="s">
        <v>276</v>
      </c>
      <c r="D132" s="3">
        <v>103.58949</v>
      </c>
      <c r="E132" s="3">
        <v>1.47979</v>
      </c>
      <c r="F132" s="2">
        <v>1</v>
      </c>
      <c r="G132" s="2" t="s">
        <v>18</v>
      </c>
      <c r="H132" s="2" t="s">
        <v>19</v>
      </c>
      <c r="I132" s="2" t="s">
        <v>184</v>
      </c>
      <c r="J132" s="4">
        <v>43760</v>
      </c>
      <c r="K132" s="4">
        <v>43760</v>
      </c>
      <c r="L132" s="2"/>
      <c r="M132" s="2"/>
      <c r="N132" s="2" t="s">
        <v>21</v>
      </c>
      <c r="O132" s="2" t="str">
        <f t="shared" si="2"/>
        <v>1-3</v>
      </c>
    </row>
    <row r="133" spans="1:15">
      <c r="A133" s="2" t="s">
        <v>438</v>
      </c>
      <c r="B133" s="2" t="s">
        <v>439</v>
      </c>
      <c r="C133" s="2" t="s">
        <v>415</v>
      </c>
      <c r="D133" s="3">
        <v>103.93887</v>
      </c>
      <c r="E133" s="3">
        <v>1.47292</v>
      </c>
      <c r="F133" s="2">
        <v>1</v>
      </c>
      <c r="G133" s="2" t="s">
        <v>18</v>
      </c>
      <c r="H133" s="2" t="s">
        <v>19</v>
      </c>
      <c r="I133" s="2" t="s">
        <v>292</v>
      </c>
      <c r="J133" s="4">
        <v>44441</v>
      </c>
      <c r="K133" s="4">
        <v>44441</v>
      </c>
      <c r="L133" s="2"/>
      <c r="M133" s="2"/>
      <c r="N133" s="2" t="s">
        <v>21</v>
      </c>
      <c r="O133" s="2" t="str">
        <f t="shared" si="2"/>
        <v>1-3</v>
      </c>
    </row>
    <row r="134" spans="1:15">
      <c r="A134" s="2" t="s">
        <v>440</v>
      </c>
      <c r="B134" s="2" t="s">
        <v>441</v>
      </c>
      <c r="C134" s="2" t="s">
        <v>24</v>
      </c>
      <c r="D134" s="3">
        <v>103.7738869</v>
      </c>
      <c r="E134" s="3">
        <v>1.478838</v>
      </c>
      <c r="F134" s="2">
        <v>1</v>
      </c>
      <c r="G134" s="2" t="s">
        <v>18</v>
      </c>
      <c r="H134" s="2" t="s">
        <v>19</v>
      </c>
      <c r="I134" s="2" t="s">
        <v>309</v>
      </c>
      <c r="J134" s="4">
        <v>46003</v>
      </c>
      <c r="K134" s="4">
        <v>46003</v>
      </c>
      <c r="L134" s="2"/>
      <c r="M134" s="2"/>
      <c r="N134" s="2" t="s">
        <v>21</v>
      </c>
      <c r="O134" s="2" t="str">
        <f t="shared" si="2"/>
        <v>1-3</v>
      </c>
    </row>
    <row r="135" spans="1:15">
      <c r="A135" s="2" t="s">
        <v>442</v>
      </c>
      <c r="B135" s="2" t="s">
        <v>443</v>
      </c>
      <c r="C135" s="2" t="s">
        <v>24</v>
      </c>
      <c r="D135" s="3">
        <v>103.6827079</v>
      </c>
      <c r="E135" s="3">
        <v>1.481217</v>
      </c>
      <c r="F135" s="2">
        <v>1</v>
      </c>
      <c r="G135" s="2" t="s">
        <v>18</v>
      </c>
      <c r="H135" s="2" t="s">
        <v>19</v>
      </c>
      <c r="I135" s="2" t="s">
        <v>25</v>
      </c>
      <c r="J135" s="4">
        <v>46295</v>
      </c>
      <c r="K135" s="4">
        <v>46295</v>
      </c>
      <c r="L135" s="2"/>
      <c r="M135" s="2"/>
      <c r="N135" s="2" t="s">
        <v>21</v>
      </c>
      <c r="O135" s="2" t="str">
        <f t="shared" si="2"/>
        <v>1-3</v>
      </c>
    </row>
    <row r="136" spans="1:15">
      <c r="A136" s="2" t="s">
        <v>444</v>
      </c>
      <c r="B136" s="2" t="s">
        <v>445</v>
      </c>
      <c r="C136" s="2" t="s">
        <v>415</v>
      </c>
      <c r="D136" s="3">
        <v>103.8788</v>
      </c>
      <c r="E136" s="3">
        <v>1.4959</v>
      </c>
      <c r="F136" s="2">
        <v>1</v>
      </c>
      <c r="G136" s="2" t="s">
        <v>18</v>
      </c>
      <c r="H136" s="2" t="s">
        <v>19</v>
      </c>
      <c r="I136" s="2" t="s">
        <v>292</v>
      </c>
      <c r="J136" s="4">
        <v>44389</v>
      </c>
      <c r="K136" s="4">
        <v>44389</v>
      </c>
      <c r="L136" s="2"/>
      <c r="M136" s="2"/>
      <c r="N136" s="2" t="s">
        <v>21</v>
      </c>
      <c r="O136" s="2" t="str">
        <f t="shared" si="2"/>
        <v>1-3</v>
      </c>
    </row>
    <row r="137" ht="28" spans="1:15">
      <c r="A137" s="2" t="s">
        <v>446</v>
      </c>
      <c r="B137" s="2" t="s">
        <v>447</v>
      </c>
      <c r="C137" s="2" t="s">
        <v>448</v>
      </c>
      <c r="D137" s="3">
        <v>103.7592769</v>
      </c>
      <c r="E137" s="3">
        <v>1.56898939999998</v>
      </c>
      <c r="F137" s="2">
        <v>2</v>
      </c>
      <c r="G137" s="2" t="s">
        <v>18</v>
      </c>
      <c r="H137" s="2" t="s">
        <v>19</v>
      </c>
      <c r="I137" s="2" t="s">
        <v>195</v>
      </c>
      <c r="J137" s="4">
        <v>43760</v>
      </c>
      <c r="K137" s="4">
        <v>45302</v>
      </c>
      <c r="L137" s="2"/>
      <c r="M137" s="2" t="s">
        <v>449</v>
      </c>
      <c r="N137" s="2" t="s">
        <v>21</v>
      </c>
      <c r="O137" s="2" t="str">
        <f t="shared" si="2"/>
        <v>1-3</v>
      </c>
    </row>
    <row r="138" spans="1:15">
      <c r="A138" s="2" t="s">
        <v>450</v>
      </c>
      <c r="B138" s="2" t="s">
        <v>451</v>
      </c>
      <c r="C138" s="2" t="s">
        <v>415</v>
      </c>
      <c r="D138" s="3">
        <v>103.6448842</v>
      </c>
      <c r="E138" s="3">
        <v>1.510224</v>
      </c>
      <c r="F138" s="2">
        <v>1</v>
      </c>
      <c r="G138" s="2" t="s">
        <v>18</v>
      </c>
      <c r="H138" s="2" t="s">
        <v>19</v>
      </c>
      <c r="I138" s="2" t="s">
        <v>292</v>
      </c>
      <c r="J138" s="4">
        <v>44469</v>
      </c>
      <c r="K138" s="4">
        <v>44469</v>
      </c>
      <c r="L138" s="2"/>
      <c r="M138" s="2"/>
      <c r="N138" s="2" t="s">
        <v>21</v>
      </c>
      <c r="O138" s="2" t="str">
        <f t="shared" si="2"/>
        <v>1-3</v>
      </c>
    </row>
    <row r="139" spans="1:15">
      <c r="A139" s="2" t="s">
        <v>452</v>
      </c>
      <c r="B139" s="2" t="s">
        <v>453</v>
      </c>
      <c r="C139" s="2" t="s">
        <v>35</v>
      </c>
      <c r="D139" s="3">
        <v>103.72822</v>
      </c>
      <c r="E139" s="3">
        <v>1.51083</v>
      </c>
      <c r="F139" s="2">
        <v>1</v>
      </c>
      <c r="G139" s="2" t="s">
        <v>18</v>
      </c>
      <c r="H139" s="2" t="s">
        <v>19</v>
      </c>
      <c r="I139" s="2" t="s">
        <v>31</v>
      </c>
      <c r="J139" s="4">
        <v>44971</v>
      </c>
      <c r="K139" s="4">
        <v>44971</v>
      </c>
      <c r="L139" s="2"/>
      <c r="M139" s="2"/>
      <c r="N139" s="2" t="s">
        <v>21</v>
      </c>
      <c r="O139" s="2" t="str">
        <f t="shared" si="2"/>
        <v>1-3</v>
      </c>
    </row>
    <row r="140" spans="1:15">
      <c r="A140" s="2" t="s">
        <v>454</v>
      </c>
      <c r="B140" s="2" t="s">
        <v>455</v>
      </c>
      <c r="C140" s="2" t="s">
        <v>24</v>
      </c>
      <c r="D140" s="3">
        <v>103.6818886</v>
      </c>
      <c r="E140" s="3">
        <v>1.51047560000001</v>
      </c>
      <c r="F140" s="2">
        <v>1</v>
      </c>
      <c r="G140" s="2" t="s">
        <v>18</v>
      </c>
      <c r="H140" s="2" t="s">
        <v>19</v>
      </c>
      <c r="I140" s="2" t="s">
        <v>309</v>
      </c>
      <c r="J140" s="4">
        <v>45736</v>
      </c>
      <c r="K140" s="4">
        <v>45736</v>
      </c>
      <c r="L140" s="2"/>
      <c r="M140" s="2" t="s">
        <v>456</v>
      </c>
      <c r="N140" s="2" t="s">
        <v>21</v>
      </c>
      <c r="O140" s="2" t="str">
        <f t="shared" si="2"/>
        <v>1-3</v>
      </c>
    </row>
    <row r="141" ht="28" spans="1:15">
      <c r="A141" s="2" t="s">
        <v>457</v>
      </c>
      <c r="B141" s="2" t="s">
        <v>458</v>
      </c>
      <c r="C141" s="2" t="s">
        <v>459</v>
      </c>
      <c r="D141" s="3">
        <v>103.6859554</v>
      </c>
      <c r="E141" s="3">
        <v>1.50251799999999</v>
      </c>
      <c r="F141" s="2">
        <v>2</v>
      </c>
      <c r="G141" s="2" t="s">
        <v>18</v>
      </c>
      <c r="H141" s="2" t="s">
        <v>19</v>
      </c>
      <c r="I141" s="2" t="s">
        <v>460</v>
      </c>
      <c r="J141" s="4">
        <v>44156</v>
      </c>
      <c r="K141" s="4">
        <v>45736</v>
      </c>
      <c r="L141" s="2"/>
      <c r="M141" s="2" t="s">
        <v>461</v>
      </c>
      <c r="N141" s="2" t="s">
        <v>21</v>
      </c>
      <c r="O141" s="2" t="str">
        <f t="shared" si="2"/>
        <v>1-3</v>
      </c>
    </row>
    <row r="142" ht="28" spans="1:15">
      <c r="A142" s="2" t="s">
        <v>462</v>
      </c>
      <c r="B142" s="2" t="s">
        <v>463</v>
      </c>
      <c r="C142" s="2" t="s">
        <v>429</v>
      </c>
      <c r="D142" s="3">
        <v>103.7359187</v>
      </c>
      <c r="E142" s="3">
        <v>1.4794199</v>
      </c>
      <c r="F142" s="2">
        <v>2</v>
      </c>
      <c r="G142" s="2" t="s">
        <v>18</v>
      </c>
      <c r="H142" s="2" t="s">
        <v>19</v>
      </c>
      <c r="I142" s="2" t="s">
        <v>430</v>
      </c>
      <c r="J142" s="4">
        <v>45266</v>
      </c>
      <c r="K142" s="4">
        <v>46003</v>
      </c>
      <c r="L142" s="2"/>
      <c r="M142" s="2"/>
      <c r="N142" s="2" t="s">
        <v>21</v>
      </c>
      <c r="O142" s="2" t="str">
        <f t="shared" si="2"/>
        <v>1-3</v>
      </c>
    </row>
    <row r="143" spans="1:15">
      <c r="A143" s="2" t="s">
        <v>464</v>
      </c>
      <c r="B143" s="2" t="s">
        <v>465</v>
      </c>
      <c r="C143" s="2" t="s">
        <v>38</v>
      </c>
      <c r="D143" s="3">
        <v>103.75878</v>
      </c>
      <c r="E143" s="3">
        <v>1.46036</v>
      </c>
      <c r="F143" s="2">
        <v>1</v>
      </c>
      <c r="G143" s="2" t="s">
        <v>18</v>
      </c>
      <c r="H143" s="2" t="s">
        <v>19</v>
      </c>
      <c r="I143" s="2" t="s">
        <v>25</v>
      </c>
      <c r="J143" s="4">
        <v>46295</v>
      </c>
      <c r="K143" s="4">
        <v>46295</v>
      </c>
      <c r="L143" s="2"/>
      <c r="M143" s="2"/>
      <c r="N143" s="2" t="s">
        <v>21</v>
      </c>
      <c r="O143" s="2" t="str">
        <f t="shared" si="2"/>
        <v>1-3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" outlineLevelRow="3" outlineLevelCol="3"/>
  <cols>
    <col min="1" max="1" width="18" customWidth="1"/>
    <col min="2" max="2" width="20" customWidth="1"/>
    <col min="3" max="3" width="22" customWidth="1"/>
    <col min="4" max="4" width="44" customWidth="1"/>
  </cols>
  <sheetData>
    <row r="1" spans="1:4">
      <c r="A1" s="1" t="s">
        <v>6</v>
      </c>
      <c r="B1" s="1" t="s">
        <v>7</v>
      </c>
      <c r="C1" s="1" t="s">
        <v>466</v>
      </c>
      <c r="D1" s="1" t="s">
        <v>467</v>
      </c>
    </row>
    <row r="2" spans="1:4">
      <c r="A2" t="s">
        <v>18</v>
      </c>
      <c r="B2" t="s">
        <v>19</v>
      </c>
      <c r="C2">
        <v>129</v>
      </c>
      <c r="D2" t="s">
        <v>468</v>
      </c>
    </row>
    <row r="3" spans="1:4">
      <c r="A3" t="s">
        <v>87</v>
      </c>
      <c r="B3" t="s">
        <v>88</v>
      </c>
      <c r="C3">
        <v>7</v>
      </c>
      <c r="D3" t="s">
        <v>469</v>
      </c>
    </row>
    <row r="4" spans="1:4">
      <c r="A4" t="s">
        <v>211</v>
      </c>
      <c r="B4" t="s">
        <v>212</v>
      </c>
      <c r="C4">
        <v>6</v>
      </c>
      <c r="D4" t="s">
        <v>470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" outlineLevelRow="6" outlineLevelCol="2"/>
  <cols>
    <col min="1" max="1" width="46" customWidth="1"/>
    <col min="2" max="2" width="20" customWidth="1"/>
    <col min="3" max="3" width="12" customWidth="1"/>
  </cols>
  <sheetData>
    <row r="1" spans="1:3">
      <c r="A1" s="1" t="s">
        <v>471</v>
      </c>
      <c r="B1" s="1" t="s">
        <v>472</v>
      </c>
      <c r="C1" s="1" t="s">
        <v>473</v>
      </c>
    </row>
    <row r="2" spans="1:3">
      <c r="A2" t="s">
        <v>474</v>
      </c>
      <c r="B2">
        <v>142</v>
      </c>
      <c r="C2" t="s">
        <v>475</v>
      </c>
    </row>
    <row r="3" spans="1:3">
      <c r="A3" t="s">
        <v>476</v>
      </c>
      <c r="B3">
        <v>0</v>
      </c>
      <c r="C3" t="s">
        <v>475</v>
      </c>
    </row>
    <row r="4" spans="1:3">
      <c r="A4" t="s">
        <v>477</v>
      </c>
      <c r="B4">
        <v>0</v>
      </c>
      <c r="C4" t="s">
        <v>475</v>
      </c>
    </row>
    <row r="5" spans="1:3">
      <c r="A5" t="s">
        <v>478</v>
      </c>
      <c r="B5">
        <v>0</v>
      </c>
      <c r="C5" t="s">
        <v>475</v>
      </c>
    </row>
    <row r="6" spans="1:3">
      <c r="A6" t="s">
        <v>479</v>
      </c>
      <c r="B6">
        <v>45</v>
      </c>
      <c r="C6" t="s">
        <v>475</v>
      </c>
    </row>
    <row r="7" spans="1:3">
      <c r="A7" t="s">
        <v>480</v>
      </c>
      <c r="B7">
        <v>14</v>
      </c>
      <c r="C7" t="s">
        <v>475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01_GIS_Plot_Data</vt:lpstr>
      <vt:lpstr>02_Frequency_Summary</vt:lpstr>
      <vt:lpstr>03_Plot_QA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</cp:lastModifiedBy>
  <dcterms:created xsi:type="dcterms:W3CDTF">2026-10-06T15:35:01Z</dcterms:created>
  <dcterms:modified xsi:type="dcterms:W3CDTF">2026-10-06T15:38:04Z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B353FF9EB991497FAEB98CD02E65092D</vt:lpwstr>
  </property>
  <property fmtid="{D5CDD505-2E9C-101B-9397-08002B2CF9AE}" pid="3" name="KSOProductBuildVer">
    <vt:lpwstr>2052-11.1.0.11875</vt:lpwstr>
  </property>
</Properties>
</file>