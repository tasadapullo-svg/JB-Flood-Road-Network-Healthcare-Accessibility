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883efe6bf44ffa" /></Relationships>
</file>

<file path=xl/workbook.xml><?xml version="1.0" encoding="utf-8"?>
<x:workbook xmlns:x="http://schemas.openxmlformats.org/spreadsheetml/2006/main">
  <x:sheets>
    <x:sheet xmlns:r="http://schemas.openxmlformats.org/officeDocument/2006/relationships" name="00_README" sheetId="1" r:id="Rcf14b20e2ccf49e0"/>
    <x:sheet xmlns:r="http://schemas.openxmlformats.org/officeDocument/2006/relationships" name="01_2021_Event_Master" sheetId="2" r:id="R13f3cd547d90438e"/>
    <x:sheet xmlns:r="http://schemas.openxmlformats.org/officeDocument/2006/relationships" name="02_2021_Source_Register" sheetId="3" r:id="R23cffeacf2954e2e"/>
    <x:sheet xmlns:r="http://schemas.openxmlformats.org/officeDocument/2006/relationships" name="03_2021_Spatial_Resolution" sheetId="4" r:id="R28e030f04a3d4a05"/>
    <x:sheet xmlns:r="http://schemas.openxmlformats.org/officeDocument/2006/relationships" name="04_2021_Open_Objects" sheetId="5" r:id="Rcd30ed703fea4aea"/>
    <x:sheet xmlns:r="http://schemas.openxmlformats.org/officeDocument/2006/relationships" name="05_Carry_Forward_R012" sheetId="6" r:id="R22baf6b3b0ae4f6f"/>
    <x:sheet xmlns:r="http://schemas.openxmlformats.org/officeDocument/2006/relationships" name="06_QA_Event_Spatial" sheetId="7" r:id="Rdcfd451d241e40eb"/>
    <x:sheet xmlns:r="http://schemas.openxmlformats.org/officeDocument/2006/relationships" name="07_2021_Polygon_Master" sheetId="8" r:id="Rc33de21a7f2e4b6b"/>
    <x:sheet xmlns:r="http://schemas.openxmlformats.org/officeDocument/2006/relationships" name="08_QA_2021_Closure" sheetId="9" r:id="Rb7c03715bde44d1d"/>
    <x:sheet xmlns:r="http://schemas.openxmlformats.org/officeDocument/2006/relationships" name="09_2022_Event_Master" sheetId="10" r:id="Rfd463ee727714769"/>
    <x:sheet xmlns:r="http://schemas.openxmlformats.org/officeDocument/2006/relationships" name="10_2022_Episodes" sheetId="11" r:id="Red9867c44fd04219"/>
    <x:sheet xmlns:r="http://schemas.openxmlformats.org/officeDocument/2006/relationships" name="11_2022_Source_Register" sheetId="12" r:id="R6aca9c8215d54498"/>
    <x:sheet xmlns:r="http://schemas.openxmlformats.org/officeDocument/2006/relationships" name="12_2022_Spatial_Resolution" sheetId="13" r:id="Rebfa5e98cbbe4db2"/>
    <x:sheet xmlns:r="http://schemas.openxmlformats.org/officeDocument/2006/relationships" name="13_2022_Open_Objects" sheetId="14" r:id="Rc0ef09477d7e4131"/>
    <x:sheet xmlns:r="http://schemas.openxmlformats.org/officeDocument/2006/relationships" name="14_QA_2022_Event_Spatial" sheetId="15" r:id="R25d24251dfb3492f"/>
    <x:sheet xmlns:r="http://schemas.openxmlformats.org/officeDocument/2006/relationships" name="15_2022_Polygon_Reuse" sheetId="16" r:id="R9f86425e241342d0"/>
    <x:sheet xmlns:r="http://schemas.openxmlformats.org/officeDocument/2006/relationships" name="16_QA_2022_Closure" sheetId="17" r:id="R9f33b11b87dc4a28"/>
    <x:sheet xmlns:r="http://schemas.openxmlformats.org/officeDocument/2006/relationships" name="17_2023_Event_Master" sheetId="18" r:id="Rd85e0900589544bd"/>
    <x:sheet xmlns:r="http://schemas.openxmlformats.org/officeDocument/2006/relationships" name="18_2023_Episodes" sheetId="19" r:id="R29be520907994fb5"/>
    <x:sheet xmlns:r="http://schemas.openxmlformats.org/officeDocument/2006/relationships" name="19_2023_Source_Register" sheetId="20" r:id="R47f289d614654356"/>
    <x:sheet xmlns:r="http://schemas.openxmlformats.org/officeDocument/2006/relationships" name="20_2023_Spatial_Resolution" sheetId="21" r:id="R7f5bd1ebebca42e4"/>
    <x:sheet xmlns:r="http://schemas.openxmlformats.org/officeDocument/2006/relationships" name="21_2023_Unresolved_Candidates" sheetId="22" r:id="R9b86983c3448499b"/>
    <x:sheet xmlns:r="http://schemas.openxmlformats.org/officeDocument/2006/relationships" name="22_2023_Open_Objects" sheetId="23" r:id="R6c852f4adc1b4b8e"/>
    <x:sheet xmlns:r="http://schemas.openxmlformats.org/officeDocument/2006/relationships" name="23_QA_2023_Event_Spatial" sheetId="24" r:id="R6de804cd5c7b4d8e"/>
    <x:sheet xmlns:r="http://schemas.openxmlformats.org/officeDocument/2006/relationships" name="24_2023_Polygon_Reuse" sheetId="25" r:id="R468a467ab9a64a41"/>
    <x:sheet xmlns:r="http://schemas.openxmlformats.org/officeDocument/2006/relationships" name="25_QA_2023_Closure" sheetId="26" r:id="R551b1273d4c0440f"/>
    <x:sheet xmlns:r="http://schemas.openxmlformats.org/officeDocument/2006/relationships" name="26_2024_Event_Master" sheetId="27" r:id="Rd8864db8713546df"/>
    <x:sheet xmlns:r="http://schemas.openxmlformats.org/officeDocument/2006/relationships" name="27_2024_Episodes" sheetId="28" r:id="R2c601ef27389470a"/>
    <x:sheet xmlns:r="http://schemas.openxmlformats.org/officeDocument/2006/relationships" name="28_2024_Source_Register" sheetId="29" r:id="R2c56dd6bc8c14c17"/>
    <x:sheet xmlns:r="http://schemas.openxmlformats.org/officeDocument/2006/relationships" name="29_2024_Spatial_Resolution" sheetId="30" r:id="R2677b30b3bcf4f50"/>
    <x:sheet xmlns:r="http://schemas.openxmlformats.org/officeDocument/2006/relationships" name="30_2024_Unresolved_Candidates" sheetId="31" r:id="R328535ba82654593"/>
    <x:sheet xmlns:r="http://schemas.openxmlformats.org/officeDocument/2006/relationships" name="31_2024_Open_Objects" sheetId="32" r:id="R668fdd541f4b4cc0"/>
    <x:sheet xmlns:r="http://schemas.openxmlformats.org/officeDocument/2006/relationships" name="32_QA_2024_Event_Spatial" sheetId="33" r:id="R830a6a14d0914a53"/>
    <x:sheet xmlns:r="http://schemas.openxmlformats.org/officeDocument/2006/relationships" name="33_2024_Polygon_Reuse" sheetId="34" r:id="Rc549f09625fc404a"/>
    <x:sheet xmlns:r="http://schemas.openxmlformats.org/officeDocument/2006/relationships" name="34_QA_2024_Closure" sheetId="35" r:id="Rec059d596f47464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40ffa82dd7481f" /><Relationship Type="http://schemas.openxmlformats.org/officeDocument/2006/relationships/theme" Target="/xl/theme/theme1.xml" Id="R5ddf0df91d9c4718" /><Relationship Type="http://schemas.microsoft.com/office/2022/11/relationships/FeaturePropertyBag" Target="/xl/featurePropertyBag/featurePropertyBag.xml" Id="R4edd6844c5744050" /><Relationship Type="http://schemas.openxmlformats.org/officeDocument/2006/relationships/sharedStrings" Target="/xl/sharedStrings.xml" Id="R3e4e023666004616" /><Relationship Type="http://schemas.openxmlformats.org/officeDocument/2006/relationships/worksheet" Target="/xl/worksheets/sheet1.xml" Id="Rcf14b20e2ccf49e0" /><Relationship Type="http://schemas.openxmlformats.org/officeDocument/2006/relationships/worksheet" Target="/xl/worksheets/sheet2.xml" Id="R13f3cd547d90438e" /><Relationship Type="http://schemas.openxmlformats.org/officeDocument/2006/relationships/worksheet" Target="/xl/worksheets/sheet3.xml" Id="R23cffeacf2954e2e" /><Relationship Type="http://schemas.openxmlformats.org/officeDocument/2006/relationships/worksheet" Target="/xl/worksheets/sheet4.xml" Id="R28e030f04a3d4a05" /><Relationship Type="http://schemas.openxmlformats.org/officeDocument/2006/relationships/worksheet" Target="/xl/worksheets/sheet5.xml" Id="Rcd30ed703fea4aea" /><Relationship Type="http://schemas.openxmlformats.org/officeDocument/2006/relationships/worksheet" Target="/xl/worksheets/sheet6.xml" Id="R22baf6b3b0ae4f6f" /><Relationship Type="http://schemas.openxmlformats.org/officeDocument/2006/relationships/worksheet" Target="/xl/worksheets/sheet7.xml" Id="Rdcfd451d241e40eb" /><Relationship Type="http://schemas.openxmlformats.org/officeDocument/2006/relationships/worksheet" Target="/xl/worksheets/sheet8.xml" Id="Rc33de21a7f2e4b6b" /><Relationship Type="http://schemas.openxmlformats.org/officeDocument/2006/relationships/worksheet" Target="/xl/worksheets/sheet9.xml" Id="Rb7c03715bde44d1d" /><Relationship Type="http://schemas.openxmlformats.org/officeDocument/2006/relationships/worksheet" Target="/xl/worksheets/sheet10.xml" Id="Rfd463ee727714769" /><Relationship Type="http://schemas.openxmlformats.org/officeDocument/2006/relationships/worksheet" Target="/xl/worksheets/sheet11.xml" Id="Red9867c44fd04219" /><Relationship Type="http://schemas.openxmlformats.org/officeDocument/2006/relationships/worksheet" Target="/xl/worksheets/sheet12.xml" Id="R6aca9c8215d54498" /><Relationship Type="http://schemas.openxmlformats.org/officeDocument/2006/relationships/worksheet" Target="/xl/worksheets/sheet13.xml" Id="Rebfa5e98cbbe4db2" /><Relationship Type="http://schemas.openxmlformats.org/officeDocument/2006/relationships/worksheet" Target="/xl/worksheets/sheet14.xml" Id="Rc0ef09477d7e4131" /><Relationship Type="http://schemas.openxmlformats.org/officeDocument/2006/relationships/worksheet" Target="/xl/worksheets/sheet15.xml" Id="R25d24251dfb3492f" /><Relationship Type="http://schemas.openxmlformats.org/officeDocument/2006/relationships/worksheet" Target="/xl/worksheets/sheet16.xml" Id="R9f86425e241342d0" /><Relationship Type="http://schemas.openxmlformats.org/officeDocument/2006/relationships/worksheet" Target="/xl/worksheets/sheet17.xml" Id="R9f33b11b87dc4a28" /><Relationship Type="http://schemas.openxmlformats.org/officeDocument/2006/relationships/worksheet" Target="/xl/worksheets/sheet18.xml" Id="Rd85e0900589544bd" /><Relationship Type="http://schemas.openxmlformats.org/officeDocument/2006/relationships/worksheet" Target="/xl/worksheets/sheet19.xml" Id="R29be520907994fb5" /><Relationship Type="http://schemas.openxmlformats.org/officeDocument/2006/relationships/worksheet" Target="/xl/worksheets/sheet20.xml" Id="R47f289d614654356" /><Relationship Type="http://schemas.openxmlformats.org/officeDocument/2006/relationships/worksheet" Target="/xl/worksheets/sheet21.xml" Id="R7f5bd1ebebca42e4" /><Relationship Type="http://schemas.openxmlformats.org/officeDocument/2006/relationships/worksheet" Target="/xl/worksheets/sheet22.xml" Id="R9b86983c3448499b" /><Relationship Type="http://schemas.openxmlformats.org/officeDocument/2006/relationships/worksheet" Target="/xl/worksheets/sheet23.xml" Id="R6c852f4adc1b4b8e" /><Relationship Type="http://schemas.openxmlformats.org/officeDocument/2006/relationships/worksheet" Target="/xl/worksheets/sheet24.xml" Id="R6de804cd5c7b4d8e" /><Relationship Type="http://schemas.openxmlformats.org/officeDocument/2006/relationships/worksheet" Target="/xl/worksheets/sheet25.xml" Id="R468a467ab9a64a41" /><Relationship Type="http://schemas.openxmlformats.org/officeDocument/2006/relationships/worksheet" Target="/xl/worksheets/sheet26.xml" Id="R551b1273d4c0440f" /><Relationship Type="http://schemas.openxmlformats.org/officeDocument/2006/relationships/worksheet" Target="/xl/worksheets/sheet27.xml" Id="Rd8864db8713546df" /><Relationship Type="http://schemas.openxmlformats.org/officeDocument/2006/relationships/worksheet" Target="/xl/worksheets/sheet28.xml" Id="R2c601ef27389470a" /><Relationship Type="http://schemas.openxmlformats.org/officeDocument/2006/relationships/worksheet" Target="/xl/worksheets/sheet29.xml" Id="R2c56dd6bc8c14c17" /><Relationship Type="http://schemas.openxmlformats.org/officeDocument/2006/relationships/worksheet" Target="/xl/worksheets/sheet30.xml" Id="R2677b30b3bcf4f50" /><Relationship Type="http://schemas.openxmlformats.org/officeDocument/2006/relationships/worksheet" Target="/xl/worksheets/sheet31.xml" Id="R328535ba82654593" /><Relationship Type="http://schemas.openxmlformats.org/officeDocument/2006/relationships/worksheet" Target="/xl/worksheets/sheet32.xml" Id="R668fdd541f4b4cc0" /><Relationship Type="http://schemas.openxmlformats.org/officeDocument/2006/relationships/worksheet" Target="/xl/worksheets/sheet33.xml" Id="R830a6a14d0914a53" /><Relationship Type="http://schemas.openxmlformats.org/officeDocument/2006/relationships/worksheet" Target="/xl/worksheets/sheet34.xml" Id="Rc549f09625fc404a" /><Relationship Type="http://schemas.openxmlformats.org/officeDocument/2006/relationships/worksheet" Target="/xl/worksheets/sheet35.xml" Id="Rec059d596f47464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102"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row r="51">
      <x:c r="A51" s="9" t="str">
        <x:v>2023 POLYGON CLOSURE</x:v>
      </x:c>
      <x:c r="B51" s="9" t="str">
        <x:v>R018 completes the defensible 2023 geometry pass.</x:v>
      </x:c>
    </x:row>
    <x:row r="52">
      <x:c r="A52" s="9" t="str">
        <x:v>New 2023 Polygon_ID</x:v>
      </x:c>
      <x:c r="B52" s="9" t="n">
        <x:v>0</x:v>
      </x:c>
    </x:row>
    <x:row r="53">
      <x:c r="A53" s="9" t="str">
        <x:v>Reused polygon</x:v>
      </x:c>
      <x:c r="B53" s="9" t="str">
        <x:v>PG2017-KG-KANGKAR-TEBRAU</x:v>
      </x:c>
    </x:row>
    <x:row r="54">
      <x:c r="A54" s="9" t="str">
        <x:v>Cumulative Polygon_ID</x:v>
      </x:c>
      <x:c r="B54" s="9" t="n">
        <x:v>14</x:v>
      </x:c>
    </x:row>
    <x:row r="55">
      <x:c r="A55" s="9" t="str">
        <x:v>No-fabrication result</x:v>
      </x:c>
      <x:c r="B55" s="9" t="str">
        <x:v>No Hutan Bandar, road, neighbourhood or candidate geometry is converted into a polygon without an exact defensible named closed boundary.</x:v>
      </x:c>
    </x:row>
    <x:row r="56">
      <x:c r="A56" s="9" t="str">
        <x:v>2023 annual state</x:v>
      </x:c>
      <x:c r="B56" s="9" t="str">
        <x:v>Current defensible geometry frozen; unresolved road/community/subarea objects retained for manual analysis.</x:v>
      </x:c>
    </x:row>
    <x:row r="57">
      <x:c r="A57" s="9" t="str">
        <x:v>Next-year rule</x:v>
      </x:c>
      <x:c r="B57" s="9" t="str">
        <x:v>STOP after 2023. Do not start 2024 without a new explicit instruction.</x:v>
      </x:c>
    </x:row>
    <x:row r="58">
      <x:c r="A58" s="9" t="str">
        <x:v>2024 EVENT + SPATIAL AUDIT</x:v>
      </x:c>
      <x:c r="B58" s="9" t="str">
        <x:v>R019 extends validated R018 and processes 2024 only.</x:v>
      </x:c>
    </x:row>
    <x:row r="59">
      <x:c r="A59" s="9" t="str">
        <x:v>2024 exact event-location rows</x:v>
      </x:c>
      <x:c r="B59" s="9" t="n">
        <x:v>15</x:v>
      </x:c>
    </x:row>
    <x:row r="60">
      <x:c r="A60" s="9" t="str">
        <x:v>2024 episode groups</x:v>
      </x:c>
      <x:c r="B60" s="9" t="n">
        <x:v>2</x:v>
      </x:c>
    </x:row>
    <x:row r="61">
      <x:c r="A61" s="9" t="str">
        <x:v>2024 unique spatial objects</x:v>
      </x:c>
      <x:c r="B61" s="9" t="n">
        <x:v>15</x:v>
      </x:c>
    </x:row>
    <x:row r="62">
      <x:c r="A62" s="9" t="str">
        <x:v>2024 strict Point-GIS-ready objects</x:v>
      </x:c>
      <x:c r="B62" s="9" t="n">
        <x:v>4</x:v>
      </x:c>
    </x:row>
    <x:row r="63">
      <x:c r="A63" s="9" t="str">
        <x:v>2024 unresolved/non-counted evidence rows</x:v>
      </x:c>
      <x:c r="B63" s="9" t="n">
        <x:v>9</x:v>
      </x:c>
    </x:row>
    <x:row r="64">
      <x:c r="A64" s="9" t="str">
        <x:v>January counting rule</x:v>
      </x:c>
      <x:c r="B64" s="9" t="str">
        <x:v>4–13 Jan is treated as one continuous monsoon episode; later daily reports add locations without creating duplicate episode counts.</x:v>
      </x:c>
    </x:row>
    <x:row r="65">
      <x:c r="A65" s="9" t="str">
        <x:v>PPS rule</x:v>
      </x:c>
      <x:c r="B65" s="9" t="str">
        <x:v>PPS site names are not automatically counted as inundated origin locations.</x:v>
      </x:c>
    </x:row>
    <x:row r="66">
      <x:c r="A66" s="9" t="str">
        <x:v>2024 road rule</x:v>
      </x:c>
      <x:c r="B66" s="9" t="str">
        <x:v>Jalan Kangkar Tebrau remains a road-segment object; the Kangkar Tebrau community polygon is not substituted.</x:v>
      </x:c>
    </x:row>
    <x:row r="67">
      <x:c r="A67" s="9" t="str">
        <x:v>2024 provisional polygon decision</x:v>
      </x:c>
      <x:c r="B67" s="9" t="str">
        <x:v>No new or reused polygon is applied to 2024 event rows under the current strict evidence.</x:v>
      </x:c>
    </x:row>
    <x:row r="68">
      <x:c r="A68" s="9" t="str">
        <x:v>2024 annual audit state</x:v>
      </x:c>
      <x:c r="B68" s="9" t="str">
        <x:v>Event + spatial audit complete under current evidence; open objects and period-level candidates retained transparently.</x:v>
      </x:c>
    </x:row>
    <x:row r="69">
      <x:c r="A69" s="9" t="str">
        <x:v>Year stop rule</x:v>
      </x:c>
      <x:c r="B69" s="9" t="str">
        <x:v>Process 2024 only; do not enter 2025 in this pass.</x:v>
      </x:c>
    </x:row>
    <x:row r="70">
      <x:c r="A70" s="9" t="str">
        <x:v>2024 POLYGON CLOSURE</x:v>
      </x:c>
      <x:c r="B70" s="9" t="str">
        <x:v>R020 completes the defensible 2024 geometry pass.</x:v>
      </x:c>
    </x:row>
    <x:row r="71">
      <x:c r="A71" s="9" t="str">
        <x:v>New 2024 Polygon_ID</x:v>
      </x:c>
      <x:c r="B71" s="9" t="n">
        <x:v>0</x:v>
      </x:c>
    </x:row>
    <x:row r="72">
      <x:c r="A72" s="9" t="str">
        <x:v>Reused closed polygons</x:v>
      </x:c>
      <x:c r="B72" s="9" t="n">
        <x:v>0</x:v>
      </x:c>
    </x:row>
    <x:row r="73">
      <x:c r="A73" s="9" t="str">
        <x:v>Cumulative Polygon_ID</x:v>
      </x:c>
      <x:c r="B73" s="9" t="n">
        <x:v>14</x:v>
      </x:c>
    </x:row>
    <x:row r="74">
      <x:c r="A74" s="9" t="str">
        <x:v>No-fabrication result</x:v>
      </x:c>
      <x:c r="B74" s="9" t="str">
        <x:v>No community polygon is applied to Jalan Kangkar Tebrau; no parent settlement polygon is applied to the Kangkar Tebrau Kiri temple event; no arbitrary road buffers are created.</x:v>
      </x:c>
    </x:row>
    <x:row r="75">
      <x:c r="A75" s="9" t="str">
        <x:v>2024 annual state</x:v>
      </x:c>
      <x:c r="B75" s="9" t="str">
        <x:v>Current defensible geometry frozen; all unresolved road/community/facility objects retained for manual analysis.</x:v>
      </x:c>
    </x:row>
    <x:row r="76">
      <x:c r="A76" s="9" t="str">
        <x:v>Next-year rule</x:v>
      </x:c>
      <x:c r="B76" s="9" t="str">
        <x:v>STOP after 2024. Do not start 2025 without a new explicit instruction.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28" hidden="0" customWidth="1"/>
    <x:col min="6" max="6" width="68" hidden="0" customWidth="1"/>
    <x:col min="7" max="7" width="62" hidden="0" customWidth="1"/>
  </x:cols>
  <x:sheetData>
    <x:row r="1">
      <x:c r="A1" s="40" t="str">
        <x:v>Polygon_ID</x:v>
      </x:c>
      <x:c r="B1" s="40" t="str">
        <x:v>Object_Name</x:v>
      </x:c>
      <x:c r="C1" s="40" t="str">
        <x:v>Closure_Status</x:v>
      </x:c>
      <x:c r="D1" s="40" t="str">
        <x:v>Geometry_Source</x:v>
      </x:c>
      <x:c r="E1" s="40" t="str">
        <x:v>2023_Event_Use</x:v>
      </x:c>
      <x:c r="F1" s="40" t="str">
        <x:v>Interpretation</x:v>
      </x:c>
      <x:c r="G1" s="40" t="str">
        <x:v>Source_URL_or_Lineage</x:v>
      </x:c>
    </x:row>
    <x:row r="2">
      <x:c r="A2" s="17" t="str">
        <x:v>PG2017-KG-KANGKAR-TEBRAU</x:v>
      </x:c>
      <x:c r="B2" s="17" t="str">
        <x:v>Kampung Kangkar Tebrau</x:v>
      </x:c>
      <x:c r="C2" s="17" t="str">
        <x:v>REUSED_CLOSED</x:v>
      </x:c>
      <x:c r="D2" s="17" t="str">
        <x:v>R005/R014 / OSM way 657910839</x:v>
      </x:c>
      <x:c r="E2" s="17" t="str">
        <x:v>2023-12-01; 2023-12-06</x:v>
      </x:c>
      <x:c r="F2" s="17" t="str">
        <x:v>Existing community analysis boundary only; NOT an observed inundation footprint.</x:v>
      </x:c>
      <x:c r="G2" s="17" t="str">
        <x:v>Carry forward from frozen lineage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65" hidden="0" customWidth="1"/>
  </x:cols>
  <x:sheetData>
    <x:row r="1">
      <x:c r="A1" s="38" t="str">
        <x:v>Metric</x:v>
      </x:c>
      <x:c r="B1" s="38" t="str">
        <x:v>Formula / Value</x:v>
      </x:c>
      <x:c r="C1" s="38" t="str">
        <x:v>Expected</x:v>
      </x:c>
      <x:c r="D1" s="38" t="str">
        <x:v>Status</x:v>
      </x:c>
      <x:c r="E1" s="38" t="str">
        <x:v>Interpretation</x:v>
      </x:c>
    </x:row>
    <x:row r="2">
      <x:c r="A2" s="9" t="str">
        <x:v>2023 new closed polygons</x:v>
      </x:c>
      <x:c r="B2" s="9" t="n">
        <x:v>0</x:v>
      </x:c>
      <x:c r="C2" s="9" t="n">
        <x:v>0</x:v>
      </x:c>
      <x:c r="D2" s="9" t="str">
        <x:f>IF(B2=C2,"PASS","CHECK")</x:f>
        <x:v>PASS</x:v>
      </x:c>
      <x:c r="E2" s="9" t="str">
        <x:v>No exact new named closed geometry defensibly frozen.</x:v>
      </x:c>
    </x:row>
    <x:row r="3">
      <x:c r="A3" s="9" t="str">
        <x:v>2023 reused closed polygons</x:v>
      </x:c>
      <x:c r="B3" s="9" t="n">
        <x:f>COUNTA('24_2023_Polygon_Reuse'!A2:A2)</x:f>
        <x:v>1</x:v>
      </x:c>
      <x:c r="C3" s="9" t="n">
        <x:v>1</x:v>
      </x:c>
      <x:c r="D3" s="9" t="str">
        <x:f>IF(B3=C3,"PASS","CHECK")</x:f>
        <x:v>PASS</x:v>
      </x:c>
      <x:c r="E3" s="9" t="str">
        <x:v>Kampung Kangkar Tebrau only.</x:v>
      </x:c>
    </x:row>
    <x:row r="4">
      <x:c r="A4" s="9" t="str">
        <x:v>2023 directly usable closed analysis regions</x:v>
      </x:c>
      <x:c r="B4" s="9" t="n">
        <x:f>B2+B3</x:f>
        <x:v>1</x:v>
      </x:c>
      <x:c r="C4" s="9" t="n">
        <x:v>1</x:v>
      </x:c>
      <x:c r="D4" s="9" t="str">
        <x:f>IF(B4=C4,"PASS","CHECK")</x:f>
        <x:v>PASS</x:v>
      </x:c>
      <x:c r="E4" s="9" t="str">
        <x:v>Reuse only; no geometry duplication.</x:v>
      </x:c>
    </x:row>
    <x:row r="5">
      <x:c r="A5" s="9" t="str">
        <x:v>Cumulative Polygon_ID through 2023</x:v>
      </x:c>
      <x:c r="B5" s="9" t="n">
        <x:f>14+B2</x:f>
        <x:v>14</x:v>
      </x:c>
      <x:c r="C5" s="9" t="n">
        <x:v>14</x:v>
      </x:c>
      <x:c r="D5" s="9" t="str">
        <x:f>IF(B5=C5,"PASS","CHECK")</x:f>
        <x:v>PASS</x:v>
      </x:c>
      <x:c r="E5" s="9" t="str">
        <x:v>R016 total remains unchanged.</x:v>
      </x:c>
    </x:row>
    <x:row r="6">
      <x:c r="A6" s="9" t="str">
        <x:v>Cumulative closed polygon WKT lineage</x:v>
      </x:c>
      <x:c r="B6" s="9" t="n">
        <x:f>B5</x:f>
        <x:v>14</x:v>
      </x:c>
      <x:c r="C6" s="9" t="n">
        <x:v>14</x:v>
      </x:c>
      <x:c r="D6" s="9" t="str">
        <x:f>IF(B6=C6,"PASS","CHECK")</x:f>
        <x:v>PASS</x:v>
      </x:c>
      <x:c r="E6" s="9" t="str">
        <x:v>Existing formal lineage unchanged.</x:v>
      </x:c>
    </x:row>
    <x:row r="7">
      <x:c r="A7" s="9" t="str">
        <x:v>2023 event-location rows</x:v>
      </x:c>
      <x:c r="B7" s="9" t="n">
        <x:f>'23_QA_2023_Event_Spatial'!B2</x:f>
        <x:v>63</x:v>
      </x:c>
      <x:c r="C7" s="9" t="n">
        <x:v>63</x:v>
      </x:c>
      <x:c r="D7" s="9" t="str">
        <x:f>IF(B7=C7,"PASS","CHECK")</x:f>
        <x:v>PASS</x:v>
      </x:c>
      <x:c r="E7" s="9" t="str">
        <x:v>Exact dated rows only.</x:v>
      </x:c>
    </x:row>
    <x:row r="8">
      <x:c r="A8" s="9" t="str">
        <x:v>2023 episode groups</x:v>
      </x:c>
      <x:c r="B8" s="9" t="n">
        <x:f>'23_QA_2023_Event_Spatial'!B3</x:f>
        <x:v>8</x:v>
      </x:c>
      <x:c r="C8" s="9" t="n">
        <x:v>8</x:v>
      </x:c>
      <x:c r="D8" s="9" t="str">
        <x:f>IF(B8=C8,"PASS","CHECK")</x:f>
        <x:v>PASS</x:v>
      </x:c>
      <x:c r="E8" s="9" t="str">
        <x:v>Eight dated/date-anchored groups.</x:v>
      </x:c>
    </x:row>
    <x:row r="9">
      <x:c r="A9" s="9" t="str">
        <x:v>Cumulative event rows through 2023</x:v>
      </x:c>
      <x:c r="B9" s="9" t="n">
        <x:f>'23_QA_2023_Event_Spatial'!B9</x:f>
        <x:v>261</x:v>
      </x:c>
      <x:c r="C9" s="9" t="n">
        <x:v>261</x:v>
      </x:c>
      <x:c r="D9" s="9" t="str">
        <x:f>IF(B9=C9,"PASS","CHECK")</x:f>
        <x:v>PASS</x:v>
      </x:c>
      <x:c r="E9" s="9" t="str">
        <x:v>R016 198 + 2023 exact rows.</x:v>
      </x:c>
    </x:row>
    <x:row r="10">
      <x:c r="A10" s="9" t="str">
        <x:v>Formula errors in 2023 QA</x:v>
      </x:c>
      <x:c r="B10" s="9" t="n">
        <x:v>0</x:v>
      </x:c>
      <x:c r="C10" s="9" t="n">
        <x:v>0</x:v>
      </x:c>
      <x:c r="D10" s="9" t="str">
        <x:f>IF(B10=C10,"PASS","CHECK")</x:f>
        <x:v>PASS</x:v>
      </x:c>
      <x:c r="E10" s="9" t="str">
        <x:v>Checked after workbook build.</x:v>
      </x:c>
    </x:row>
    <x:row r="11">
      <x:c r="A11" s="9" t="str">
        <x:v>2024 records included</x:v>
      </x:c>
      <x:c r="B11" s="9" t="n">
        <x:v>0</x:v>
      </x:c>
      <x:c r="C11" s="9" t="n">
        <x:v>0</x:v>
      </x:c>
      <x:c r="D11" s="9" t="str">
        <x:f>IF(B11=C11,"PASS","CHECK")</x:f>
        <x:v>PASS</x:v>
      </x:c>
      <x:c r="E11" s="9" t="str">
        <x:v>Hard stop after 2023.</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0" hidden="0" customWidth="1"/>
    <x:col min="2" max="2" width="13" hidden="0" customWidth="1"/>
    <x:col min="3" max="3" width="28" hidden="0" customWidth="1"/>
    <x:col min="4" max="4" width="45" hidden="0" customWidth="1"/>
    <x:col min="5" max="5" width="16" hidden="0" customWidth="1"/>
    <x:col min="6" max="6" width="46" hidden="0" customWidth="1"/>
    <x:col min="7" max="7" width="34" hidden="0" customWidth="1"/>
    <x:col min="8" max="8" width="13" hidden="0" customWidth="1"/>
    <x:col min="9" max="9" width="31" hidden="0" customWidth="1"/>
    <x:col min="10" max="10" width="31" hidden="0" customWidth="1"/>
    <x:col min="11" max="11" width="42" hidden="0" customWidth="1"/>
    <x:col min="12" max="12" width="72" hidden="0" customWidth="1"/>
  </x:cols>
  <x:sheetData>
    <x:row r="1">
      <x:c r="A1" s="47" t="str">
        <x:v>Event_ID</x:v>
      </x:c>
      <x:c r="B1" s="47" t="str">
        <x:v>Event_Date</x:v>
      </x:c>
      <x:c r="C1" s="47" t="str">
        <x:v>Dedup_Group_ID</x:v>
      </x:c>
      <x:c r="D1" s="47" t="str">
        <x:v>Source_Location_Label</x:v>
      </x:c>
      <x:c r="E1" s="47" t="str">
        <x:v>Spatial_Object_Key</x:v>
      </x:c>
      <x:c r="F1" s="47" t="str">
        <x:v>Canonical_Spatial_Object</x:v>
      </x:c>
      <x:c r="G1" s="47" t="str">
        <x:v>Event_Type</x:v>
      </x:c>
      <x:c r="H1" s="47" t="str">
        <x:v>Evidence_Tier</x:v>
      </x:c>
      <x:c r="I1" s="47" t="str">
        <x:v>Primary_Source_ID</x:v>
      </x:c>
      <x:c r="J1" s="47" t="str">
        <x:v>Secondary_Source_ID</x:v>
      </x:c>
      <x:c r="K1" s="47" t="str">
        <x:v>Date_Precision</x:v>
      </x:c>
      <x:c r="L1" s="47" t="str">
        <x:v>Notes</x:v>
      </x:c>
    </x:row>
    <x:row r="2">
      <x:c r="A2" s="17" t="str">
        <x:v>EVT-JB-2024-001</x:v>
      </x:c>
      <x:c r="B2" s="17" t="str">
        <x:v>2024-01-04</x:v>
      </x:c>
      <x:c r="C2" s="17" t="str">
        <x:v>DG-JB-20240104-20240113</x:v>
      </x:c>
      <x:c r="D2" s="17" t="str">
        <x:v>Kampung Sentosa Damai 3</x:v>
      </x:c>
      <x:c r="E2" s="17" t="str">
        <x:v>S2024-001</x:v>
      </x:c>
      <x:c r="F2" s="17" t="str">
        <x:v>Kampung Sentosa Damai</x:v>
      </x:c>
      <x:c r="G2" s="17" t="str">
        <x:v>Monsoon flood / residential inundation</x:v>
      </x:c>
      <x:c r="H2" s="17" t="str">
        <x:v>B</x:v>
      </x:c>
      <x:c r="I2" s="17" t="str">
        <x:v>SRC_R2024_SINAR_20240104</x:v>
      </x:c>
      <x:c r="J2" s="17" t="str">
        <x:v>SRC_R2024_SINAR_20240105</x:v>
      </x:c>
      <x:c r="K2" s="17" t="str">
        <x:v>Exact day within continuing 4–13 Jan episode</x:v>
      </x:c>
      <x:c r="L2" s="17" t="str">
        <x:v>Victims from Kampung Sentosa Damai were explicitly described as flood victims.</x:v>
      </x:c>
    </x:row>
    <x:row r="3">
      <x:c r="A3" s="17" t="str">
        <x:v>EVT-JB-2024-002</x:v>
      </x:c>
      <x:c r="B3" s="17" t="str">
        <x:v>2024-01-04</x:v>
      </x:c>
      <x:c r="C3" s="17" t="str">
        <x:v>DG-JB-20240104-20240113</x:v>
      </x:c>
      <x:c r="D3" s="17" t="str">
        <x:v>Kampung Paya</x:v>
      </x:c>
      <x:c r="E3" s="17" t="str">
        <x:v>S2024-002</x:v>
      </x:c>
      <x:c r="F3" s="17" t="str">
        <x:v>Kampung Paya (Sungai Tiram/Nam Heng context)</x:v>
      </x:c>
      <x:c r="G3" s="17" t="str">
        <x:v>Monsoon flood / residential inundation</x:v>
      </x:c>
      <x:c r="H3" s="17" t="str">
        <x:v>B</x:v>
      </x:c>
      <x:c r="I3" s="17" t="str">
        <x:v>SRC_R2024_SINAR_20240106</x:v>
      </x:c>
      <x:c r="J3" s="17" t="str"/>
      <x:c r="K3" s="17" t="str">
        <x:v>Event began 4 Jan; source published 6 Jan and states flooding since Thursday</x:v>
      </x:c>
      <x:c r="L3" s="17" t="str">
        <x:v>Exact Johor Bahru/Sungai Tiram-area identity retained; no unrelated same-name geocode is used.</x:v>
      </x:c>
    </x:row>
    <x:row r="4">
      <x:c r="A4" s="17" t="str">
        <x:v>EVT-JB-2024-003</x:v>
      </x:c>
      <x:c r="B4" s="17" t="str">
        <x:v>2024-01-04</x:v>
      </x:c>
      <x:c r="C4" s="17" t="str">
        <x:v>DG-JB-20240104-20240113</x:v>
      </x:c>
      <x:c r="D4" s="17" t="str">
        <x:v>Kampung Sungai Serai</x:v>
      </x:c>
      <x:c r="E4" s="17" t="str">
        <x:v>S2024-003</x:v>
      </x:c>
      <x:c r="F4" s="17" t="str">
        <x:v>Kampung Sungai Serai</x:v>
      </x:c>
      <x:c r="G4" s="17" t="str">
        <x:v>Monsoon flood / residential inundation</x:v>
      </x:c>
      <x:c r="H4" s="17" t="str">
        <x:v>B</x:v>
      </x:c>
      <x:c r="I4" s="17" t="str">
        <x:v>SRC_R2024_SINAR_20240106</x:v>
      </x:c>
      <x:c r="J4" s="17" t="str"/>
      <x:c r="K4" s="17" t="str">
        <x:v>Event began 4 Jan; source published 6 Jan and states flooding since Thursday</x:v>
      </x:c>
      <x:c r="L4" s="17" t="str">
        <x:v>Exact Johor Bahru/Sungai Tiram-area identity retained; no unrelated same-name geocode is used.</x:v>
      </x:c>
    </x:row>
    <x:row r="5">
      <x:c r="A5" s="17" t="str">
        <x:v>EVT-JB-2024-004</x:v>
      </x:c>
      <x:c r="B5" s="17" t="str">
        <x:v>2024-01-07</x:v>
      </x:c>
      <x:c r="C5" s="17" t="str">
        <x:v>DG-JB-20240104-20240113</x:v>
      </x:c>
      <x:c r="D5" s="17" t="str">
        <x:v>Batu 10</x:v>
      </x:c>
      <x:c r="E5" s="17" t="str">
        <x:v>S2024-004</x:v>
      </x:c>
      <x:c r="F5" s="17" t="str">
        <x:v>Batu 10, Sungai Tiram context</x:v>
      </x:c>
      <x:c r="G5" s="17" t="str">
        <x:v>Monsoon flood / flood impact</x:v>
      </x:c>
      <x:c r="H5" s="17" t="str">
        <x:v>A/B</x:v>
      </x:c>
      <x:c r="I5" s="17" t="str">
        <x:v>SRC_R2024_BERNAMA_20240107</x:v>
      </x:c>
      <x:c r="J5" s="17" t="str"/>
      <x:c r="K5" s="17" t="str">
        <x:v>Exact day within continuing 4–13 Jan episode</x:v>
      </x:c>
      <x:c r="L5" s="17" t="str">
        <x:v>Road-chainage/locality label; do not merge with Batu 10 Kampung Laut, Skudai.</x:v>
      </x:c>
    </x:row>
    <x:row r="6">
      <x:c r="A6" s="17" t="str">
        <x:v>EVT-JB-2024-005</x:v>
      </x:c>
      <x:c r="B6" s="17" t="str">
        <x:v>2024-01-07</x:v>
      </x:c>
      <x:c r="C6" s="17" t="str">
        <x:v>DG-JB-20240104-20240113</x:v>
      </x:c>
      <x:c r="D6" s="17" t="str">
        <x:v>Lorong Mak Piah</x:v>
      </x:c>
      <x:c r="E6" s="17" t="str">
        <x:v>S2024-005</x:v>
      </x:c>
      <x:c r="F6" s="17" t="str">
        <x:v>Lorong Mak Piah, Kampung Sungai Tiram</x:v>
      </x:c>
      <x:c r="G6" s="17" t="str">
        <x:v>Monsoon flood / flood impact</x:v>
      </x:c>
      <x:c r="H6" s="17" t="str">
        <x:v>A/B</x:v>
      </x:c>
      <x:c r="I6" s="17" t="str">
        <x:v>SRC_R2024_BERNAMA_20240107</x:v>
      </x:c>
      <x:c r="J6" s="17" t="str"/>
      <x:c r="K6" s="17" t="str">
        <x:v>Exact day within continuing 4–13 Jan episode</x:v>
      </x:c>
      <x:c r="L6" s="17" t="str"/>
    </x:row>
    <x:row r="7">
      <x:c r="A7" s="17" t="str">
        <x:v>EVT-JB-2024-006</x:v>
      </x:c>
      <x:c r="B7" s="17" t="str">
        <x:v>2024-01-07</x:v>
      </x:c>
      <x:c r="C7" s="17" t="str">
        <x:v>DG-JB-20240104-20240113</x:v>
      </x:c>
      <x:c r="D7" s="17" t="str">
        <x:v>Simpang Ladang Mados</x:v>
      </x:c>
      <x:c r="E7" s="17" t="str">
        <x:v>S2024-006</x:v>
      </x:c>
      <x:c r="F7" s="17" t="str">
        <x:v>Simpang Ladang Mados</x:v>
      </x:c>
      <x:c r="G7" s="17" t="str">
        <x:v>Monsoon flood / flood impact</x:v>
      </x:c>
      <x:c r="H7" s="17" t="str">
        <x:v>A/B</x:v>
      </x:c>
      <x:c r="I7" s="17" t="str">
        <x:v>SRC_R2024_BERNAMA_20240107</x:v>
      </x:c>
      <x:c r="J7" s="17" t="str"/>
      <x:c r="K7" s="17" t="str">
        <x:v>Exact day within continuing 4–13 Jan episode</x:v>
      </x:c>
      <x:c r="L7" s="17" t="str"/>
    </x:row>
    <x:row r="8">
      <x:c r="A8" s="17" t="str">
        <x:v>EVT-JB-2024-007</x:v>
      </x:c>
      <x:c r="B8" s="17" t="str">
        <x:v>2024-01-07</x:v>
      </x:c>
      <x:c r="C8" s="17" t="str">
        <x:v>DG-JB-20240104-20240113</x:v>
      </x:c>
      <x:c r="D8" s="17" t="str">
        <x:v>Kampung Bukit Dagang</x:v>
      </x:c>
      <x:c r="E8" s="17" t="str">
        <x:v>S2024-007</x:v>
      </x:c>
      <x:c r="F8" s="17" t="str">
        <x:v>Kampung Bukit Dagang</x:v>
      </x:c>
      <x:c r="G8" s="17" t="str">
        <x:v>Monsoon flood / flood impact</x:v>
      </x:c>
      <x:c r="H8" s="17" t="str">
        <x:v>A/B</x:v>
      </x:c>
      <x:c r="I8" s="17" t="str">
        <x:v>SRC_R2024_MMAIL_20240107</x:v>
      </x:c>
      <x:c r="J8" s="17" t="str">
        <x:v>SRC_R2024_BERNAMA_20240108</x:v>
      </x:c>
      <x:c r="K8" s="17" t="str">
        <x:v>Exact day within continuing 4–13 Jan episode</x:v>
      </x:c>
      <x:c r="L8" s="17" t="str">
        <x:v>Four of about 60 houses were reported affected; access road was flooded.</x:v>
      </x:c>
    </x:row>
    <x:row r="9">
      <x:c r="A9" s="17" t="str">
        <x:v>EVT-JB-2024-008</x:v>
      </x:c>
      <x:c r="B9" s="17" t="str">
        <x:v>2024-01-07</x:v>
      </x:c>
      <x:c r="C9" s="17" t="str">
        <x:v>DG-JB-20240104-20240113</x:v>
      </x:c>
      <x:c r="D9" s="17" t="str">
        <x:v>Kampung Batu 20</x:v>
      </x:c>
      <x:c r="E9" s="17" t="str">
        <x:v>S2024-008</x:v>
      </x:c>
      <x:c r="F9" s="17" t="str">
        <x:v>Kampung Batu 20, Sungai Tiram</x:v>
      </x:c>
      <x:c r="G9" s="17" t="str">
        <x:v>Monsoon flood / flood impact</x:v>
      </x:c>
      <x:c r="H9" s="17" t="str">
        <x:v>A/B</x:v>
      </x:c>
      <x:c r="I9" s="17" t="str">
        <x:v>SRC_R2024_BERNAMA_20240108</x:v>
      </x:c>
      <x:c r="J9" s="17" t="str"/>
      <x:c r="K9" s="17" t="str">
        <x:v>Exact day within continuing 4–13 Jan episode</x:v>
      </x:c>
      <x:c r="L9" s="17" t="str">
        <x:v>Bernama photo/report evidence; kept separate from source label Batu 10.</x:v>
      </x:c>
    </x:row>
    <x:row r="10">
      <x:c r="A10" s="17" t="str">
        <x:v>EVT-JB-2024-009</x:v>
      </x:c>
      <x:c r="B10" s="17" t="str">
        <x:v>2024-01-07</x:v>
      </x:c>
      <x:c r="C10" s="17" t="str">
        <x:v>DG-JB-20240104-20240113</x:v>
      </x:c>
      <x:c r="D10" s="17" t="str">
        <x:v>Kampung Maju Jaya</x:v>
      </x:c>
      <x:c r="E10" s="17" t="str">
        <x:v>S2024-009</x:v>
      </x:c>
      <x:c r="F10" s="17" t="str">
        <x:v>Kampung Maju Jaya</x:v>
      </x:c>
      <x:c r="G10" s="17" t="str">
        <x:v>Monsoon flood / flood impact</x:v>
      </x:c>
      <x:c r="H10" s="17" t="str">
        <x:v>A/B</x:v>
      </x:c>
      <x:c r="I10" s="17" t="str">
        <x:v>SRC_R2024_SINAR_20240107_MAJU</x:v>
      </x:c>
      <x:c r="J10" s="17" t="str">
        <x:v>SRC_R2024_UTUSAN_20240109</x:v>
      </x:c>
      <x:c r="K10" s="17" t="str">
        <x:v>Exact day within continuing 4–13 Jan episode</x:v>
      </x:c>
      <x:c r="L10" s="17" t="str">
        <x:v>Community flooding independently corroborated by school/community reports.</x:v>
      </x:c>
    </x:row>
    <x:row r="11">
      <x:c r="A11" s="17" t="str">
        <x:v>EVT-JB-2024-010</x:v>
      </x:c>
      <x:c r="B11" s="17" t="str">
        <x:v>2024-01-07</x:v>
      </x:c>
      <x:c r="C11" s="17" t="str">
        <x:v>DG-JB-20240104-20240113</x:v>
      </x:c>
      <x:c r="D11" s="17" t="str">
        <x:v>SK Kampung Maju Jaya</x:v>
      </x:c>
      <x:c r="E11" s="17" t="str">
        <x:v>S2024-010</x:v>
      </x:c>
      <x:c r="F11" s="17" t="str">
        <x:v>SK Kampung Maju Jaya</x:v>
      </x:c>
      <x:c r="G11" s="17" t="str">
        <x:v>Monsoon flood / flood impact</x:v>
      </x:c>
      <x:c r="H11" s="17" t="str">
        <x:v>A/B</x:v>
      </x:c>
      <x:c r="I11" s="17" t="str">
        <x:v>SRC_R2024_SINAR_20240107_MAJU</x:v>
      </x:c>
      <x:c r="J11" s="17" t="str">
        <x:v>SRC_R2024_RTM_20240108_SCHOOLS</x:v>
      </x:c>
      <x:c r="K11" s="17" t="str">
        <x:v>Exact day within continuing 4–13 Jan episode</x:v>
      </x:c>
      <x:c r="L11" s="17" t="str">
        <x:v>Critical facility/school impact retained separately from parent community.</x:v>
      </x:c>
    </x:row>
    <x:row r="12">
      <x:c r="A12" s="17" t="str">
        <x:v>EVT-JB-2024-011</x:v>
      </x:c>
      <x:c r="B12" s="17" t="str">
        <x:v>2024-01-07</x:v>
      </x:c>
      <x:c r="C12" s="17" t="str">
        <x:v>DG-JB-20240104-20240113</x:v>
      </x:c>
      <x:c r="D12" s="17" t="str">
        <x:v>SK Bukit Mutiara</x:v>
      </x:c>
      <x:c r="E12" s="17" t="str">
        <x:v>S2024-011</x:v>
      </x:c>
      <x:c r="F12" s="17" t="str">
        <x:v>SK Bukit Mutiara</x:v>
      </x:c>
      <x:c r="G12" s="17" t="str">
        <x:v>Monsoon flood / flood impact</x:v>
      </x:c>
      <x:c r="H12" s="17" t="str">
        <x:v>A/B</x:v>
      </x:c>
      <x:c r="I12" s="17" t="str">
        <x:v>SRC_R2024_RTM_20240108_SCHOOLS</x:v>
      </x:c>
      <x:c r="J12" s="17" t="str"/>
      <x:c r="K12" s="17" t="str">
        <x:v>Exact day within continuing 4–13 Jan episode</x:v>
      </x:c>
      <x:c r="L12" s="17" t="str">
        <x:v>School explicitly closed because of flood.</x:v>
      </x:c>
    </x:row>
    <x:row r="13">
      <x:c r="A13" s="17" t="str">
        <x:v>EVT-JB-2024-012</x:v>
      </x:c>
      <x:c r="B13" s="17" t="str">
        <x:v>2024-01-07</x:v>
      </x:c>
      <x:c r="C13" s="17" t="str">
        <x:v>DG-JB-20240104-20240113</x:v>
      </x:c>
      <x:c r="D13" s="17" t="str">
        <x:v>SK Sungai Tiram</x:v>
      </x:c>
      <x:c r="E13" s="17" t="str">
        <x:v>S2024-012</x:v>
      </x:c>
      <x:c r="F13" s="17" t="str">
        <x:v>SK Sungai Tiram</x:v>
      </x:c>
      <x:c r="G13" s="17" t="str">
        <x:v>Monsoon flood / flood impact</x:v>
      </x:c>
      <x:c r="H13" s="17" t="str">
        <x:v>A/B</x:v>
      </x:c>
      <x:c r="I13" s="17" t="str">
        <x:v>SRC_R2024_RTM_20240108_SCHOOLS</x:v>
      </x:c>
      <x:c r="J13" s="17" t="str"/>
      <x:c r="K13" s="17" t="str">
        <x:v>Exact day within continuing 4–13 Jan episode</x:v>
      </x:c>
      <x:c r="L13" s="17" t="str">
        <x:v>School explicitly closed because of flood.</x:v>
      </x:c>
    </x:row>
    <x:row r="14">
      <x:c r="A14" s="17" t="str">
        <x:v>EVT-JB-2024-013</x:v>
      </x:c>
      <x:c r="B14" s="17" t="str">
        <x:v>2024-01-09</x:v>
      </x:c>
      <x:c r="C14" s="17" t="str">
        <x:v>DG-JB-20240104-20240113</x:v>
      </x:c>
      <x:c r="D14" s="17" t="str">
        <x:v>Jalan Kangkar Tebrau</x:v>
      </x:c>
      <x:c r="E14" s="17" t="str">
        <x:v>S2024-013</x:v>
      </x:c>
      <x:c r="F14" s="17" t="str">
        <x:v>Jalan Kangkar Tebrau</x:v>
      </x:c>
      <x:c r="G14" s="17" t="str">
        <x:v>Flooded road / road closure</x:v>
      </x:c>
      <x:c r="H14" s="17" t="str">
        <x:v>A/B</x:v>
      </x:c>
      <x:c r="I14" s="17" t="str">
        <x:v>SRC_R2024_RTM_20240109</x:v>
      </x:c>
      <x:c r="J14" s="17" t="str"/>
      <x:c r="K14" s="17" t="str">
        <x:v>Exact day within continuing 4–13 Jan episode</x:v>
      </x:c>
      <x:c r="L14" s="17" t="str">
        <x:v>Road was reported closed to all vehicles; exact flooded start/end segment remains unresolved.</x:v>
      </x:c>
    </x:row>
    <x:row r="15">
      <x:c r="A15" s="17" t="str">
        <x:v>EVT-JB-2024-014</x:v>
      </x:c>
      <x:c r="B15" s="17" t="str">
        <x:v>2024-01-11</x:v>
      </x:c>
      <x:c r="C15" s="17" t="str">
        <x:v>DG-JB-20240104-20240113</x:v>
      </x:c>
      <x:c r="D15" s="17" t="str">
        <x:v>Setia Indah</x:v>
      </x:c>
      <x:c r="E15" s="17" t="str">
        <x:v>S2024-014</x:v>
      </x:c>
      <x:c r="F15" s="17" t="str">
        <x:v>Taman Setia Indah</x:v>
      </x:c>
      <x:c r="G15" s="17" t="str">
        <x:v>Flood-related service disruption</x:v>
      </x:c>
      <x:c r="H15" s="17" t="str">
        <x:v>A</x:v>
      </x:c>
      <x:c r="I15" s="17" t="str">
        <x:v>SRC_R2024_NADMA_20240111</x:v>
      </x:c>
      <x:c r="J15" s="17" t="str"/>
      <x:c r="K15" s="17" t="str">
        <x:v>Exact SITREP date within continuing 4–13 Jan episode</x:v>
      </x:c>
      <x:c r="L15" s="17" t="str">
        <x:v>NADMA lists Setia Indah under Johor Bahru areas where electricity supply was disconnected due to flood; treated as flood-affected context, not direct water-depth observation.</x:v>
      </x:c>
    </x:row>
    <x:row r="16">
      <x:c r="A16" s="17" t="str">
        <x:v>EVT-JB-2024-015</x:v>
      </x:c>
      <x:c r="B16" s="17" t="str">
        <x:v>2024-01-24</x:v>
      </x:c>
      <x:c r="C16" s="17" t="str">
        <x:v>DG-JB-20240124</x:v>
      </x:c>
      <x:c r="D16" s="17" t="str">
        <x:v>Kuil Sri Muniswarar Maha Mariamman, Kampung Kangkar Tebrau Kiri</x:v>
      </x:c>
      <x:c r="E16" s="17" t="str">
        <x:v>S2024-015</x:v>
      </x:c>
      <x:c r="F16" s="17" t="str">
        <x:v>Kuil Sri Muniswarar Maha Mariamman, Kampung Kangkar Tebrau Kiri</x:v>
      </x:c>
      <x:c r="G16" s="17" t="str">
        <x:v>Flash flood / critical facility impact</x:v>
      </x:c>
      <x:c r="H16" s="17" t="str">
        <x:v>B</x:v>
      </x:c>
      <x:c r="I16" s="17" t="str">
        <x:v>SRC_R2024_AWANI_20240125</x:v>
      </x:c>
      <x:c r="J16" s="17" t="str"/>
      <x:c r="K16" s="17" t="str">
        <x:v>Exact day inferred from report published 25 Jan stating incident occurred Wednesday night</x:v>
      </x:c>
      <x:c r="L16" s="17" t="str">
        <x:v>17 people trapped; water reported up to about 3 m. Parent community polygon is not substituted for the temple flood footprint.</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20" hidden="0" customWidth="1"/>
    <x:col min="5" max="5" width="86" hidden="0" customWidth="1"/>
  </x:cols>
  <x:sheetData>
    <x:row r="1">
      <x:c r="A1" s="47" t="str">
        <x:v>Dedup_Group_ID</x:v>
      </x:c>
      <x:c r="B1" s="47" t="str">
        <x:v>Episode_Date_or_Range</x:v>
      </x:c>
      <x:c r="C1" s="47" t="str">
        <x:v>Event_Type</x:v>
      </x:c>
      <x:c r="D1" s="47" t="str">
        <x:v>Event_Location_Rows</x:v>
      </x:c>
      <x:c r="E1" s="47" t="str">
        <x:v>Episode_Note</x:v>
      </x:c>
    </x:row>
    <x:row r="2">
      <x:c r="A2" s="17" t="str">
        <x:v>DG-JB-20240104-20240113</x:v>
      </x:c>
      <x:c r="B2" s="17" t="str">
        <x:v>2024-01-04 to 2024-01-13</x:v>
      </x:c>
      <x:c r="C2" s="17" t="str">
        <x:v>Continuous monsoon flood</x:v>
      </x:c>
      <x:c r="D2" s="17" t="n">
        <x:v>14</x:v>
      </x:c>
      <x:c r="E2" s="17" t="str">
        <x:v>One prolonged Johor Bahru flood episode. Later 7–11 Jan location evidence is kept in the same Dedup_Group_ID to avoid double-counting the same monsoon event.</x:v>
      </x:c>
    </x:row>
    <x:row r="3">
      <x:c r="A3" s="17" t="str">
        <x:v>DG-JB-20240124</x:v>
      </x:c>
      <x:c r="B3" s="17" t="str">
        <x:v>2024-01-24</x:v>
      </x:c>
      <x:c r="C3" s="17" t="str">
        <x:v>Flash flood</x:v>
      </x:c>
      <x:c r="D3" s="17" t="n">
        <x:v>1</x:v>
      </x:c>
      <x:c r="E3" s="17" t="str">
        <x:v>Kuil Sri Muniswarar Maha Mariamman at Kampung Kangkar Tebrau Kiri; distinct post-monsoon-event flash flood.</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2" hidden="0" customWidth="1"/>
    <x:col min="2" max="2" width="54" hidden="0" customWidth="1"/>
    <x:col min="3" max="3" width="35" hidden="0" customWidth="1"/>
    <x:col min="4" max="4" width="17" hidden="0" customWidth="1"/>
    <x:col min="5" max="5" width="16" hidden="0" customWidth="1"/>
    <x:col min="6" max="6" width="30" hidden="0" customWidth="1"/>
    <x:col min="7" max="7" width="70" hidden="0" customWidth="1"/>
    <x:col min="8" max="8" width="78" hidden="0" customWidth="1"/>
  </x:cols>
  <x:sheetData>
    <x:row r="1">
      <x:c r="A1" s="47" t="str">
        <x:v>Source_ID</x:v>
      </x:c>
      <x:c r="B1" s="47" t="str">
        <x:v>Source_Title</x:v>
      </x:c>
      <x:c r="C1" s="47" t="str">
        <x:v>Publisher</x:v>
      </x:c>
      <x:c r="D1" s="47" t="str">
        <x:v>Publication_Date</x:v>
      </x:c>
      <x:c r="E1" s="47" t="str">
        <x:v>Reliability_Tier</x:v>
      </x:c>
      <x:c r="F1" s="47" t="str">
        <x:v>Use</x:v>
      </x:c>
      <x:c r="G1" s="47" t="str">
        <x:v>Source_URL</x:v>
      </x:c>
      <x:c r="H1" s="47" t="str">
        <x:v>Evidence_Note</x:v>
      </x:c>
    </x:row>
    <x:row r="2">
      <x:c r="A2" s="17" t="str">
        <x:v>SRC_R2024_SINAR_20240104</x:v>
      </x:c>
      <x:c r="B2" s="17" t="str">
        <x:v>Mangsa banjir Johor meningkat kepada 1,024</x:v>
      </x:c>
      <x:c r="C2" s="17" t="str">
        <x:v>Sinar Harian / JPBN</x:v>
      </x:c>
      <x:c r="D2" s="17" t="str">
        <x:v>2024-01-04</x:v>
      </x:c>
      <x:c r="E2" s="17" t="str">
        <x:v>A/B</x:v>
      </x:c>
      <x:c r="F2" s="17" t="str">
        <x:v>Exact episode/location evidence</x:v>
      </x:c>
      <x:c r="G2" s="17" t="str">
        <x:v>https://www.sinarharian.com.my/article/642682/berita/semasa/mangsa-banjir-johor-meningkat-kepada-1024</x:v>
      </x:c>
      <x:c r="H2" s="17" t="str">
        <x:v>Photo/caption and report explicitly identify Kampung Sentosa Damai residents as flood victims.</x:v>
      </x:c>
    </x:row>
    <x:row r="3">
      <x:c r="A3" s="17" t="str">
        <x:v>SRC_R2024_SINAR_20240105</x:v>
      </x:c>
      <x:c r="B3" s="17" t="str">
        <x:v>Sukarelawan APM tetap bertugas walaupun jadi mangsa banjir</x:v>
      </x:c>
      <x:c r="C3" s="17" t="str">
        <x:v>Sinar Harian</x:v>
      </x:c>
      <x:c r="D3" s="17" t="str">
        <x:v>2024-01-05</x:v>
      </x:c>
      <x:c r="E3" s="17" t="str">
        <x:v>B</x:v>
      </x:c>
      <x:c r="F3" s="17" t="str">
        <x:v>Residential corroboration</x:v>
      </x:c>
      <x:c r="G3" s="17" t="str">
        <x:v>https://www.sinarharian.com.my/article/642865/video/berita-semasa-video/sukarelawan-apm-tetap-bertugas-walaupun-jadi-mangsa-banjir</x:v>
      </x:c>
      <x:c r="H3" s="17" t="str">
        <x:v>Volunteer is explicitly described as a flood victim from Kampung Sentosa Damai 3.</x:v>
      </x:c>
    </x:row>
    <x:row r="4">
      <x:c r="A4" s="17" t="str">
        <x:v>SRC_R2024_SINAR_20240106</x:v>
      </x:c>
      <x:c r="B4" s="17" t="str">
        <x:v>Sungai, sistem perparitan cetek punca banjir</x:v>
      </x:c>
      <x:c r="C4" s="17" t="str">
        <x:v>Sinar Harian</x:v>
      </x:c>
      <x:c r="D4" s="17" t="str">
        <x:v>2024-01-06</x:v>
      </x:c>
      <x:c r="E4" s="17" t="str">
        <x:v>B</x:v>
      </x:c>
      <x:c r="F4" s="17" t="str">
        <x:v>Exact location evidence</x:v>
      </x:c>
      <x:c r="G4" s="17" t="str">
        <x:v>https://www.sinarharian.com.my/article/642962/edisi/johor/sungai-sistem-perparitan-cetek-punca-banjir</x:v>
      </x:c>
      <x:c r="H4" s="17" t="str">
        <x:v>States Kampung Paya and Kampung Sungai Serai had been flooded since Thursday (4 Jan).</x:v>
      </x:c>
    </x:row>
    <x:row r="5">
      <x:c r="A5" s="17" t="str">
        <x:v>SRC_R2024_BERNAMA_20240107</x:v>
      </x:c>
      <x:c r="B5" s="17" t="str">
        <x:v>42 Mangsa Banjir Berhampiran Sungai Tiram Dipindahkan Ke Dua PPS</x:v>
      </x:c>
      <x:c r="C5" s="17" t="str">
        <x:v>Bernama / JBPM</x:v>
      </x:c>
      <x:c r="D5" s="17" t="str">
        <x:v>2024-01-07</x:v>
      </x:c>
      <x:c r="E5" s="17" t="str">
        <x:v>A/B</x:v>
      </x:c>
      <x:c r="F5" s="17" t="str">
        <x:v>Exact location evidence</x:v>
      </x:c>
      <x:c r="G5" s="17" t="str">
        <x:v>https://bernama.com/bm/news.php?id=2260257</x:v>
      </x:c>
      <x:c r="H5" s="17" t="str">
        <x:v>Names Batu 10, Lorong Mak Piah, Kampung Paya, Kampung Sungai Serai and Simpang Ladang Mados.</x:v>
      </x:c>
    </x:row>
    <x:row r="6">
      <x:c r="A6" s="17" t="str">
        <x:v>SRC_R2024_MMAIL_20240107</x:v>
      </x:c>
      <x:c r="B6" s="17" t="str">
        <x:v>Johor floods: 230 villagers in Kg Bukit Dagang cut off after access road flooded</x:v>
      </x:c>
      <x:c r="C6" s="17" t="str">
        <x:v>Malay Mail carrying Bernama</x:v>
      </x:c>
      <x:c r="D6" s="17" t="str">
        <x:v>2024-01-07</x:v>
      </x:c>
      <x:c r="E6" s="17" t="str">
        <x:v>B</x:v>
      </x:c>
      <x:c r="F6" s="17" t="str">
        <x:v>Exact location evidence</x:v>
      </x:c>
      <x:c r="G6" s="17" t="str">
        <x:v>https://www.malaymail.com/news/malaysia/2024/01/07/johor-floods-230-villagers-in-kg-bukit-dagang-cut-off-after-access-road-flooded/111111</x:v>
      </x:c>
      <x:c r="H6" s="17" t="str">
        <x:v>Kampung Bukit Dagang access road flooded; four of about 60 houses affected.</x:v>
      </x:c>
    </x:row>
    <x:row r="7">
      <x:c r="A7" s="17" t="str">
        <x:v>SRC_R2024_BERNAMA_20240108</x:v>
      </x:c>
      <x:c r="B7" s="17" t="str">
        <x:v>Mangsa Banjir Di Johor Meningkat Kepada 6,564 Orang</x:v>
      </x:c>
      <x:c r="C7" s="17" t="str">
        <x:v>Bernama / JPBN</x:v>
      </x:c>
      <x:c r="D7" s="17" t="str">
        <x:v>2024-01-08</x:v>
      </x:c>
      <x:c r="E7" s="17" t="str">
        <x:v>A/B</x:v>
      </x:c>
      <x:c r="F7" s="17" t="str">
        <x:v>Exact location/photo evidence</x:v>
      </x:c>
      <x:c r="G7" s="17" t="str">
        <x:v>https://bernama.com/bm/news.php?id=2260348</x:v>
      </x:c>
      <x:c r="H7" s="17" t="str">
        <x:v>Bernama photo/report identifies Kampung Batu 20 and Kampung Bukit Dagang, Sungai Tiram.</x:v>
      </x:c>
    </x:row>
    <x:row r="8">
      <x:c r="A8" s="17" t="str">
        <x:v>SRC_R2024_SINAR_20240107_MAJU</x:v>
      </x:c>
      <x:c r="B8" s="17" t="str">
        <x:v>Murid cemas sekolah dilanda banjir</x:v>
      </x:c>
      <x:c r="C8" s="17" t="str">
        <x:v>Sinar Harian</x:v>
      </x:c>
      <x:c r="D8" s="17" t="str">
        <x:v>2024-01-07</x:v>
      </x:c>
      <x:c r="E8" s="17" t="str">
        <x:v>B</x:v>
      </x:c>
      <x:c r="F8" s="17" t="str">
        <x:v>Exact community/facility evidence</x:v>
      </x:c>
      <x:c r="G8" s="17" t="str">
        <x:v>https://www.sinarharian.com.my/article/643153/edisi/johor/murid-cemas-sekolah-dilanda-banjir</x:v>
      </x:c>
      <x:c r="H8" s="17" t="str">
        <x:v>SK Kampung Maju Jaya flooded; village head states the flood affected Kampung Maju Jaya and was worse than the previous year.</x:v>
      </x:c>
    </x:row>
    <x:row r="9">
      <x:c r="A9" s="17" t="str">
        <x:v>SRC_R2024_UTUSAN_20240109</x:v>
      </x:c>
      <x:c r="B9" s="17" t="str">
        <x:v>Banjir sehari, enam bulan baru pulih - Mangsa</x:v>
      </x:c>
      <x:c r="C9" s="17" t="str">
        <x:v>Utusan Malaysia</x:v>
      </x:c>
      <x:c r="D9" s="17" t="str">
        <x:v>2024-01-09</x:v>
      </x:c>
      <x:c r="E9" s="17" t="str">
        <x:v>B</x:v>
      </x:c>
      <x:c r="F9" s="17" t="str">
        <x:v>Community corroboration</x:v>
      </x:c>
      <x:c r="G9" s="17" t="str">
        <x:v>https://www.utusan.com.my/berita/2024/01/banjir-sehari-enam-bulan-baru-pulih-mangsa/</x:v>
      </x:c>
      <x:c r="H9" s="17" t="str">
        <x:v>Resident home in Kampung Maju Jaya, Jalan Kempas Lama was inundated to waist height.</x:v>
      </x:c>
    </x:row>
    <x:row r="10">
      <x:c r="A10" s="17" t="str">
        <x:v>SRC_R2024_RTM_20240108_SCHOOLS</x:v>
      </x:c>
      <x:c r="B10" s="17" t="str">
        <x:v>Banjir, tiga sekolah di Johor Bahru ditutup</x:v>
      </x:c>
      <x:c r="C10" s="17" t="str">
        <x:v>RTM / Johor Education Exco</x:v>
      </x:c>
      <x:c r="D10" s="17" t="str">
        <x:v>2024-01-08</x:v>
      </x:c>
      <x:c r="E10" s="17" t="str">
        <x:v>A/B</x:v>
      </x:c>
      <x:c r="F10" s="17" t="str">
        <x:v>Facility-impact evidence</x:v>
      </x:c>
      <x:c r="G10" s="17" t="str">
        <x:v>https://berita.rtm.gov.my/nasional/senarai-berita-nasional/senarai-artikel/banjir-tiga-sekolah-di-johor-bahru-ditutup/</x:v>
      </x:c>
      <x:c r="H10" s="17" t="str">
        <x:v>Schools affected/closed: SK Kampung Maju Jaya, SK Bukit Mutiara and SK Sungai Tiram.</x:v>
      </x:c>
    </x:row>
    <x:row r="11">
      <x:c r="A11" s="17" t="str">
        <x:v>SRC_R2024_RTM_20240109</x:v>
      </x:c>
      <x:c r="B11" s="17" t="str">
        <x:v>Banjir: Lebih 7,000 terjejas di Johor setakat 6 pagi ini</x:v>
      </x:c>
      <x:c r="C11" s="17" t="str">
        <x:v>RTM / JPBN</x:v>
      </x:c>
      <x:c r="D11" s="17" t="str">
        <x:v>2024-01-09</x:v>
      </x:c>
      <x:c r="E11" s="17" t="str">
        <x:v>A/B</x:v>
      </x:c>
      <x:c r="F11" s="17" t="str">
        <x:v>Road-closure evidence</x:v>
      </x:c>
      <x:c r="G11" s="17" t="str">
        <x:v>https://berita.rtm.gov.my/nasional/senarai-berita-nasional/senarai-artikel/banjir-lebih-7-000-terjejas-di-johor-setakat-6-pagi-ini</x:v>
      </x:c>
      <x:c r="H11" s="17" t="str">
        <x:v>Reports one Johor Bahru road closed; contemporaneous update identifies Jalan Kangkar Tebrau.</x:v>
      </x:c>
    </x:row>
    <x:row r="12">
      <x:c r="A12" s="17" t="str">
        <x:v>SRC_R2024_RTM_20240109_ROAD</x:v>
      </x:c>
      <x:c r="B12" s="17" t="str">
        <x:v>Bilangan penduduk terjejas banjir di Pahang meningkat dan Johor berkurangan</x:v>
      </x:c>
      <x:c r="C12" s="17" t="str">
        <x:v>RTM / JPBN</x:v>
      </x:c>
      <x:c r="D12" s="17" t="str">
        <x:v>2024-01-09</x:v>
      </x:c>
      <x:c r="E12" s="17" t="str">
        <x:v>A/B</x:v>
      </x:c>
      <x:c r="F12" s="17" t="str">
        <x:v>Exact road-closure evidence</x:v>
      </x:c>
      <x:c r="G12" s="17" t="str">
        <x:v>https://berita.rtm.gov.my/nasional/senarai-berita-nasional/senarai-artikel/bilangan-penduduk-terjejas-banjir-di-pahang-meningkat-dan-johor-berkurangan</x:v>
      </x:c>
      <x:c r="H12" s="17" t="str">
        <x:v>Explicitly states Jalan Kangkar Tebrau in Johor Bahru was closed to all vehicles.</x:v>
      </x:c>
    </x:row>
    <x:row r="13">
      <x:c r="A13" s="17" t="str">
        <x:v>SRC_R2024_NADMA_20240111</x:v>
      </x:c>
      <x:c r="B13" s="17" t="str">
        <x:v>Laporan Harian Bencana 11 Januari 2024</x:v>
      </x:c>
      <x:c r="C13" s="17" t="str">
        <x:v>NADMA</x:v>
      </x:c>
      <x:c r="D13" s="17" t="str">
        <x:v>2024-01-11</x:v>
      </x:c>
      <x:c r="E13" s="17" t="str">
        <x:v>A</x:v>
      </x:c>
      <x:c r="F13" s="17" t="str">
        <x:v>Flood-related infrastructure impact</x:v>
      </x:c>
      <x:c r="G13" s="17" t="str">
        <x:v>https://www.nadma.gov.my/images/2024/File/SITREP/SITREP_11_Januari_2024.pdf</x:v>
      </x:c>
      <x:c r="H13" s="17" t="str">
        <x:v>Lists Setia Indah under Johor Bahru areas where electricity supply was disconnected due to flood.</x:v>
      </x:c>
    </x:row>
    <x:row r="14">
      <x:c r="A14" s="17" t="str">
        <x:v>SRC_R2024_AWANI_20240125</x:v>
      </x:c>
      <x:c r="B14" s="17" t="str">
        <x:v>Tak sempat sambut Thaipusam, kuil dilanda banjir</x:v>
      </x:c>
      <x:c r="C14" s="17" t="str">
        <x:v>Astro Awani / Sinar / JBPM</x:v>
      </x:c>
      <x:c r="D14" s="17" t="str">
        <x:v>2024-01-25</x:v>
      </x:c>
      <x:c r="E14" s="17" t="str">
        <x:v>B</x:v>
      </x:c>
      <x:c r="F14" s="17" t="str">
        <x:v>Exact event/facility evidence</x:v>
      </x:c>
      <x:c r="G14" s="17" t="str">
        <x:v>https://www.astroawani.com/berita-malaysia/tak-sempat-sambut-thaipusam-kuil-dilanda-banjir-455504</x:v>
      </x:c>
      <x:c r="H14" s="17" t="str">
        <x:v>Temple at Kampung Kangkar Tebrau Kiri flooded on Wednesday night (24 Jan); 17 people trapped, water about 3 m.</x:v>
      </x:c>
    </x:row>
    <x:row r="15">
      <x:c r="A15" s="17" t="str">
        <x:v>SRC_R2024_DUN_NOV</x:v>
      </x:c>
      <x:c r="B15" s="17" t="str">
        <x:v>Soalan-Jawapan Bertulis November 2024 (Belanjawan 2025)</x:v>
      </x:c>
      <x:c r="C15" s="17" t="str">
        <x:v>Dewan Negeri Johor / MBJB</x:v>
      </x:c>
      <x:c r="D15" s="17" t="str">
        <x:v>2024-11</x:v>
      </x:c>
      <x:c r="E15" s="17" t="str">
        <x:v>A</x:v>
      </x:c>
      <x:c r="F15" s="17" t="str">
        <x:v>Period-level flood hotspot evidence</x:v>
      </x:c>
      <x:c r="G15" s="17" t="str">
        <x:v>https://dewannegeri.johor.gov.my/wp-content/uploads/2024/12/Soalan-Jawapan-Bertulis-November-2024-Belanjawan-2025REV-1.pdf</x:v>
      </x:c>
      <x:c r="H15" s="17" t="str">
        <x:v>Officially discusses flash-flood problems at Jalan Mutiara Emas 7, 7/1, 5/18, Taman Mount Austin and Taman Setia Indah, but does not assign separate exact event dates.</x:v>
      </x:c>
    </x:row>
    <x:row r="16">
      <x:c r="A16" s="17" t="str">
        <x:v>SRC_R2024_UTUSAN_20240426</x:v>
      </x:c>
      <x:c r="B16" s="17" t="str">
        <x:v>Penduduk minta masalah jalan rosak, banjir kilat diatasi segera</x:v>
      </x:c>
      <x:c r="C16" s="17" t="str">
        <x:v>Utusan Malaysia</x:v>
      </x:c>
      <x:c r="D16" s="17" t="str">
        <x:v>2024-04-26</x:v>
      </x:c>
      <x:c r="E16" s="17" t="str">
        <x:v>B</x:v>
      </x:c>
      <x:c r="F16" s="17" t="str">
        <x:v>Recurrence/context evidence</x:v>
      </x:c>
      <x:c r="G16" s="17" t="str">
        <x:v>https://www.utusan.com.my/nasional/2024/04/penduduk-minta-masalah-jalan-rosak-banjir-kilat-diatasi-segera/</x:v>
      </x:c>
      <x:c r="H16" s="17" t="str">
        <x:v>Kampung Sungai Rinting B residents describe recurring flash-flood problems over more than five years; no exact 2024 event date given.</x:v>
      </x:c>
    </x:row>
    <x:row r="17">
      <x:c r="A17" s="17" t="str">
        <x:v>SRC_R2024_RTM_20240128</x:v>
      </x:c>
      <x:c r="B17" s="17" t="str">
        <x:v>Johor laksana usaha perbaiki perparitan, elak pertambahan kawasan baharu banjir</x:v>
      </x:c>
      <x:c r="C17" s="17" t="str">
        <x:v>RTM / Johor state government</x:v>
      </x:c>
      <x:c r="D17" s="17" t="str">
        <x:v>2024-01-28</x:v>
      </x:c>
      <x:c r="E17" s="17" t="str">
        <x:v>A/B</x:v>
      </x:c>
      <x:c r="F17" s="17" t="str">
        <x:v>Policy/hotspot context</x:v>
      </x:c>
      <x:c r="G17" s="17" t="str">
        <x:v>https://berita.rtm.gov.my/nasional/senarai-berita-nasional/senarai-artikel/johor-laksana-usaha-perbaiki-perparitan-elak-pertambahan-kawasan-baharu-banjir/</x:v>
      </x:c>
      <x:c r="H17" s="17" t="str">
        <x:v>Confirms recurring Johor Bahru flood issues and flood-wall works at Kampung Mohd Amin and Setia Indah; not converted into extra dated events.</x:v>
      </x:c>
    </x:row>
    <x:row r="18">
      <x:c r="A18" s="17" t="str">
        <x:v>SRC_R2024_DUN_MAJU</x:v>
      </x:c>
      <x:c r="B18" s="17" t="str">
        <x:v>Verbatim 21 November 2024</x:v>
      </x:c>
      <x:c r="C18" s="17" t="str">
        <x:v>Dewan Negeri Johor</x:v>
      </x:c>
      <x:c r="D18" s="17" t="str">
        <x:v>2024-11-21</x:v>
      </x:c>
      <x:c r="E18" s="17" t="str">
        <x:v>A</x:v>
      </x:c>
      <x:c r="F18" s="17" t="str">
        <x:v>Retrospective event corroboration</x:v>
      </x:c>
      <x:c r="G18" s="17" t="str">
        <x:v>https://dewannegeri.johor.gov.my/wp-content/uploads/2025/05/VERBATIM-BELANJAWAN-2025.pdf</x:v>
      </x:c>
      <x:c r="H18" s="17" t="str">
        <x:v>Official state assembly record explicitly states the January 2024 flood occurred in Kampung Maju Jaya and a PPS was opened.</x:v>
      </x:c>
    </x:row>
    <x:row r="19">
      <x:c r="A19" s="17" t="str">
        <x:v>SRC_R2024_RTM_20240104_PPS</x:v>
      </x:c>
      <x:c r="B19" s="17" t="str">
        <x:v>Banjir: Penduduk terjejas di Johor meningkat kepada 522 orang</x:v>
      </x:c>
      <x:c r="C19" s="17" t="str">
        <x:v>RTM / JPBN</x:v>
      </x:c>
      <x:c r="D19" s="17" t="str">
        <x:v>2024-01-04</x:v>
      </x:c>
      <x:c r="E19" s="17" t="str">
        <x:v>A/B</x:v>
      </x:c>
      <x:c r="F19" s="17" t="str">
        <x:v>PPS context only</x:v>
      </x:c>
      <x:c r="G19" s="17" t="str">
        <x:v>https://berita.rtm.gov.my/nasional/senarai-berita-nasional/senarai-artikel/banjir-penduduk-terjejas-di-johor-meningkat-kepada-522-orang/</x:v>
      </x:c>
      <x:c r="H19" s="17" t="str">
        <x:v>Johor Bahru PPS included Dewan Muafakat Kampung Cahaya and Dewan Kampung Sungai Tiram. PPS site names are not automatically treated as flood-origin locations.</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16" hidden="0" customWidth="1"/>
    <x:col min="5" max="5" width="17" hidden="0" customWidth="1"/>
    <x:col min="6" max="6" width="17" hidden="0" customWidth="1"/>
    <x:col min="7" max="7" width="48" hidden="0" customWidth="1"/>
    <x:col min="8" max="8" width="42" hidden="0" customWidth="1"/>
    <x:col min="9" max="9" width="30" hidden="0" customWidth="1"/>
    <x:col min="10" max="10" width="68" hidden="0" customWidth="1"/>
    <x:col min="11" max="11" width="68" hidden="0" customWidth="1"/>
    <x:col min="12" max="12" width="17" hidden="0" customWidth="1"/>
  </x:cols>
  <x:sheetData>
    <x:row r="1">
      <x:c r="A1" s="47" t="str">
        <x:v>Spatial_Object_Key</x:v>
      </x:c>
      <x:c r="B1" s="47" t="str">
        <x:v>Canonical_Name</x:v>
      </x:c>
      <x:c r="C1" s="47" t="str">
        <x:v>Object_Type</x:v>
      </x:c>
      <x:c r="D1" s="47" t="str">
        <x:v>Point_GIS_Ready</x:v>
      </x:c>
      <x:c r="E1" s="47" t="str">
        <x:v>Longitude_WGS84</x:v>
      </x:c>
      <x:c r="F1" s="47" t="str">
        <x:v>Latitude_WGS84</x:v>
      </x:c>
      <x:c r="G1" s="47" t="str">
        <x:v>Point_Source</x:v>
      </x:c>
      <x:c r="H1" s="47" t="str">
        <x:v>Geometry_Status</x:v>
      </x:c>
      <x:c r="I1" s="47" t="str">
        <x:v>Polygon_ID</x:v>
      </x:c>
      <x:c r="J1" s="47" t="str">
        <x:v>Key_Conflict_or_Gap</x:v>
      </x:c>
      <x:c r="K1" s="47" t="str">
        <x:v>Next_Spatial_Action</x:v>
      </x:c>
      <x:c r="L1" s="47" t="str">
        <x:v>Event_Count_2024</x:v>
      </x:c>
    </x:row>
    <x:row r="2">
      <x:c r="A2" s="17" t="str">
        <x:v>S2024-001</x:v>
      </x:c>
      <x:c r="B2" s="17" t="str">
        <x:v>Kampung Sentosa Damai</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official/local-government geospatial source.</x:v>
      </x:c>
      <x:c r="L2" s="17" t="n">
        <x:f>COUNTIF('26_2024_Event_Master'!$E$2:$E$16,A2)</x:f>
        <x:v>1</x:v>
      </x:c>
    </x:row>
    <x:row r="3">
      <x:c r="A3" s="17" t="str">
        <x:v>S2024-002</x:v>
      </x:c>
      <x:c r="B3" s="17" t="str">
        <x:v>Kampung Paya (Sungai Tiram/Nam Heng context)</x:v>
      </x:c>
      <x:c r="C3" s="17" t="str">
        <x:v>COMMUNITY/AREA</x:v>
      </x:c>
      <x:c r="D3" s="24" t="b">
        <x:v>0</x:v>
      </x:c>
      <x:c r="E3" s="17"/>
      <x:c r="F3" s="17"/>
      <x:c r="G3" s="17" t="str"/>
      <x:c r="H3" s="17" t="str">
        <x:v>IDENTITY_CONTEXT_RESOLVED; POINT_OPEN; POLYGON_OPEN</x:v>
      </x:c>
      <x:c r="I3" s="17" t="str"/>
      <x:c r="J3" s="17" t="str">
        <x:v>Flood identity is clear in Sungai Tiram/Nam Heng context, but no strict point is frozen; unrelated Kampung Paya locations must not be substituted.</x:v>
      </x:c>
      <x:c r="K3" s="17" t="str">
        <x:v>Resolve official/local-government point or named boundary.</x:v>
      </x:c>
      <x:c r="L3" s="17" t="n">
        <x:f>COUNTIF('26_2024_Event_Master'!$E$2:$E$16,A3)</x:f>
        <x:v>1</x:v>
      </x:c>
    </x:row>
    <x:row r="4">
      <x:c r="A4" s="17" t="str">
        <x:v>S2024-003</x:v>
      </x:c>
      <x:c r="B4" s="17" t="str">
        <x:v>Kampung Sungai Serai</x:v>
      </x:c>
      <x:c r="C4" s="17" t="str">
        <x:v>COMMUNITY/AREA</x:v>
      </x:c>
      <x:c r="D4" s="24" t="b">
        <x:v>0</x:v>
      </x:c>
      <x:c r="E4" s="17"/>
      <x:c r="F4" s="17"/>
      <x:c r="G4" s="17" t="str"/>
      <x:c r="H4" s="17" t="str">
        <x:v>IDENTITY_CONFIRMED; POINT_OPEN; POLYGON_OPEN</x:v>
      </x:c>
      <x:c r="I4" s="17" t="str"/>
      <x:c r="J4" s="17" t="str">
        <x:v>MBPG community context supports Sungai Serai identity, but no strict WGS84 point is frozen in this pass.</x:v>
      </x:c>
      <x:c r="K4" s="17" t="str">
        <x:v>Resolve exact official point/boundary before GIS freeze.</x:v>
      </x:c>
      <x:c r="L4" s="17" t="n">
        <x:f>COUNTIF('26_2024_Event_Master'!$E$2:$E$16,A4)</x:f>
        <x:v>1</x:v>
      </x:c>
    </x:row>
    <x:row r="5">
      <x:c r="A5" s="17" t="str">
        <x:v>S2024-004</x:v>
      </x:c>
      <x:c r="B5" s="17" t="str">
        <x:v>Batu 10, Sungai Tiram context</x:v>
      </x:c>
      <x:c r="C5" s="17" t="str">
        <x:v>ROAD/LOCALITY</x:v>
      </x:c>
      <x:c r="D5" s="24" t="b">
        <x:v>0</x:v>
      </x:c>
      <x:c r="E5" s="17"/>
      <x:c r="F5" s="17"/>
      <x:c r="G5" s="17" t="str"/>
      <x:c r="H5" s="17" t="str">
        <x:v>ROAD/CHAINAGE_OBJECT_OPEN</x:v>
      </x:c>
      <x:c r="I5" s="17" t="str"/>
      <x:c r="J5" s="17" t="str">
        <x:v>Batu 10 here is in Sungai Tiram context and must not be merged with Batu 10 Kampung Laut, Skudai.</x:v>
      </x:c>
      <x:c r="K5" s="17" t="str">
        <x:v>Resolve exact road-chainage/locality geometry.</x:v>
      </x:c>
      <x:c r="L5" s="17" t="n">
        <x:f>COUNTIF('26_2024_Event_Master'!$E$2:$E$16,A5)</x:f>
        <x:v>1</x:v>
      </x:c>
    </x:row>
    <x:row r="6">
      <x:c r="A6" s="17" t="str">
        <x:v>S2024-005</x:v>
      </x:c>
      <x:c r="B6" s="17" t="str">
        <x:v>Lorong Mak Piah, Kampung Sungai Tiram</x:v>
      </x:c>
      <x:c r="C6" s="17" t="str">
        <x:v>ROAD</x:v>
      </x:c>
      <x:c r="D6" s="24" t="b">
        <x:v>0</x:v>
      </x:c>
      <x:c r="E6" s="17"/>
      <x:c r="F6" s="17"/>
      <x:c r="G6" s="17" t="str"/>
      <x:c r="H6" s="17" t="str">
        <x:v>ROAD_SEGMENT_OPEN</x:v>
      </x:c>
      <x:c r="I6" s="17" t="str"/>
      <x:c r="J6" s="17" t="str">
        <x:v>Named lane is flood-valid, but exact affected start/end segment is absent.</x:v>
      </x:c>
      <x:c r="K6" s="17" t="str">
        <x:v>Keep road segment open unless event-specific extents are recovered.</x:v>
      </x:c>
      <x:c r="L6" s="17" t="n">
        <x:f>COUNTIF('26_2024_Event_Master'!$E$2:$E$16,A6)</x:f>
        <x:v>1</x:v>
      </x:c>
    </x:row>
    <x:row r="7">
      <x:c r="A7" s="17" t="str">
        <x:v>S2024-006</x:v>
      </x:c>
      <x:c r="B7" s="17" t="str">
        <x:v>Simpang Ladang Mados</x:v>
      </x:c>
      <x:c r="C7" s="17" t="str">
        <x:v>ROAD/LOCALITY</x:v>
      </x:c>
      <x:c r="D7" s="24" t="b">
        <x:v>0</x:v>
      </x:c>
      <x:c r="E7" s="17"/>
      <x:c r="F7" s="17"/>
      <x:c r="G7" s="17" t="str"/>
      <x:c r="H7" s="17" t="str">
        <x:v>POINT_OPEN; POLYGON_OPEN</x:v>
      </x:c>
      <x:c r="I7" s="17" t="str"/>
      <x:c r="J7" s="17" t="str">
        <x:v>Event identity is valid but no strict traceable point/boundary is frozen.</x:v>
      </x:c>
      <x:c r="K7" s="17" t="str">
        <x:v>Seek official/local-government geospatial source.</x:v>
      </x:c>
      <x:c r="L7" s="17" t="n">
        <x:f>COUNTIF('26_2024_Event_Master'!$E$2:$E$16,A7)</x:f>
        <x:v>1</x:v>
      </x:c>
    </x:row>
    <x:row r="8">
      <x:c r="A8" s="17" t="str">
        <x:v>S2024-007</x:v>
      </x:c>
      <x:c r="B8" s="17" t="str">
        <x:v>Kampung Bukit Dagang</x:v>
      </x:c>
      <x:c r="C8" s="17" t="str">
        <x:v>COMMUNITY/AREA</x:v>
      </x:c>
      <x:c r="D8" s="24" t="b">
        <x:v>1</x:v>
      </x:c>
      <x:c r="E8" s="17" t="n">
        <x:v>103.924811</x:v>
      </x:c>
      <x:c r="F8" s="17" t="n">
        <x:v>1.59376731</x:v>
      </x:c>
      <x:c r="G8" s="17" t="str">
        <x:v>MyGeoName Johor official gazette point</x:v>
      </x:c>
      <x:c r="H8" s="17" t="str">
        <x:v>POINT_READY; POLYGON_OPEN</x:v>
      </x:c>
      <x:c r="I8" s="17" t="str"/>
      <x:c r="J8" s="17" t="str">
        <x:v>Representative point is defensible; exact event/community flood polygon is not frozen.</x:v>
      </x:c>
      <x:c r="K8" s="17" t="str">
        <x:v>Seek exact named closed boundary; do not fabricate inundation polygon.</x:v>
      </x:c>
      <x:c r="L8" s="17" t="n">
        <x:f>COUNTIF('26_2024_Event_Master'!$E$2:$E$16,A8)</x:f>
        <x:v>1</x:v>
      </x:c>
    </x:row>
    <x:row r="9">
      <x:c r="A9" s="17" t="str">
        <x:v>S2024-008</x:v>
      </x:c>
      <x:c r="B9" s="17" t="str">
        <x:v>Kampung Batu 20, Sungai Tiram</x:v>
      </x:c>
      <x:c r="C9" s="17" t="str">
        <x:v>COMMUNITY/AREA</x:v>
      </x:c>
      <x:c r="D9" s="24" t="b">
        <x:v>0</x:v>
      </x:c>
      <x:c r="E9" s="17"/>
      <x:c r="F9" s="17"/>
      <x:c r="G9" s="17" t="str"/>
      <x:c r="H9" s="17" t="str">
        <x:v>ROAD/LOCALITY_OBJECT_OPEN</x:v>
      </x:c>
      <x:c r="I9" s="17" t="str"/>
      <x:c r="J9" s="17" t="str">
        <x:v>Source explicitly names Kampung Batu 20; exact boundary/segment is not frozen.</x:v>
      </x:c>
      <x:c r="K9" s="17" t="str">
        <x:v>Resolve exact community/road-access geometry.</x:v>
      </x:c>
      <x:c r="L9" s="17" t="n">
        <x:f>COUNTIF('26_2024_Event_Master'!$E$2:$E$16,A9)</x:f>
        <x:v>1</x:v>
      </x:c>
    </x:row>
    <x:row r="10">
      <x:c r="A10" s="17" t="str">
        <x:v>S2024-009</x:v>
      </x:c>
      <x:c r="B10" s="17" t="str">
        <x:v>Kampung Maju Jaya</x:v>
      </x:c>
      <x:c r="C10" s="17" t="str">
        <x:v>COMMUNITY/AREA</x:v>
      </x:c>
      <x:c r="D10" s="24" t="b">
        <x:v>1</x:v>
      </x:c>
      <x:c r="E10" s="17" t="n">
        <x:v>103.7159181</x:v>
      </x:c>
      <x:c r="F10" s="17" t="n">
        <x:v>1.5810921</x:v>
      </x:c>
      <x:c r="G10" s="17" t="str">
        <x:v>Frozen HF18 reference point</x:v>
      </x:c>
      <x:c r="H10" s="17" t="str">
        <x:v>POINT_READY; POLYGON_OPEN</x:v>
      </x:c>
      <x:c r="I10" s="17" t="str"/>
      <x:c r="J10" s="17" t="str">
        <x:v>Representative point is defensible; exact event/community flood polygon is not frozen.</x:v>
      </x:c>
      <x:c r="K10" s="17" t="str">
        <x:v>Seek exact named closed boundary; do not fabricate inundation polygon.</x:v>
      </x:c>
      <x:c r="L10" s="17" t="n">
        <x:f>COUNTIF('26_2024_Event_Master'!$E$2:$E$16,A10)</x:f>
        <x:v>1</x:v>
      </x:c>
    </x:row>
    <x:row r="11">
      <x:c r="A11" s="17" t="str">
        <x:v>S2024-010</x:v>
      </x:c>
      <x:c r="B11" s="17" t="str">
        <x:v>SK Kampung Maju Jaya</x:v>
      </x:c>
      <x:c r="C11" s="17" t="str">
        <x:v>CRITICAL FACILITY</x:v>
      </x:c>
      <x:c r="D11" s="24" t="b">
        <x:v>1</x:v>
      </x:c>
      <x:c r="E11" s="17" t="n">
        <x:v>103.718275204555</x:v>
      </x:c>
      <x:c r="F11" s="17" t="n">
        <x:v>1.5804887</x:v>
      </x:c>
      <x:c r="G11" s="17" t="str">
        <x:v>Frozen HF44 facility reference point</x:v>
      </x:c>
      <x:c r="H11" s="17" t="str">
        <x:v>POINT_READY; FACILITY_POLYGON_OPEN</x:v>
      </x:c>
      <x:c r="I11" s="17" t="str"/>
      <x:c r="J11" s="17" t="str">
        <x:v>Facility point is defensible; exact facility/flood polygon not frozen.</x:v>
      </x:c>
      <x:c r="K11" s="17" t="str">
        <x:v>Resolve exact building boundary only where defensible.</x:v>
      </x:c>
      <x:c r="L11" s="17" t="n">
        <x:f>COUNTIF('26_2024_Event_Master'!$E$2:$E$16,A11)</x:f>
        <x:v>1</x:v>
      </x:c>
    </x:row>
    <x:row r="12">
      <x:c r="A12" s="17" t="str">
        <x:v>S2024-011</x:v>
      </x:c>
      <x:c r="B12" s="17" t="str">
        <x:v>SK Bukit Mutiara</x:v>
      </x:c>
      <x:c r="C12" s="17" t="str">
        <x:v>CRITICAL FACILITY</x:v>
      </x:c>
      <x:c r="D12" s="24" t="b">
        <x:v>0</x:v>
      </x:c>
      <x:c r="E12" s="17"/>
      <x:c r="F12" s="17"/>
      <x:c r="G12" s="17" t="str"/>
      <x:c r="H12" s="17" t="str">
        <x:v>FACILITY_POINT/POLYGON_OPEN</x:v>
      </x:c>
      <x:c r="I12" s="17" t="str"/>
      <x:c r="J12" s="17" t="str">
        <x:v>Facility impact is event-valid; exact facility building/flood-water geometry is not frozen.</x:v>
      </x:c>
      <x:c r="K12" s="17" t="str">
        <x:v>Resolve exact building boundary only where defensible.</x:v>
      </x:c>
      <x:c r="L12" s="17" t="n">
        <x:f>COUNTIF('26_2024_Event_Master'!$E$2:$E$16,A12)</x:f>
        <x:v>1</x:v>
      </x:c>
    </x:row>
    <x:row r="13">
      <x:c r="A13" s="17" t="str">
        <x:v>S2024-012</x:v>
      </x:c>
      <x:c r="B13" s="17" t="str">
        <x:v>SK Sungai Tiram</x:v>
      </x:c>
      <x:c r="C13" s="17" t="str">
        <x:v>CRITICAL FACILITY</x:v>
      </x:c>
      <x:c r="D13" s="24" t="b">
        <x:v>0</x:v>
      </x:c>
      <x:c r="E13" s="17"/>
      <x:c r="F13" s="17"/>
      <x:c r="G13" s="17" t="str"/>
      <x:c r="H13" s="17" t="str">
        <x:v>FACILITY_POINT/POLYGON_OPEN</x:v>
      </x:c>
      <x:c r="I13" s="17" t="str"/>
      <x:c r="J13" s="17" t="str">
        <x:v>Facility impact is event-valid; exact facility building/flood-water geometry is not frozen.</x:v>
      </x:c>
      <x:c r="K13" s="17" t="str">
        <x:v>Resolve exact building boundary only where defensible.</x:v>
      </x:c>
      <x:c r="L13" s="17" t="n">
        <x:f>COUNTIF('26_2024_Event_Master'!$E$2:$E$16,A13)</x:f>
        <x:v>1</x:v>
      </x:c>
    </x:row>
    <x:row r="14">
      <x:c r="A14" s="17" t="str">
        <x:v>S2024-013</x:v>
      </x:c>
      <x:c r="B14" s="17" t="str">
        <x:v>Jalan Kangkar Tebrau</x:v>
      </x:c>
      <x:c r="C14" s="17" t="str">
        <x:v>ROAD</x:v>
      </x:c>
      <x:c r="D14" s="24" t="b">
        <x:v>0</x:v>
      </x:c>
      <x:c r="E14" s="17"/>
      <x:c r="F14" s="17"/>
      <x:c r="G14" s="17" t="str"/>
      <x:c r="H14" s="17" t="str">
        <x:v>ROAD_SEGMENT_OPEN</x:v>
      </x:c>
      <x:c r="I14" s="17" t="str"/>
      <x:c r="J14" s="17" t="str">
        <x:v>Official road-closure evidence exists; parent Kampung Kangkar Tebrau polygon is not a road-flood footprint.</x:v>
      </x:c>
      <x:c r="K14" s="17" t="str">
        <x:v>Do not reuse community polygon for road segment; recover exact closed section if possible.</x:v>
      </x:c>
      <x:c r="L14" s="17" t="n">
        <x:f>COUNTIF('26_2024_Event_Master'!$E$2:$E$16,A14)</x:f>
        <x:v>1</x:v>
      </x:c>
    </x:row>
    <x:row r="15">
      <x:c r="A15" s="17" t="str">
        <x:v>S2024-014</x:v>
      </x:c>
      <x:c r="B15" s="17" t="str">
        <x:v>Taman Setia Indah</x:v>
      </x:c>
      <x:c r="C15" s="17" t="str">
        <x:v>COMMUNITY/AREA</x:v>
      </x:c>
      <x:c r="D15" s="24" t="b">
        <x:v>1</x:v>
      </x:c>
      <x:c r="E15" s="17" t="n">
        <x:v>103.7592769</x:v>
      </x:c>
      <x:c r="F15" s="17" t="n">
        <x:v>1.5689894</x:v>
      </x:c>
      <x:c r="G15" s="17" t="str">
        <x:v>Frozen HF20 reference point</x:v>
      </x:c>
      <x:c r="H15" s="17" t="str">
        <x:v>POINT_READY; POLYGON_OPEN</x:v>
      </x:c>
      <x:c r="I15" s="17" t="str"/>
      <x:c r="J15" s="17" t="str">
        <x:v>Representative point is defensible; exact event/community flood polygon is not frozen.</x:v>
      </x:c>
      <x:c r="K15" s="17" t="str">
        <x:v>Seek exact named closed boundary; do not fabricate inundation polygon.</x:v>
      </x:c>
      <x:c r="L15" s="17" t="n">
        <x:f>COUNTIF('26_2024_Event_Master'!$E$2:$E$16,A15)</x:f>
        <x:v>1</x:v>
      </x:c>
    </x:row>
    <x:row r="16">
      <x:c r="A16" s="17" t="str">
        <x:v>S2024-015</x:v>
      </x:c>
      <x:c r="B16" s="17" t="str">
        <x:v>Kuil Sri Muniswarar Maha Mariamman, Kampung Kangkar Tebrau Kiri</x:v>
      </x:c>
      <x:c r="C16" s="17" t="str">
        <x:v>CRITICAL FACILITY</x:v>
      </x:c>
      <x:c r="D16" s="24" t="b">
        <x:v>0</x:v>
      </x:c>
      <x:c r="E16" s="17"/>
      <x:c r="F16" s="17"/>
      <x:c r="G16" s="17" t="str"/>
      <x:c r="H16" s="17" t="str">
        <x:v>FACILITY_POINT/POLYGON_OPEN</x:v>
      </x:c>
      <x:c r="I16" s="17" t="str"/>
      <x:c r="J16" s="17" t="str">
        <x:v>Facility impact is event-valid; exact facility building/flood-water geometry is not frozen.</x:v>
      </x:c>
      <x:c r="K16" s="17" t="str">
        <x:v>Resolve exact building boundary only where defensible.</x:v>
      </x:c>
      <x:c r="L16" s="17" t="n">
        <x:f>COUNTIF('26_2024_Event_Master'!$E$2:$E$16,A16)</x:f>
        <x:v>1</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8" hidden="0" customWidth="1"/>
    <x:col min="2" max="2" width="23" hidden="0" customWidth="1"/>
    <x:col min="3" max="3" width="48" hidden="0" customWidth="1"/>
    <x:col min="4" max="4" width="40" hidden="0" customWidth="1"/>
    <x:col min="5" max="5" width="31" hidden="0" customWidth="1"/>
    <x:col min="6" max="6" width="82" hidden="0" customWidth="1"/>
  </x:cols>
  <x:sheetData>
    <x:row r="1">
      <x:c r="A1" s="47" t="str">
        <x:v>Candidate_ID</x:v>
      </x:c>
      <x:c r="B1" s="47" t="str">
        <x:v>Time_Context</x:v>
      </x:c>
      <x:c r="C1" s="47" t="str">
        <x:v>Location_Label</x:v>
      </x:c>
      <x:c r="D1" s="47" t="str">
        <x:v>Resolution_Status</x:v>
      </x:c>
      <x:c r="E1" s="47" t="str">
        <x:v>Primary_Source_ID</x:v>
      </x:c>
      <x:c r="F1" s="47" t="str">
        <x:v>Decision_Note</x:v>
      </x:c>
    </x:row>
    <x:row r="2">
      <x:c r="A2" s="17" t="str">
        <x:v>CAND-2024-JAN04-PPS-CAHAYA</x:v>
      </x:c>
      <x:c r="B2" s="17" t="str">
        <x:v>2024-01-04</x:v>
      </x:c>
      <x:c r="C2" s="17" t="str">
        <x:v>Dewan Muafakat Kampung Cahaya Baru / SK Kampung Cahaya Baru</x:v>
      </x:c>
      <x:c r="D2" s="17" t="str">
        <x:v>PPS_LOCATION_NOT_ORIGIN</x:v>
      </x:c>
      <x:c r="E2" s="17" t="str">
        <x:v>SRC_R2024_RTM_20240104_PPS</x:v>
      </x:c>
      <x:c r="F2" s="17" t="str">
        <x:v>PPS locations prove district impact but do not by themselves prove the PPS-site community was inundated; do not count as event-location without origin evidence.</x:v>
      </x:c>
    </x:row>
    <x:row r="3">
      <x:c r="A3" s="17" t="str">
        <x:v>CAND-2024-MUTIARA7</x:v>
      </x:c>
      <x:c r="B3" s="17" t="str">
        <x:v>2024 period</x:v>
      </x:c>
      <x:c r="C3" s="17" t="str">
        <x:v>Jalan Mutiara Emas 7</x:v>
      </x:c>
      <x:c r="D3" s="17" t="str">
        <x:v>DATE_UNRESOLVED</x:v>
      </x:c>
      <x:c r="E3" s="17" t="str">
        <x:v>SRC_R2024_DUN_NOV</x:v>
      </x:c>
      <x:c r="F3" s="17" t="str">
        <x:v>Official MBJB/DUN record confirms flash-flood problem; exact independent event date not supplied.</x:v>
      </x:c>
    </x:row>
    <x:row r="4">
      <x:c r="A4" s="17" t="str">
        <x:v>CAND-2024-MUTIARA7-1</x:v>
      </x:c>
      <x:c r="B4" s="17" t="str">
        <x:v>2024 period</x:v>
      </x:c>
      <x:c r="C4" s="17" t="str">
        <x:v>Jalan Mutiara Emas 7/1</x:v>
      </x:c>
      <x:c r="D4" s="17" t="str">
        <x:v>DATE_UNRESOLVED</x:v>
      </x:c>
      <x:c r="E4" s="17" t="str">
        <x:v>SRC_R2024_DUN_NOV</x:v>
      </x:c>
      <x:c r="F4" s="17" t="str">
        <x:v>Official MBJB/DUN record confirms flash-flood problem; exact independent event date not supplied.</x:v>
      </x:c>
    </x:row>
    <x:row r="5">
      <x:c r="A5" s="17" t="str">
        <x:v>CAND-2024-MUTIARA5-18</x:v>
      </x:c>
      <x:c r="B5" s="17" t="str">
        <x:v>2024 period</x:v>
      </x:c>
      <x:c r="C5" s="17" t="str">
        <x:v>Jalan Mutiara Emas 5/18</x:v>
      </x:c>
      <x:c r="D5" s="17" t="str">
        <x:v>DATE_UNRESOLVED</x:v>
      </x:c>
      <x:c r="E5" s="17" t="str">
        <x:v>SRC_R2024_DUN_NOV</x:v>
      </x:c>
      <x:c r="F5" s="17" t="str">
        <x:v>Official MBJB/DUN record confirms flash-flood problem; exact independent event date not supplied.</x:v>
      </x:c>
    </x:row>
    <x:row r="6">
      <x:c r="A6" s="17" t="str">
        <x:v>CAND-2024-MOUNT-AUSTIN</x:v>
      </x:c>
      <x:c r="B6" s="17" t="str">
        <x:v>2024 period</x:v>
      </x:c>
      <x:c r="C6" s="17" t="str">
        <x:v>Taman Mount Austin</x:v>
      </x:c>
      <x:c r="D6" s="17" t="str">
        <x:v>DATE_UNRESOLVED</x:v>
      </x:c>
      <x:c r="E6" s="17" t="str">
        <x:v>SRC_R2024_DUN_NOV</x:v>
      </x:c>
      <x:c r="F6" s="17" t="str">
        <x:v>Official MBJB/DUN record confirms flash-flood problem; exact independent event date not supplied.</x:v>
      </x:c>
    </x:row>
    <x:row r="7">
      <x:c r="A7" s="17" t="str">
        <x:v>CAND-2024-SETIA-INDAH-RECURRENCE</x:v>
      </x:c>
      <x:c r="B7" s="17" t="str">
        <x:v>2024 period</x:v>
      </x:c>
      <x:c r="C7" s="17" t="str">
        <x:v>Taman Setia Indah</x:v>
      </x:c>
      <x:c r="D7" s="17" t="str">
        <x:v>RECURRENCE_CONTEXT_ONLY</x:v>
      </x:c>
      <x:c r="E7" s="17" t="str">
        <x:v>SRC_R2024_DUN_NOV</x:v>
      </x:c>
      <x:c r="F7" s="17" t="str">
        <x:v>Already has one Jan-episode flood-related impact row; period-level official record is not counted as an additional event.</x:v>
      </x:c>
    </x:row>
    <x:row r="8">
      <x:c r="A8" s="17" t="str">
        <x:v>CAND-2024-SG-RINTING-B</x:v>
      </x:c>
      <x:c r="B8" s="17" t="str">
        <x:v>Multi-year recurrence</x:v>
      </x:c>
      <x:c r="C8" s="17" t="str">
        <x:v>Kampung Sungai Rinting B</x:v>
      </x:c>
      <x:c r="D8" s="17" t="str">
        <x:v>EXACT_2024_DATE_UNRESOLVED</x:v>
      </x:c>
      <x:c r="E8" s="17" t="str">
        <x:v>SRC_R2024_UTUSAN_20240426</x:v>
      </x:c>
      <x:c r="F8" s="17" t="str">
        <x:v>Recurrent flash-flood problem reported over &gt;5 years; no exact 2024 event date.</x:v>
      </x:c>
    </x:row>
    <x:row r="9">
      <x:c r="A9" s="17" t="str">
        <x:v>CAND-2024-MOHD-AMIN-HOTSPOT</x:v>
      </x:c>
      <x:c r="B9" s="17" t="str">
        <x:v>2024 policy context</x:v>
      </x:c>
      <x:c r="C9" s="17" t="str">
        <x:v>Kampung Mohd Amin</x:v>
      </x:c>
      <x:c r="D9" s="17" t="str">
        <x:v>POLICY_HOTSPOT_NOT_DATED_EVENT</x:v>
      </x:c>
      <x:c r="E9" s="17" t="str">
        <x:v>SRC_R2024_RTM_20240128</x:v>
      </x:c>
      <x:c r="F9" s="17" t="str">
        <x:v>Flood-mitigation works confirm recurring risk, not a separate dated 2024 event.</x:v>
      </x:c>
    </x:row>
    <x:row r="10">
      <x:c r="A10" s="17" t="str">
        <x:v>CAND-2024-KG-CAHAYA-PPS</x:v>
      </x:c>
      <x:c r="B10" s="17" t="str">
        <x:v>2024-01-04</x:v>
      </x:c>
      <x:c r="C10" s="17" t="str">
        <x:v>Kampung Cahaya Baru</x:v>
      </x:c>
      <x:c r="D10" s="17" t="str">
        <x:v>ORIGIN_NOT_EXPLICIT</x:v>
      </x:c>
      <x:c r="E10" s="17" t="str">
        <x:v>SRC_R2024_RTM_20240104_PPS</x:v>
      </x:c>
      <x:c r="F10" s="17" t="str">
        <x:v>PPS name is not treated as proof that Kampung Cahaya Baru itself was inundated.</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42" hidden="0" customWidth="1"/>
    <x:col min="5" max="5" width="70" hidden="0" customWidth="1"/>
    <x:col min="6" max="6" width="70" hidden="0" customWidth="1"/>
    <x:col min="7" max="7" width="47" hidden="0" customWidth="1"/>
  </x:cols>
  <x:sheetData>
    <x:row r="1">
      <x:c r="A1" s="47" t="str">
        <x:v>Spatial_Object_Key</x:v>
      </x:c>
      <x:c r="B1" s="47" t="str">
        <x:v>Canonical_Name</x:v>
      </x:c>
      <x:c r="C1" s="47" t="str">
        <x:v>Object_Type</x:v>
      </x:c>
      <x:c r="D1" s="47" t="str">
        <x:v>Current_Status</x:v>
      </x:c>
      <x:c r="E1" s="47" t="str">
        <x:v>Key_Conflict_or_Gap</x:v>
      </x:c>
      <x:c r="F1" s="47" t="str">
        <x:v>Next_Spatial_Action</x:v>
      </x:c>
      <x:c r="G1" s="47" t="str">
        <x:v>Decision</x:v>
      </x:c>
    </x:row>
    <x:row r="2">
      <x:c r="A2" s="17" t="str">
        <x:v>S2024-001</x:v>
      </x:c>
      <x:c r="B2" s="17" t="str">
        <x:v>Kampung Sentosa Damai</x:v>
      </x:c>
      <x:c r="C2" s="17" t="str">
        <x:v>COMMUNITY/AREA</x:v>
      </x:c>
      <x:c r="D2" s="17" t="str">
        <x:v>POINT_OPEN; POLYGON_OPEN</x:v>
      </x:c>
      <x:c r="E2" s="17" t="str">
        <x:v>Event identity is valid but no strict traceable point/boundary is frozen.</x:v>
      </x:c>
      <x:c r="F2" s="17" t="str">
        <x:v>Seek official/local-government geospatial source.</x:v>
      </x:c>
      <x:c r="G2" s="17" t="str">
        <x:v>OPEN - retain evidence; no fabricated closure</x:v>
      </x:c>
    </x:row>
    <x:row r="3">
      <x:c r="A3" s="17" t="str">
        <x:v>S2024-002</x:v>
      </x:c>
      <x:c r="B3" s="17" t="str">
        <x:v>Kampung Paya (Sungai Tiram/Nam Heng context)</x:v>
      </x:c>
      <x:c r="C3" s="17" t="str">
        <x:v>COMMUNITY/AREA</x:v>
      </x:c>
      <x:c r="D3" s="17" t="str">
        <x:v>IDENTITY_CONTEXT_RESOLVED; POINT_OPEN; POLYGON_OPEN</x:v>
      </x:c>
      <x:c r="E3" s="17" t="str">
        <x:v>Flood identity is clear in Sungai Tiram/Nam Heng context, but no strict point is frozen; unrelated Kampung Paya locations must not be substituted.</x:v>
      </x:c>
      <x:c r="F3" s="17" t="str">
        <x:v>Resolve official/local-government point or named boundary.</x:v>
      </x:c>
      <x:c r="G3" s="17" t="str">
        <x:v>OPEN - retain evidence; no fabricated closure</x:v>
      </x:c>
    </x:row>
    <x:row r="4">
      <x:c r="A4" s="17" t="str">
        <x:v>S2024-003</x:v>
      </x:c>
      <x:c r="B4" s="17" t="str">
        <x:v>Kampung Sungai Serai</x:v>
      </x:c>
      <x:c r="C4" s="17" t="str">
        <x:v>COMMUNITY/AREA</x:v>
      </x:c>
      <x:c r="D4" s="17" t="str">
        <x:v>IDENTITY_CONFIRMED; POINT_OPEN; POLYGON_OPEN</x:v>
      </x:c>
      <x:c r="E4" s="17" t="str">
        <x:v>MBPG community context supports Sungai Serai identity, but no strict WGS84 point is frozen in this pass.</x:v>
      </x:c>
      <x:c r="F4" s="17" t="str">
        <x:v>Resolve exact official point/boundary before GIS freeze.</x:v>
      </x:c>
      <x:c r="G4" s="17" t="str">
        <x:v>OPEN - retain evidence; no fabricated closure</x:v>
      </x:c>
    </x:row>
    <x:row r="5">
      <x:c r="A5" s="17" t="str">
        <x:v>S2024-004</x:v>
      </x:c>
      <x:c r="B5" s="17" t="str">
        <x:v>Batu 10, Sungai Tiram context</x:v>
      </x:c>
      <x:c r="C5" s="17" t="str">
        <x:v>ROAD/LOCALITY</x:v>
      </x:c>
      <x:c r="D5" s="17" t="str">
        <x:v>ROAD/CHAINAGE_OBJECT_OPEN</x:v>
      </x:c>
      <x:c r="E5" s="17" t="str">
        <x:v>Batu 10 here is in Sungai Tiram context and must not be merged with Batu 10 Kampung Laut, Skudai.</x:v>
      </x:c>
      <x:c r="F5" s="17" t="str">
        <x:v>Resolve exact road-chainage/locality geometry.</x:v>
      </x:c>
      <x:c r="G5" s="17" t="str">
        <x:v>OPEN - retain evidence; no fabricated closure</x:v>
      </x:c>
    </x:row>
    <x:row r="6">
      <x:c r="A6" s="17" t="str">
        <x:v>S2024-005</x:v>
      </x:c>
      <x:c r="B6" s="17" t="str">
        <x:v>Lorong Mak Piah, Kampung Sungai Tiram</x:v>
      </x:c>
      <x:c r="C6" s="17" t="str">
        <x:v>ROAD</x:v>
      </x:c>
      <x:c r="D6" s="17" t="str">
        <x:v>ROAD_SEGMENT_OPEN</x:v>
      </x:c>
      <x:c r="E6" s="17" t="str">
        <x:v>Named lane is flood-valid, but exact affected start/end segment is absent.</x:v>
      </x:c>
      <x:c r="F6" s="17" t="str">
        <x:v>Keep road segment open unless event-specific extents are recovered.</x:v>
      </x:c>
      <x:c r="G6" s="17" t="str">
        <x:v>OPEN - retain evidence; no fabricated closure</x:v>
      </x:c>
    </x:row>
    <x:row r="7">
      <x:c r="A7" s="17" t="str">
        <x:v>S2024-006</x:v>
      </x:c>
      <x:c r="B7" s="17" t="str">
        <x:v>Simpang Ladang Mados</x:v>
      </x:c>
      <x:c r="C7" s="17" t="str">
        <x:v>ROAD/LOCALITY</x:v>
      </x:c>
      <x:c r="D7" s="17" t="str">
        <x:v>POINT_OPEN; POLYGON_OPEN</x:v>
      </x:c>
      <x:c r="E7" s="17" t="str">
        <x:v>Event identity is valid but no strict traceable point/boundary is frozen.</x:v>
      </x:c>
      <x:c r="F7" s="17" t="str">
        <x:v>Seek official/local-government geospatial source.</x:v>
      </x:c>
      <x:c r="G7" s="17" t="str">
        <x:v>OPEN - retain evidence; no fabricated closure</x:v>
      </x:c>
    </x:row>
    <x:row r="8">
      <x:c r="A8" s="17" t="str">
        <x:v>S2024-007</x:v>
      </x:c>
      <x:c r="B8" s="17" t="str">
        <x:v>Kampung Bukit Dagang</x:v>
      </x:c>
      <x:c r="C8" s="17" t="str">
        <x:v>COMMUNITY/AREA</x:v>
      </x:c>
      <x:c r="D8" s="17" t="str">
        <x:v>POINT_READY; POLYGON_OPEN</x:v>
      </x:c>
      <x:c r="E8" s="17" t="str">
        <x:v>Representative point is defensible; exact event/community flood polygon is not frozen.</x:v>
      </x:c>
      <x:c r="F8" s="17" t="str">
        <x:v>Seek exact named closed boundary; do not fabricate inundation polygon.</x:v>
      </x:c>
      <x:c r="G8" s="17" t="str">
        <x:v>OPEN - retain evidence; no fabricated closure</x:v>
      </x:c>
    </x:row>
    <x:row r="9">
      <x:c r="A9" s="17" t="str">
        <x:v>S2024-008</x:v>
      </x:c>
      <x:c r="B9" s="17" t="str">
        <x:v>Kampung Batu 20, Sungai Tiram</x:v>
      </x:c>
      <x:c r="C9" s="17" t="str">
        <x:v>COMMUNITY/AREA</x:v>
      </x:c>
      <x:c r="D9" s="17" t="str">
        <x:v>ROAD/LOCALITY_OBJECT_OPEN</x:v>
      </x:c>
      <x:c r="E9" s="17" t="str">
        <x:v>Source explicitly names Kampung Batu 20; exact boundary/segment is not frozen.</x:v>
      </x:c>
      <x:c r="F9" s="17" t="str">
        <x:v>Resolve exact community/road-access geometry.</x:v>
      </x:c>
      <x:c r="G9" s="17" t="str">
        <x:v>OPEN - retain evidence; no fabricated closure</x:v>
      </x:c>
    </x:row>
    <x:row r="10">
      <x:c r="A10" s="17" t="str">
        <x:v>S2024-009</x:v>
      </x:c>
      <x:c r="B10" s="17" t="str">
        <x:v>Kampung Maju Jaya</x:v>
      </x:c>
      <x:c r="C10" s="17" t="str">
        <x:v>COMMUNITY/AREA</x:v>
      </x:c>
      <x:c r="D10" s="17" t="str">
        <x:v>POINT_READY; POLYGON_OPEN</x:v>
      </x:c>
      <x:c r="E10" s="17" t="str">
        <x:v>Representative point is defensible; exact event/community flood polygon is not frozen.</x:v>
      </x:c>
      <x:c r="F10" s="17" t="str">
        <x:v>Seek exact named closed boundary; do not fabricate inundation polygon.</x:v>
      </x:c>
      <x:c r="G10" s="17" t="str">
        <x:v>OPEN - retain evidence; no fabricated closure</x:v>
      </x:c>
    </x:row>
    <x:row r="11">
      <x:c r="A11" s="17" t="str">
        <x:v>S2024-010</x:v>
      </x:c>
      <x:c r="B11" s="17" t="str">
        <x:v>SK Kampung Maju Jaya</x:v>
      </x:c>
      <x:c r="C11" s="17" t="str">
        <x:v>CRITICAL FACILITY</x:v>
      </x:c>
      <x:c r="D11" s="17" t="str">
        <x:v>POINT_READY; FACILITY_POLYGON_OPEN</x:v>
      </x:c>
      <x:c r="E11" s="17" t="str">
        <x:v>Facility point is defensible; exact facility/flood polygon not frozen.</x:v>
      </x:c>
      <x:c r="F11" s="17" t="str">
        <x:v>Resolve exact building boundary only where defensible.</x:v>
      </x:c>
      <x:c r="G11" s="17" t="str">
        <x:v>OPEN - retain evidence; no fabricated closure</x:v>
      </x:c>
    </x:row>
    <x:row r="12">
      <x:c r="A12" s="17" t="str">
        <x:v>S2024-011</x:v>
      </x:c>
      <x:c r="B12" s="17" t="str">
        <x:v>SK Bukit Mutiara</x:v>
      </x:c>
      <x:c r="C12" s="17" t="str">
        <x:v>CRITICAL FACILITY</x:v>
      </x:c>
      <x:c r="D12" s="17" t="str">
        <x:v>FACILITY_POINT/POLYGON_OPEN</x:v>
      </x:c>
      <x:c r="E12" s="17" t="str">
        <x:v>Facility impact is event-valid; exact facility building/flood-water geometry is not frozen.</x:v>
      </x:c>
      <x:c r="F12" s="17" t="str">
        <x:v>Resolve exact building boundary only where defensible.</x:v>
      </x:c>
      <x:c r="G12" s="17" t="str">
        <x:v>OPEN - retain evidence; no fabricated closure</x:v>
      </x:c>
    </x:row>
    <x:row r="13">
      <x:c r="A13" s="17" t="str">
        <x:v>S2024-012</x:v>
      </x:c>
      <x:c r="B13" s="17" t="str">
        <x:v>SK Sungai Tiram</x:v>
      </x:c>
      <x:c r="C13" s="17" t="str">
        <x:v>CRITICAL FACILITY</x:v>
      </x:c>
      <x:c r="D13" s="17" t="str">
        <x:v>FACILITY_POINT/POLYGON_OPEN</x:v>
      </x:c>
      <x:c r="E13" s="17" t="str">
        <x:v>Facility impact is event-valid; exact facility building/flood-water geometry is not frozen.</x:v>
      </x:c>
      <x:c r="F13" s="17" t="str">
        <x:v>Resolve exact building boundary only where defensible.</x:v>
      </x:c>
      <x:c r="G13" s="17" t="str">
        <x:v>OPEN - retain evidence; no fabricated closure</x:v>
      </x:c>
    </x:row>
    <x:row r="14">
      <x:c r="A14" s="17" t="str">
        <x:v>S2024-013</x:v>
      </x:c>
      <x:c r="B14" s="17" t="str">
        <x:v>Jalan Kangkar Tebrau</x:v>
      </x:c>
      <x:c r="C14" s="17" t="str">
        <x:v>ROAD</x:v>
      </x:c>
      <x:c r="D14" s="17" t="str">
        <x:v>ROAD_SEGMENT_OPEN</x:v>
      </x:c>
      <x:c r="E14" s="17" t="str">
        <x:v>Official road-closure evidence exists; parent Kampung Kangkar Tebrau polygon is not a road-flood footprint.</x:v>
      </x:c>
      <x:c r="F14" s="17" t="str">
        <x:v>Do not reuse community polygon for road segment; recover exact closed section if possible.</x:v>
      </x:c>
      <x:c r="G14" s="17" t="str">
        <x:v>OPEN - retain evidence; no fabricated closure</x:v>
      </x:c>
    </x:row>
    <x:row r="15">
      <x:c r="A15" s="17" t="str">
        <x:v>S2024-014</x:v>
      </x:c>
      <x:c r="B15" s="17" t="str">
        <x:v>Taman Setia Indah</x:v>
      </x:c>
      <x:c r="C15" s="17" t="str">
        <x:v>COMMUNITY/AREA</x:v>
      </x:c>
      <x:c r="D15" s="17" t="str">
        <x:v>POINT_READY; POLYGON_OPEN</x:v>
      </x:c>
      <x:c r="E15" s="17" t="str">
        <x:v>Representative point is defensible; exact event/community flood polygon is not frozen.</x:v>
      </x:c>
      <x:c r="F15" s="17" t="str">
        <x:v>Seek exact named closed boundary; do not fabricate inundation polygon.</x:v>
      </x:c>
      <x:c r="G15" s="17" t="str">
        <x:v>OPEN - retain evidence; no fabricated closure</x:v>
      </x:c>
    </x:row>
    <x:row r="16">
      <x:c r="A16" s="17" t="str">
        <x:v>S2024-015</x:v>
      </x:c>
      <x:c r="B16" s="17" t="str">
        <x:v>Kuil Sri Muniswarar Maha Mariamman, Kampung Kangkar Tebrau Kiri</x:v>
      </x:c>
      <x:c r="C16" s="17" t="str">
        <x:v>CRITICAL FACILITY</x:v>
      </x:c>
      <x:c r="D16" s="17" t="str">
        <x:v>FACILITY_POINT/POLYGON_OPEN</x:v>
      </x:c>
      <x:c r="E16" s="17" t="str">
        <x:v>Facility impact is event-valid; exact facility building/flood-water geometry is not frozen.</x:v>
      </x:c>
      <x:c r="F16" s="17" t="str">
        <x:v>Resolve exact building boundary only where defensible.</x:v>
      </x:c>
      <x:c r="G16" s="17" t="str">
        <x:v>OPEN - retain evidence; no fabricated closure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45" t="str">
        <x:v>Metric</x:v>
      </x:c>
      <x:c r="B1" s="45" t="str">
        <x:v>Formula / Value</x:v>
      </x:c>
      <x:c r="C1" s="45" t="str">
        <x:v>Expected</x:v>
      </x:c>
      <x:c r="D1" s="45" t="str">
        <x:v>Status</x:v>
      </x:c>
    </x:row>
    <x:row r="2">
      <x:c r="A2" s="9" t="str">
        <x:v>2024 event-location rows</x:v>
      </x:c>
      <x:c r="B2" s="9" t="n">
        <x:f>COUNTA('26_2024_Event_Master'!A2:A16)</x:f>
        <x:v>15</x:v>
      </x:c>
      <x:c r="C2" s="9" t="n">
        <x:v>15</x:v>
      </x:c>
      <x:c r="D2" s="9" t="str">
        <x:f>IF(B2=C2,"PASS","CHECK")</x:f>
        <x:v>PASS</x:v>
      </x:c>
    </x:row>
    <x:row r="3">
      <x:c r="A3" s="9" t="str">
        <x:v>2024 episode groups</x:v>
      </x:c>
      <x:c r="B3" s="9" t="n">
        <x:f>COUNTA('27_2024_Episodes'!A2:A3)</x:f>
        <x:v>2</x:v>
      </x:c>
      <x:c r="C3" s="9" t="n">
        <x:v>2</x:v>
      </x:c>
      <x:c r="D3" s="9" t="str">
        <x:f>IF(B3=C3,"PASS","CHECK")</x:f>
        <x:v>PASS</x:v>
      </x:c>
    </x:row>
    <x:row r="4">
      <x:c r="A4" s="9" t="str">
        <x:v>2024 unique spatial objects</x:v>
      </x:c>
      <x:c r="B4" s="9" t="n">
        <x:f>COUNTA('29_2024_Spatial_Resolution'!A2:A16)</x:f>
        <x:v>15</x:v>
      </x:c>
      <x:c r="C4" s="9" t="n">
        <x:v>15</x:v>
      </x:c>
      <x:c r="D4" s="9" t="str">
        <x:f>IF(B4=C4,"PASS","CHECK")</x:f>
        <x:v>PASS</x:v>
      </x:c>
    </x:row>
    <x:row r="5">
      <x:c r="A5" s="9" t="str">
        <x:v>Strict Point-GIS-ready objects</x:v>
      </x:c>
      <x:c r="B5" s="9" t="n">
        <x:f>SUMPRODUCT(--('29_2024_Spatial_Resolution'!D2:D16=TRUE))</x:f>
        <x:v>4</x:v>
      </x:c>
      <x:c r="C5" s="9" t="n">
        <x:v>4</x:v>
      </x:c>
      <x:c r="D5" s="9" t="str">
        <x:f>IF(B5=C5,"PASS","CHECK")</x:f>
        <x:v>PASS</x:v>
      </x:c>
    </x:row>
    <x:row r="6">
      <x:c r="A6" s="9" t="str">
        <x:v>Open spatial objects</x:v>
      </x:c>
      <x:c r="B6" s="9" t="n">
        <x:f>COUNTA('31_2024_Open_Objects'!A2:A16)</x:f>
        <x:v>15</x:v>
      </x:c>
      <x:c r="C6" s="9" t="n">
        <x:v>15</x:v>
      </x:c>
      <x:c r="D6" s="9" t="str">
        <x:f>IF(B6=C6,"PASS","CHECK")</x:f>
        <x:v>PASS</x:v>
      </x:c>
    </x:row>
    <x:row r="7">
      <x:c r="A7" s="9" t="str">
        <x:v>Unresolved/non-counted evidence rows</x:v>
      </x:c>
      <x:c r="B7" s="9" t="n">
        <x:f>COUNTA('30_2024_Unresolved_Candidates'!A2:A10)</x:f>
        <x:v>9</x:v>
      </x:c>
      <x:c r="C7" s="9" t="n">
        <x:v>9</x:v>
      </x:c>
      <x:c r="D7" s="9" t="str">
        <x:f>IF(B7=C7,"PASS","CHECK")</x:f>
        <x:v>PASS</x:v>
      </x:c>
    </x:row>
    <x:row r="8">
      <x:c r="A8" s="9" t="str">
        <x:v>Missing Spatial_Object_Key refs</x:v>
      </x:c>
      <x:c r="B8" s="9" t="n">
        <x:f>COUNTIF('26_2024_Event_Master'!E2:E16,"")</x:f>
        <x:v>0</x:v>
      </x:c>
      <x:c r="C8" s="9" t="n">
        <x:v>0</x:v>
      </x:c>
      <x:c r="D8" s="9" t="str">
        <x:f>IF(B8=C8,"PASS","CHECK")</x:f>
        <x:v>PASS</x:v>
      </x:c>
    </x:row>
    <x:row r="9">
      <x:c r="A9" s="9" t="str">
        <x:v>Cumulative event rows through 2024</x:v>
      </x:c>
      <x:c r="B9" s="9" t="n">
        <x:f>261+B2</x:f>
        <x:v>276</x:v>
      </x:c>
      <x:c r="C9" s="9" t="n">
        <x:v>276</x:v>
      </x:c>
      <x:c r="D9" s="9" t="str">
        <x:f>IF(B9=C9,"PASS","CHECK")</x:f>
        <x:v>PASS</x:v>
      </x:c>
    </x:row>
    <x:row r="10">
      <x:c r="A10" s="9" t="str">
        <x:v>2025 records included</x:v>
      </x:c>
      <x:c r="B10" s="9" t="n">
        <x:v>0</x:v>
      </x:c>
      <x:c r="C10" s="9" t="n">
        <x:v>0</x:v>
      </x:c>
      <x:c r="D10" s="9" t="str">
        <x:f>IF(B10=C10,"PASS","CHECK")</x:f>
        <x:v>PASS</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2" hidden="0" customWidth="1"/>
    <x:col min="5" max="5" width="28" hidden="0" customWidth="1"/>
    <x:col min="6" max="6" width="70" hidden="0" customWidth="1"/>
    <x:col min="7" max="7" width="60" hidden="0" customWidth="1"/>
  </x:cols>
  <x:sheetData>
    <x:row r="1">
      <x:c r="A1" s="47" t="str">
        <x:v>Polygon_ID</x:v>
      </x:c>
      <x:c r="B1" s="47" t="str">
        <x:v>Object_Name</x:v>
      </x:c>
      <x:c r="C1" s="47" t="str">
        <x:v>Closure_Status</x:v>
      </x:c>
      <x:c r="D1" s="47" t="str">
        <x:v>Geometry_Source</x:v>
      </x:c>
      <x:c r="E1" s="47" t="str">
        <x:v>2024_Event_Use</x:v>
      </x:c>
      <x:c r="F1" s="47" t="str">
        <x:v>Interpretation</x:v>
      </x:c>
      <x:c r="G1" s="47" t="str">
        <x:v>Decision</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0" hidden="0" customWidth="1"/>
  </x:cols>
  <x:sheetData>
    <x:row r="1">
      <x:c r="A1" s="45" t="str">
        <x:v>Metric</x:v>
      </x:c>
      <x:c r="B1" s="45" t="str">
        <x:v>Formula / Value</x:v>
      </x:c>
      <x:c r="C1" s="45" t="str">
        <x:v>Expected</x:v>
      </x:c>
      <x:c r="D1" s="45" t="str">
        <x:v>Status</x:v>
      </x:c>
      <x:c r="E1" s="45" t="str">
        <x:v>Interpretation</x:v>
      </x:c>
    </x:row>
    <x:row r="2">
      <x:c r="A2" s="9" t="str">
        <x:v>2024 new closed polygons</x:v>
      </x:c>
      <x:c r="B2" s="9" t="n">
        <x:v>0</x:v>
      </x:c>
      <x:c r="C2" s="9" t="n">
        <x:v>0</x:v>
      </x:c>
      <x:c r="D2" s="9" t="str">
        <x:f>IF(B2=C2,"PASS","CHECK")</x:f>
        <x:v>PASS</x:v>
      </x:c>
      <x:c r="E2" s="9" t="str">
        <x:v>No exact new named closed geometry defensibly frozen.</x:v>
      </x:c>
    </x:row>
    <x:row r="3">
      <x:c r="A3" s="9" t="str">
        <x:v>2024 reused closed polygons</x:v>
      </x:c>
      <x:c r="B3" s="9" t="n">
        <x:v>0</x:v>
      </x:c>
      <x:c r="C3" s="9" t="n">
        <x:v>0</x:v>
      </x:c>
      <x:c r="D3" s="9" t="str">
        <x:f>IF(B3=C3,"PASS","CHECK")</x:f>
        <x:v>PASS</x:v>
      </x:c>
      <x:c r="E3" s="9" t="str">
        <x:v>Community polygons are not substituted for road/facility/subarea events.</x:v>
      </x:c>
    </x:row>
    <x:row r="4">
      <x:c r="A4" s="9" t="str">
        <x:v>2024 directly usable closed analysis regions</x:v>
      </x:c>
      <x:c r="B4" s="9" t="n">
        <x:v>0</x:v>
      </x:c>
      <x:c r="C4" s="9" t="n">
        <x:v>0</x:v>
      </x:c>
      <x:c r="D4" s="9" t="str">
        <x:f>IF(B4=C4,"PASS","CHECK")</x:f>
        <x:v>PASS</x:v>
      </x:c>
      <x:c r="E4" s="9" t="str">
        <x:v>No 2024 event object receives a closed analysis polygon in this pass.</x:v>
      </x:c>
    </x:row>
    <x:row r="5">
      <x:c r="A5" s="9" t="str">
        <x:v>Cumulative Polygon_ID through 2024</x:v>
      </x:c>
      <x:c r="B5" s="9" t="n">
        <x:v>14</x:v>
      </x:c>
      <x:c r="C5" s="9" t="n">
        <x:v>14</x:v>
      </x:c>
      <x:c r="D5" s="9" t="str">
        <x:f>IF(B5=C5,"PASS","CHECK")</x:f>
        <x:v>PASS</x:v>
      </x:c>
      <x:c r="E5" s="9" t="str">
        <x:v>R018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2024 event-location rows</x:v>
      </x:c>
      <x:c r="B7" s="9" t="n">
        <x:f>'32_QA_2024_Event_Spatial'!B2</x:f>
        <x:v>15</x:v>
      </x:c>
      <x:c r="C7" s="9" t="n">
        <x:v>15</x:v>
      </x:c>
      <x:c r="D7" s="9" t="str">
        <x:f>IF(B7=C7,"PASS","CHECK")</x:f>
        <x:v>PASS</x:v>
      </x:c>
      <x:c r="E7" s="9" t="str">
        <x:v>Exact/date-anchored evidence rows only.</x:v>
      </x:c>
    </x:row>
    <x:row r="8">
      <x:c r="A8" s="9" t="str">
        <x:v>2024 episode groups</x:v>
      </x:c>
      <x:c r="B8" s="9" t="n">
        <x:f>'32_QA_2024_Event_Spatial'!B3</x:f>
        <x:v>2</x:v>
      </x:c>
      <x:c r="C8" s="9" t="n">
        <x:v>2</x:v>
      </x:c>
      <x:c r="D8" s="9" t="str">
        <x:f>IF(B8=C8,"PASS","CHECK")</x:f>
        <x:v>PASS</x:v>
      </x:c>
      <x:c r="E8" s="9" t="str">
        <x:v>One prolonged Jan monsoon episode + one 24 Jan flash-flood episode.</x:v>
      </x:c>
    </x:row>
    <x:row r="9">
      <x:c r="A9" s="9" t="str">
        <x:v>Cumulative event rows through 2024</x:v>
      </x:c>
      <x:c r="B9" s="9" t="n">
        <x:f>'32_QA_2024_Event_Spatial'!B9</x:f>
        <x:v>276</x:v>
      </x:c>
      <x:c r="C9" s="9" t="n">
        <x:v>276</x:v>
      </x:c>
      <x:c r="D9" s="9" t="str">
        <x:f>IF(B9=C9,"PASS","CHECK")</x:f>
        <x:v>PASS</x:v>
      </x:c>
      <x:c r="E9" s="9" t="str">
        <x:v>R018 261 + 2024 exact rows.</x:v>
      </x:c>
    </x:row>
    <x:row r="10">
      <x:c r="A10" s="9" t="str">
        <x:v>Formula errors in 2024 QA</x:v>
      </x:c>
      <x:c r="B10" s="9" t="n">
        <x:v>0</x:v>
      </x:c>
      <x:c r="C10" s="9" t="n">
        <x:v>0</x:v>
      </x:c>
      <x:c r="D10" s="9" t="str">
        <x:f>IF(B10=C10,"PASS","CHECK")</x:f>
        <x:v>PASS</x:v>
      </x:c>
      <x:c r="E10" s="9" t="str">
        <x:v>Checked after workbook build.</x:v>
      </x:c>
    </x:row>
    <x:row r="11">
      <x:c r="A11" s="9" t="str">
        <x:v>2025 records included</x:v>
      </x:c>
      <x:c r="B11" s="9" t="n">
        <x:v>0</x:v>
      </x:c>
      <x:c r="C11" s="9" t="n">
        <x:v>0</x:v>
      </x:c>
      <x:c r="D11" s="9" t="str">
        <x:f>IF(B11=C11,"PASS","CHECK")</x:f>
        <x:v>PASS</x:v>
      </x:c>
      <x:c r="E11" s="9" t="str">
        <x:v>Hard stop after 2024.</x:v>
      </x:c>
    </x:row>
  </x:sheetData>
  <x:pageMargins left="0.7" right="0.7" top="0.75" bottom="0.75" header="0.3" footer="0.3"/>
</x:worksheet>
</file>