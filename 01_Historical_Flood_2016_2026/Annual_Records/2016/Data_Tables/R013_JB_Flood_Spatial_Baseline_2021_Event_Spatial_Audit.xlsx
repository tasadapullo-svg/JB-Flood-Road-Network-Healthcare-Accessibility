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5e568a330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d974386bcf0248b8"/>
    <x:sheet xmlns:r="http://schemas.openxmlformats.org/officeDocument/2006/relationships" name="01_2021_Event_Master" sheetId="2" r:id="R7d20f38225e14344"/>
    <x:sheet xmlns:r="http://schemas.openxmlformats.org/officeDocument/2006/relationships" name="02_2021_Source_Register" sheetId="3" r:id="Rf4ea44b281a24d9b"/>
    <x:sheet xmlns:r="http://schemas.openxmlformats.org/officeDocument/2006/relationships" name="03_2021_Spatial_Resolution" sheetId="4" r:id="R7126d5586c5c42ca"/>
    <x:sheet xmlns:r="http://schemas.openxmlformats.org/officeDocument/2006/relationships" name="04_2021_Open_Objects" sheetId="5" r:id="R4daac993bb5f45a4"/>
    <x:sheet xmlns:r="http://schemas.openxmlformats.org/officeDocument/2006/relationships" name="05_Carry_Forward_R012" sheetId="6" r:id="Rebc1a4dff2e84b38"/>
    <x:sheet xmlns:r="http://schemas.openxmlformats.org/officeDocument/2006/relationships" name="06_QA_Event_Spatial" sheetId="7" r:id="R6afd2f181234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a4992b72a4b45" /><Relationship Type="http://schemas.openxmlformats.org/officeDocument/2006/relationships/theme" Target="/xl/theme/theme1.xml" Id="R7e1a809effd4410e" /><Relationship Type="http://schemas.microsoft.com/office/2022/11/relationships/FeaturePropertyBag" Target="/xl/featurePropertyBag/featurePropertyBag.xml" Id="Rc884ce2380e74593" /><Relationship Type="http://schemas.openxmlformats.org/officeDocument/2006/relationships/sharedStrings" Target="/xl/sharedStrings.xml" Id="R090ddffd41e44063" /><Relationship Type="http://schemas.openxmlformats.org/officeDocument/2006/relationships/worksheet" Target="/xl/worksheets/sheet1.xml" Id="Rd974386bcf0248b8" /><Relationship Type="http://schemas.openxmlformats.org/officeDocument/2006/relationships/worksheet" Target="/xl/worksheets/sheet2.xml" Id="R7d20f38225e14344" /><Relationship Type="http://schemas.openxmlformats.org/officeDocument/2006/relationships/worksheet" Target="/xl/worksheets/sheet3.xml" Id="Rf4ea44b281a24d9b" /><Relationship Type="http://schemas.openxmlformats.org/officeDocument/2006/relationships/worksheet" Target="/xl/worksheets/sheet4.xml" Id="R7126d5586c5c42ca" /><Relationship Type="http://schemas.openxmlformats.org/officeDocument/2006/relationships/worksheet" Target="/xl/worksheets/sheet5.xml" Id="R4daac993bb5f45a4" /><Relationship Type="http://schemas.openxmlformats.org/officeDocument/2006/relationships/worksheet" Target="/xl/worksheets/sheet6.xml" Id="Rebc1a4dff2e84b38" /><Relationship Type="http://schemas.openxmlformats.org/officeDocument/2006/relationships/worksheet" Target="/xl/worksheets/sheet7.xml" Id="R6afd2f18123444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2" hidden="0" customWidth="1"/>
  </x:cols>
  <x:sheetData>
    <x:row r="1">
      <x:c r="A1" s="8" t="str">
        <x:v>Item</x:v>
      </x:c>
      <x:c r="B1" s="8" t="str">
        <x:v>Definition / status</x:v>
      </x:c>
    </x:row>
    <x:row r="2">
      <x:c r="A2" s="9" t="str">
        <x:v>Formal parent baseline</x:v>
      </x:c>
      <x:c r="B2" s="9" t="str">
        <x:v>R012_JB_Flood_Spatial_Baseline_2020_Polygon_Closure.xlsx</x:v>
      </x:c>
    </x:row>
    <x:row r="3">
      <x:c r="A3" s="9" t="str">
        <x:v>2021 scope</x:v>
      </x:c>
      <x:c r="B3" s="9" t="str">
        <x:v>2021 only. No 2022 data are included.</x:v>
      </x:c>
    </x:row>
    <x:row r="4">
      <x:c r="A4" s="9" t="str">
        <x:v>Event counting unit</x:v>
      </x:c>
      <x:c r="B4" s="9" t="str">
        <x:v>One row = one event-location record; locations in the same flood episode share a Dedup_Group_ID.</x:v>
      </x:c>
    </x:row>
    <x:row r="5">
      <x:c r="A5" s="9" t="str">
        <x:v>Duplicate rule</x:v>
      </x:c>
      <x:c r="B5" s="9" t="str">
        <x:v>Multiple reports of the same location in the same episode do not add event counts.</x:v>
      </x:c>
    </x:row>
    <x:row r="6">
      <x:c r="A6" s="9" t="str">
        <x:v>A1/A2 rule</x:v>
      </x:c>
      <x:c r="B6" s="9" t="str">
        <x:v>Older A1/A2 checkpoints were used only as search leads; formal 2021 rows were re-verified against cited sources.</x:v>
      </x:c>
    </x:row>
    <x:row r="7">
      <x:c r="A7" s="9" t="str">
        <x:v>Polygon rule</x:v>
      </x:c>
      <x:c r="B7" s="9" t="str">
        <x:v>Closed analysis polygon requires defensible source geometry. Community/facility polygons are not automatically inundation footprints.</x:v>
      </x:c>
    </x:row>
    <x:row r="8">
      <x:c r="A8" s="9" t="str">
        <x:v>Road rule</x:v>
      </x:c>
      <x:c r="B8" s="9" t="str">
        <x:v>A whole named road/highway is never assumed flooded; exact affected start/end segment remains OPEN without evidence.</x:v>
      </x:c>
    </x:row>
    <x:row r="9">
      <x:c r="A9" s="9" t="str">
        <x:v>2021 event-location rows</x:v>
      </x:c>
      <x:c r="B9" s="9" t="n">
        <x:v>46</x:v>
      </x:c>
    </x:row>
    <x:row r="10">
      <x:c r="A10" s="9" t="str">
        <x:v>2021 episode groups</x:v>
      </x:c>
      <x:c r="B10" s="9" t="n">
        <x:v>8</x:v>
      </x:c>
    </x:row>
    <x:row r="11">
      <x:c r="A11" s="9" t="str">
        <x:v>2021 unique spatial objects</x:v>
      </x:c>
      <x:c r="B11" s="9" t="n">
        <x:v>31</x:v>
      </x:c>
    </x:row>
    <x:row r="12">
      <x:c r="A12" s="9" t="str">
        <x:v>Strict Point-GIS-ready objects</x:v>
      </x:c>
      <x:c r="B12" s="9" t="n">
        <x:v>15</x:v>
      </x:c>
    </x:row>
    <x:row r="13">
      <x:c r="A13" s="9" t="str">
        <x:v>New closed polygons</x:v>
      </x:c>
      <x:c r="B13" s="9" t="n">
        <x:v>2</x:v>
      </x:c>
    </x:row>
    <x:row r="14">
      <x:c r="A14" s="9" t="str">
        <x:v>Reused closed polygons</x:v>
      </x:c>
      <x:c r="B14" s="9" t="n">
        <x:v>2</x:v>
      </x:c>
    </x:row>
    <x:row r="15">
      <x:c r="A15" s="9" t="str">
        <x:v>Directly usable 2021 closed analysis regions</x:v>
      </x:c>
      <x:c r="B15" s="9" t="n">
        <x:v>4</x:v>
      </x:c>
    </x:row>
    <x:row r="16">
      <x:c r="A16" s="9" t="str">
        <x:v>Cumulative event rows through 2020</x:v>
      </x:c>
      <x:c r="B16" s="9" t="n">
        <x:v>111</x:v>
      </x:c>
    </x:row>
    <x:row r="17">
      <x:c r="A17" s="9" t="str">
        <x:v>Cumulative event rows through 2021</x:v>
      </x:c>
      <x:c r="B17" s="9" t="n">
        <x:v>157</x:v>
      </x:c>
    </x:row>
    <x:row r="18">
      <x:c r="A18" s="9" t="str">
        <x:v>Cumulative closed polygons through 2020</x:v>
      </x:c>
      <x:c r="B18" s="9" t="n">
        <x:v>12</x:v>
      </x:c>
    </x:row>
    <x:row r="19">
      <x:c r="A19" s="9" t="str">
        <x:v>Cumulative closed polygons through 2021</x:v>
      </x:c>
      <x:c r="B19" s="9" t="n">
        <x:v>14</x:v>
      </x:c>
    </x:row>
    <x:row r="20">
      <x:c r="A20" s="9" t="str">
        <x:v>R012 byte-safety note</x:v>
      </x:c>
      <x:c r="B20" s="9" t="str">
        <x:v>R013/R014 are incremental 2021 layers keyed to R012; they do not renumber or overwrite the 77 frozen Location_IDs in R012.</x:v>
      </x:c>
    </x:row>
    <x:row r="21">
      <x:c r="A21" s="9" t="str">
        <x:v>2021 annual status</x:v>
      </x:c>
      <x:c r="B21" s="9" t="str">
        <x:v>Current defensible geometry frozen; unresolved road/subarea/identity objects retained for manual analysis.</x:v>
      </x:c>
    </x:row>
    <x:row r="22">
      <x:c r="A22" s="9" t="str">
        <x:v>Next-year rule</x:v>
      </x:c>
      <x:c r="B22" s="9" t="str">
        <x:v>STOP after 2021. Do not start 2022 without a new explicit instruction.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27" hidden="0" customWidth="1"/>
    <x:col min="4" max="4" width="31" hidden="0" customWidth="1"/>
    <x:col min="5" max="5" width="16" hidden="0" customWidth="1"/>
    <x:col min="6" max="6" width="31" hidden="0" customWidth="1"/>
    <x:col min="7" max="7" width="22" hidden="0" customWidth="1"/>
    <x:col min="8" max="8" width="13" hidden="0" customWidth="1"/>
    <x:col min="9" max="9" width="27" hidden="0" customWidth="1"/>
    <x:col min="10" max="10" width="27" hidden="0" customWidth="1"/>
    <x:col min="11" max="11" width="36" hidden="0" customWidth="1"/>
    <x:col min="12" max="12" width="48" hidden="0" customWidth="1"/>
  </x:cols>
  <x:sheetData>
    <x:row r="1">
      <x:c r="A1" s="16" t="str">
        <x:v>Event_ID</x:v>
      </x:c>
      <x:c r="B1" s="16" t="str">
        <x:v>Event_Date</x:v>
      </x:c>
      <x:c r="C1" s="16" t="str">
        <x:v>Dedup_Group_ID</x:v>
      </x:c>
      <x:c r="D1" s="16" t="str">
        <x:v>Source_Location_Label</x:v>
      </x:c>
      <x:c r="E1" s="16" t="str">
        <x:v>Spatial_Object_Key</x:v>
      </x:c>
      <x:c r="F1" s="16" t="str">
        <x:v>Canonical_Spatial_Object</x:v>
      </x:c>
      <x:c r="G1" s="16" t="str">
        <x:v>Event_Type</x:v>
      </x:c>
      <x:c r="H1" s="16" t="str">
        <x:v>Evidence_Tier</x:v>
      </x:c>
      <x:c r="I1" s="16" t="str">
        <x:v>Primary_Source_ID</x:v>
      </x:c>
      <x:c r="J1" s="16" t="str">
        <x:v>Secondary_Source_ID</x:v>
      </x:c>
      <x:c r="K1" s="16" t="str">
        <x:v>Date_Precision</x:v>
      </x:c>
      <x:c r="L1" s="16" t="str">
        <x:v>Notes</x:v>
      </x:c>
    </x:row>
    <x:row r="2">
      <x:c r="A2" s="17" t="str">
        <x:v>EVT-JB-2021-001</x:v>
      </x:c>
      <x:c r="B2" s="17" t="str">
        <x:v>2021-01-02</x:v>
      </x:c>
      <x:c r="C2" s="17" t="str">
        <x:v>DG-JB-20210101-20210102</x:v>
      </x:c>
      <x:c r="D2" s="17" t="str">
        <x:v>Kampung Laut Batu 10, Skudai</x:v>
      </x:c>
      <x:c r="E2" s="17" t="str">
        <x:v>S2021-001</x:v>
      </x:c>
      <x:c r="F2" s="17" t="str">
        <x:v>Kampung Laut Batu 10, Skudai</x:v>
      </x:c>
      <x:c r="G2" s="17" t="str">
        <x:v>Flood / flash flood</x:v>
      </x:c>
      <x:c r="H2" s="17" t="str">
        <x:v>A/B</x:v>
      </x:c>
      <x:c r="I2" s="17" t="str">
        <x:v>SRC2021-JAN02-BERNAMA</x:v>
      </x:c>
      <x:c r="J2" s="17" t="str">
        <x:v>SRC2021-JAN02-KOSMO</x:v>
      </x:c>
      <x:c r="K2" s="17" t="str">
        <x:v>Episode spans 2021-01-01 to 2021-01-02; anchored to confirmed 2 Jan evidence</x:v>
      </x:c>
      <x:c r="L2" s="17" t="str"/>
    </x:row>
    <x:row r="3">
      <x:c r="A3" s="17" t="str">
        <x:v>EVT-JB-2021-002</x:v>
      </x:c>
      <x:c r="B3" s="17" t="str">
        <x:v>2021-01-02</x:v>
      </x:c>
      <x:c r="C3" s="17" t="str">
        <x:v>DG-JB-20210101-20210102</x:v>
      </x:c>
      <x:c r="D3" s="17" t="str">
        <x:v>Kampung Sentosa Barat</x:v>
      </x:c>
      <x:c r="E3" s="17" t="str">
        <x:v>S2021-002</x:v>
      </x:c>
      <x:c r="F3" s="17" t="str">
        <x:v>Kampung Sentosa Barat</x:v>
      </x:c>
      <x:c r="G3" s="17" t="str">
        <x:v>Flood / flash flood</x:v>
      </x:c>
      <x:c r="H3" s="17" t="str">
        <x:v>A/B</x:v>
      </x:c>
      <x:c r="I3" s="17" t="str">
        <x:v>SRC2021-JAN02-BERNAMA</x:v>
      </x:c>
      <x:c r="J3" s="17" t="str">
        <x:v>SRC2021-JAN02-KOSMO</x:v>
      </x:c>
      <x:c r="K3" s="17" t="str">
        <x:v>Episode spans 2021-01-01 to 2021-01-02; anchored to confirmed 2 Jan evidence</x:v>
      </x:c>
      <x:c r="L3" s="17" t="str"/>
    </x:row>
    <x:row r="4">
      <x:c r="A4" s="17" t="str">
        <x:v>EVT-JB-2021-003</x:v>
      </x:c>
      <x:c r="B4" s="17" t="str">
        <x:v>2021-01-02</x:v>
      </x:c>
      <x:c r="C4" s="17" t="str">
        <x:v>DG-JB-20210101-20210102</x:v>
      </x:c>
      <x:c r="D4" s="17" t="str">
        <x:v>Kampung Sentosa Damai</x:v>
      </x:c>
      <x:c r="E4" s="17" t="str">
        <x:v>S2021-003</x:v>
      </x:c>
      <x:c r="F4" s="17" t="str">
        <x:v>Kampung Sentosa Damai</x:v>
      </x:c>
      <x:c r="G4" s="17" t="str">
        <x:v>Flood / flash flood</x:v>
      </x:c>
      <x:c r="H4" s="17" t="str">
        <x:v>A/B</x:v>
      </x:c>
      <x:c r="I4" s="17" t="str">
        <x:v>SRC2021-JAN02-BERNAMA</x:v>
      </x:c>
      <x:c r="J4" s="17" t="str">
        <x:v>SRC2021-JAN02-KOSMO</x:v>
      </x:c>
      <x:c r="K4" s="17" t="str">
        <x:v>Episode spans 2021-01-01 to 2021-01-02; anchored to confirmed 2 Jan evidence</x:v>
      </x:c>
      <x:c r="L4" s="17" t="str"/>
    </x:row>
    <x:row r="5">
      <x:c r="A5" s="17" t="str">
        <x:v>EVT-JB-2021-004</x:v>
      </x:c>
      <x:c r="B5" s="17" t="str">
        <x:v>2021-01-02</x:v>
      </x:c>
      <x:c r="C5" s="17" t="str">
        <x:v>DG-JB-20210101-20210102</x:v>
      </x:c>
      <x:c r="D5" s="17" t="str">
        <x:v>Lorong Aris Batu 8, Skudai</x:v>
      </x:c>
      <x:c r="E5" s="17" t="str">
        <x:v>S2021-004</x:v>
      </x:c>
      <x:c r="F5" s="17" t="str">
        <x:v>Lorong Aris Batu 8, Skudai</x:v>
      </x:c>
      <x:c r="G5" s="17" t="str">
        <x:v>Flood / flash flood</x:v>
      </x:c>
      <x:c r="H5" s="17" t="str">
        <x:v>A/B</x:v>
      </x:c>
      <x:c r="I5" s="17" t="str">
        <x:v>SRC2021-JAN02-BERNAMA</x:v>
      </x:c>
      <x:c r="J5" s="17" t="str">
        <x:v>SRC2021-DOSM-JB</x:v>
      </x:c>
      <x:c r="K5" s="17" t="str">
        <x:v>Episode spans 2021-01-01 to 2021-01-02; anchored to confirmed 2 Jan evidence</x:v>
      </x:c>
      <x:c r="L5" s="17" t="str"/>
    </x:row>
    <x:row r="6">
      <x:c r="A6" s="17" t="str">
        <x:v>EVT-JB-2021-005</x:v>
      </x:c>
      <x:c r="B6" s="17" t="str">
        <x:v>2021-01-02</x:v>
      </x:c>
      <x:c r="C6" s="17" t="str">
        <x:v>DG-JB-20210101-20210102</x:v>
      </x:c>
      <x:c r="D6" s="17" t="str">
        <x:v>Rumah Orang Tua Sam Poh</x:v>
      </x:c>
      <x:c r="E6" s="17" t="str">
        <x:v>S2021-005</x:v>
      </x:c>
      <x:c r="F6" s="17" t="str">
        <x:v>Rumah Orang Tua Sam Poh</x:v>
      </x:c>
      <x:c r="G6" s="17" t="str">
        <x:v>Flood / flash flood</x:v>
      </x:c>
      <x:c r="H6" s="17" t="str">
        <x:v>A/B</x:v>
      </x:c>
      <x:c r="I6" s="17" t="str">
        <x:v>SRC2021-JAN02-BERNAMA</x:v>
      </x:c>
      <x:c r="J6" s="17" t="str">
        <x:v>SRC2021-DOSM-JB</x:v>
      </x:c>
      <x:c r="K6" s="17" t="str">
        <x:v>Episode spans 2021-01-01 to 2021-01-02; anchored to confirmed 2 Jan evidence</x:v>
      </x:c>
      <x:c r="L6" s="17" t="str"/>
    </x:row>
    <x:row r="7">
      <x:c r="A7" s="17" t="str">
        <x:v>EVT-JB-2021-006</x:v>
      </x:c>
      <x:c r="B7" s="17" t="str">
        <x:v>2021-01-02</x:v>
      </x:c>
      <x:c r="C7" s="17" t="str">
        <x:v>DG-JB-20210101-20210102</x:v>
      </x:c>
      <x:c r="D7" s="17" t="str">
        <x:v>Kampung Pasir</x:v>
      </x:c>
      <x:c r="E7" s="17" t="str">
        <x:v>S2021-006</x:v>
      </x:c>
      <x:c r="F7" s="17" t="str">
        <x:v>Kampung Pasir</x:v>
      </x:c>
      <x:c r="G7" s="17" t="str">
        <x:v>Flood / flash flood</x:v>
      </x:c>
      <x:c r="H7" s="17" t="str">
        <x:v>A/B</x:v>
      </x:c>
      <x:c r="I7" s="17" t="str">
        <x:v>SRC2021-JAN02-KOSMO</x:v>
      </x:c>
      <x:c r="J7" s="17" t="str"/>
      <x:c r="K7" s="17" t="str">
        <x:v>Episode spans 2021-01-01 to 2021-01-02; anchored to confirmed 2 Jan evidence</x:v>
      </x:c>
      <x:c r="L7" s="17" t="str">
        <x:v>PPS had already closed by report time; event still explicitly linked.</x:v>
      </x:c>
    </x:row>
    <x:row r="8">
      <x:c r="A8" s="17" t="str">
        <x:v>EVT-JB-2021-007</x:v>
      </x:c>
      <x:c r="B8" s="17" t="str">
        <x:v>2021-01-02</x:v>
      </x:c>
      <x:c r="C8" s="17" t="str">
        <x:v>DG-JB-20210101-20210102</x:v>
      </x:c>
      <x:c r="D8" s="17" t="str">
        <x:v>Kampung Teluk Serdang Baru</x:v>
      </x:c>
      <x:c r="E8" s="17" t="str">
        <x:v>S2021-007</x:v>
      </x:c>
      <x:c r="F8" s="17" t="str">
        <x:v>Kampung Teluk Serdang Baru</x:v>
      </x:c>
      <x:c r="G8" s="17" t="str">
        <x:v>Flood / flash flood</x:v>
      </x:c>
      <x:c r="H8" s="17" t="str">
        <x:v>A/B</x:v>
      </x:c>
      <x:c r="I8" s="17" t="str">
        <x:v>SRC2021-JAN02-KOSMO</x:v>
      </x:c>
      <x:c r="J8" s="17" t="str"/>
      <x:c r="K8" s="17" t="str">
        <x:v>Episode spans 2021-01-01 to 2021-01-02; anchored to confirmed 2 Jan evidence</x:v>
      </x:c>
      <x:c r="L8" s="17" t="str">
        <x:v>PPS had already closed by report time; event still explicitly linked.</x:v>
      </x:c>
    </x:row>
    <x:row r="9">
      <x:c r="A9" s="17" t="str">
        <x:v>EVT-JB-2021-008</x:v>
      </x:c>
      <x:c r="B9" s="17" t="str">
        <x:v>2021-01-02</x:v>
      </x:c>
      <x:c r="C9" s="17" t="str">
        <x:v>DG-JB-20210101-20210102</x:v>
      </x:c>
      <x:c r="D9" s="17" t="str">
        <x:v>Kampung Sepakat Baru</x:v>
      </x:c>
      <x:c r="E9" s="17" t="str">
        <x:v>S2021-008</x:v>
      </x:c>
      <x:c r="F9" s="17" t="str">
        <x:v>Kampung Sepakat Baru</x:v>
      </x:c>
      <x:c r="G9" s="17" t="str">
        <x:v>Flood / flash flood</x:v>
      </x:c>
      <x:c r="H9" s="17" t="str">
        <x:v>A/B</x:v>
      </x:c>
      <x:c r="I9" s="17" t="str">
        <x:v>SRC2021-JAN02-BERNAMA-PHOTO</x:v>
      </x:c>
      <x:c r="J9" s="17" t="str"/>
      <x:c r="K9" s="17" t="str">
        <x:v>Episode spans 2021-01-01 to 2021-01-02; anchored to confirmed 2 Jan evidence</x:v>
      </x:c>
      <x:c r="L9" s="17" t="str">
        <x:v>Bernama documentary evidence.</x:v>
      </x:c>
    </x:row>
    <x:row r="10">
      <x:c r="A10" s="17" t="str">
        <x:v>EVT-JB-2021-009</x:v>
      </x:c>
      <x:c r="B10" s="17" t="str">
        <x:v>2021-01-02</x:v>
      </x:c>
      <x:c r="C10" s="17" t="str">
        <x:v>DG-JB-20210101-20210102</x:v>
      </x:c>
      <x:c r="D10" s="17" t="str">
        <x:v>Kampung Paya Kenangan</x:v>
      </x:c>
      <x:c r="E10" s="17" t="str">
        <x:v>S2021-009</x:v>
      </x:c>
      <x:c r="F10" s="17" t="str">
        <x:v>Kampung Paya Kenangan</x:v>
      </x:c>
      <x:c r="G10" s="17" t="str">
        <x:v>Flood / flash flood</x:v>
      </x:c>
      <x:c r="H10" s="17" t="str">
        <x:v>A/B</x:v>
      </x:c>
      <x:c r="I10" s="17" t="str">
        <x:v>SRC2021-JAN04-BERNAMA</x:v>
      </x:c>
      <x:c r="J10" s="17" t="str">
        <x:v>SRC2021-JAN04-UTUSAN</x:v>
      </x:c>
      <x:c r="K10" s="17" t="str">
        <x:v>Exact day inferred from 'two days ago' statement</x:v>
      </x:c>
      <x:c r="L10" s="17" t="str">
        <x:v>4 Jan source states flood occurred two days earlier.</x:v>
      </x:c>
    </x:row>
    <x:row r="11">
      <x:c r="A11" s="17" t="str">
        <x:v>EVT-JB-2021-010</x:v>
      </x:c>
      <x:c r="B11" s="17" t="str">
        <x:v>2021-01-02</x:v>
      </x:c>
      <x:c r="C11" s="17" t="str">
        <x:v>DG-JB-20210101-20210102</x:v>
      </x:c>
      <x:c r="D11" s="17" t="str">
        <x:v>Kampung Pasir Tebrau</x:v>
      </x:c>
      <x:c r="E11" s="17" t="str">
        <x:v>S2021-010</x:v>
      </x:c>
      <x:c r="F11" s="17" t="str">
        <x:v>Kampung Pasir Tebrau</x:v>
      </x:c>
      <x:c r="G11" s="17" t="str">
        <x:v>Flood / flash flood</x:v>
      </x:c>
      <x:c r="H11" s="17" t="str">
        <x:v>A/B</x:v>
      </x:c>
      <x:c r="I11" s="17" t="str">
        <x:v>SRC2021-JAN04-BERNAMA</x:v>
      </x:c>
      <x:c r="J11" s="17" t="str">
        <x:v>SRC2021-JAN04-UTUSAN</x:v>
      </x:c>
      <x:c r="K11" s="17" t="str">
        <x:v>Exact day inferred from 'two days ago' statement</x:v>
      </x:c>
      <x:c r="L11" s="17" t="str">
        <x:v>4 Jan source states flood occurred two days earlier.</x:v>
      </x:c>
    </x:row>
    <x:row r="12">
      <x:c r="A12" s="17" t="str">
        <x:v>EVT-JB-2021-011</x:v>
      </x:c>
      <x:c r="B12" s="17" t="str">
        <x:v>2021-01-02</x:v>
      </x:c>
      <x:c r="C12" s="17" t="str">
        <x:v>DG-JB-20210101-20210102</x:v>
      </x:c>
      <x:c r="D12" s="17" t="str">
        <x:v>Kampung Kangkar Tebrau</x:v>
      </x:c>
      <x:c r="E12" s="17" t="str">
        <x:v>S2021-011</x:v>
      </x:c>
      <x:c r="F12" s="17" t="str">
        <x:v>Kampung Kangkar Tebrau</x:v>
      </x:c>
      <x:c r="G12" s="17" t="str">
        <x:v>Flood / flash flood</x:v>
      </x:c>
      <x:c r="H12" s="17" t="str">
        <x:v>A/B</x:v>
      </x:c>
      <x:c r="I12" s="17" t="str">
        <x:v>SRC2021-JAN04-BERNAMA</x:v>
      </x:c>
      <x:c r="J12" s="17" t="str">
        <x:v>SRC2021-JAN04-UTUSAN</x:v>
      </x:c>
      <x:c r="K12" s="17" t="str">
        <x:v>Exact day inferred from 'two days ago' statement</x:v>
      </x:c>
      <x:c r="L12" s="17" t="str">
        <x:v>4 Jan source states flood occurred two days earlier.</x:v>
      </x:c>
    </x:row>
    <x:row r="13">
      <x:c r="A13" s="17" t="str">
        <x:v>EVT-JB-2021-012</x:v>
      </x:c>
      <x:c r="B13" s="17" t="str">
        <x:v>2021-01-10</x:v>
      </x:c>
      <x:c r="C13" s="17" t="str">
        <x:v>DG-JB-20210110</x:v>
      </x:c>
      <x:c r="D13" s="17" t="str">
        <x:v>Kampung Laut</x:v>
      </x:c>
      <x:c r="E13" s="17" t="str">
        <x:v>S2021-001</x:v>
      </x:c>
      <x:c r="F13" s="17" t="str">
        <x:v>Kampung Laut Batu 10, Skudai</x:v>
      </x:c>
      <x:c r="G13" s="17" t="str">
        <x:v>Flood</x:v>
      </x:c>
      <x:c r="H13" s="17" t="str">
        <x:v>B</x:v>
      </x:c>
      <x:c r="I13" s="17" t="str">
        <x:v>SRC2021-JAN10-KOSMO</x:v>
      </x:c>
      <x:c r="J13" s="17" t="str">
        <x:v>SRC2021-JAN10-BERNAMA-MM</x:v>
      </x:c>
      <x:c r="K13" s="17" t="str">
        <x:v>Exact day</x:v>
      </x:c>
      <x:c r="L13" s="17" t="str"/>
    </x:row>
    <x:row r="14">
      <x:c r="A14" s="17" t="str">
        <x:v>EVT-JB-2021-013</x:v>
      </x:c>
      <x:c r="B14" s="17" t="str">
        <x:v>2021-01-10</x:v>
      </x:c>
      <x:c r="C14" s="17" t="str">
        <x:v>DG-JB-20210110</x:v>
      </x:c>
      <x:c r="D14" s="17" t="str">
        <x:v>Kampung Sepakat</x:v>
      </x:c>
      <x:c r="E14" s="17" t="str">
        <x:v>S2021-008</x:v>
      </x:c>
      <x:c r="F14" s="17" t="str">
        <x:v>Kampung Sepakat Baru</x:v>
      </x:c>
      <x:c r="G14" s="17" t="str">
        <x:v>Flood</x:v>
      </x:c>
      <x:c r="H14" s="17" t="str">
        <x:v>B</x:v>
      </x:c>
      <x:c r="I14" s="17" t="str">
        <x:v>SRC2021-JAN10-KOSMO</x:v>
      </x:c>
      <x:c r="J14" s="17" t="str"/>
      <x:c r="K14" s="17" t="str">
        <x:v>Exact day</x:v>
      </x:c>
      <x:c r="L14" s="17" t="str">
        <x:v>Source label 'Kampung Sepakat' normalized cautiously to established Kampung Sepakat Baru object.</x:v>
      </x:c>
    </x:row>
    <x:row r="15">
      <x:c r="A15" s="17" t="str">
        <x:v>EVT-JB-2021-014</x:v>
      </x:c>
      <x:c r="B15" s="17" t="str">
        <x:v>2021-01-10</x:v>
      </x:c>
      <x:c r="C15" s="17" t="str">
        <x:v>DG-JB-20210110</x:v>
      </x:c>
      <x:c r="D15" s="17" t="str">
        <x:v>Simpang Mados</x:v>
      </x:c>
      <x:c r="E15" s="17" t="str">
        <x:v>S2021-012</x:v>
      </x:c>
      <x:c r="F15" s="17" t="str">
        <x:v>Simpang Mados</x:v>
      </x:c>
      <x:c r="G15" s="17" t="str">
        <x:v>Flood</x:v>
      </x:c>
      <x:c r="H15" s="17" t="str">
        <x:v>B</x:v>
      </x:c>
      <x:c r="I15" s="17" t="str">
        <x:v>SRC2021-JAN10-KOSMO</x:v>
      </x:c>
      <x:c r="J15" s="17" t="str"/>
      <x:c r="K15" s="17" t="str">
        <x:v>Exact day</x:v>
      </x:c>
      <x:c r="L15" s="17" t="str"/>
    </x:row>
    <x:row r="16">
      <x:c r="A16" s="17" t="str">
        <x:v>EVT-JB-2021-015</x:v>
      </x:c>
      <x:c r="B16" s="17" t="str">
        <x:v>2021-01-10</x:v>
      </x:c>
      <x:c r="C16" s="17" t="str">
        <x:v>DG-JB-20210110</x:v>
      </x:c>
      <x:c r="D16" s="17" t="str">
        <x:v>Batu 20 Sungai Tiram</x:v>
      </x:c>
      <x:c r="E16" s="17" t="str">
        <x:v>S2021-013</x:v>
      </x:c>
      <x:c r="F16" s="17" t="str">
        <x:v>Batu 20 Sungai Tiram</x:v>
      </x:c>
      <x:c r="G16" s="17" t="str">
        <x:v>Flood</x:v>
      </x:c>
      <x:c r="H16" s="17" t="str">
        <x:v>B</x:v>
      </x:c>
      <x:c r="I16" s="17" t="str">
        <x:v>SRC2021-JAN10-KOSMO</x:v>
      </x:c>
      <x:c r="J16" s="17" t="str"/>
      <x:c r="K16" s="17" t="str">
        <x:v>Exact day</x:v>
      </x:c>
      <x:c r="L16" s="17" t="str"/>
    </x:row>
    <x:row r="17">
      <x:c r="A17" s="17" t="str">
        <x:v>EVT-JB-2021-016</x:v>
      </x:c>
      <x:c r="B17" s="17" t="str">
        <x:v>2021-01-10</x:v>
      </x:c>
      <x:c r="C17" s="17" t="str">
        <x:v>DG-JB-20210110</x:v>
      </x:c>
      <x:c r="D17" s="17" t="str">
        <x:v>Kampung Sentosa Damai</x:v>
      </x:c>
      <x:c r="E17" s="17" t="str">
        <x:v>S2021-003</x:v>
      </x:c>
      <x:c r="F17" s="17" t="str">
        <x:v>Kampung Sentosa Damai</x:v>
      </x:c>
      <x:c r="G17" s="17" t="str">
        <x:v>Flood</x:v>
      </x:c>
      <x:c r="H17" s="17" t="str">
        <x:v>B</x:v>
      </x:c>
      <x:c r="I17" s="17" t="str">
        <x:v>SRC2021-JAN10-KOSMO</x:v>
      </x:c>
      <x:c r="J17" s="17" t="str"/>
      <x:c r="K17" s="17" t="str">
        <x:v>Exact day</x:v>
      </x:c>
      <x:c r="L17" s="17" t="str"/>
    </x:row>
    <x:row r="18">
      <x:c r="A18" s="17" t="str">
        <x:v>EVT-JB-2021-017</x:v>
      </x:c>
      <x:c r="B18" s="17" t="str">
        <x:v>2021-01-10</x:v>
      </x:c>
      <x:c r="C18" s="17" t="str">
        <x:v>DG-JB-20210110</x:v>
      </x:c>
      <x:c r="D18" s="17" t="str">
        <x:v>Kampung Sentosa Barat</x:v>
      </x:c>
      <x:c r="E18" s="17" t="str">
        <x:v>S2021-002</x:v>
      </x:c>
      <x:c r="F18" s="17" t="str">
        <x:v>Kampung Sentosa Barat</x:v>
      </x:c>
      <x:c r="G18" s="17" t="str">
        <x:v>Flood</x:v>
      </x:c>
      <x:c r="H18" s="17" t="str">
        <x:v>B</x:v>
      </x:c>
      <x:c r="I18" s="17" t="str">
        <x:v>SRC2021-JAN10-KOSMO</x:v>
      </x:c>
      <x:c r="J18" s="17" t="str"/>
      <x:c r="K18" s="17" t="str">
        <x:v>Exact day</x:v>
      </x:c>
      <x:c r="L18" s="17" t="str"/>
    </x:row>
    <x:row r="19">
      <x:c r="A19" s="17" t="str">
        <x:v>EVT-JB-2021-018</x:v>
      </x:c>
      <x:c r="B19" s="17" t="str">
        <x:v>2021-01-10</x:v>
      </x:c>
      <x:c r="C19" s="17" t="str">
        <x:v>DG-JB-20210110</x:v>
      </x:c>
      <x:c r="D19" s="17" t="str">
        <x:v>Kampung Paya Kenangan</x:v>
      </x:c>
      <x:c r="E19" s="17" t="str">
        <x:v>S2021-009</x:v>
      </x:c>
      <x:c r="F19" s="17" t="str">
        <x:v>Kampung Paya Kenangan</x:v>
      </x:c>
      <x:c r="G19" s="17" t="str">
        <x:v>Flood</x:v>
      </x:c>
      <x:c r="H19" s="17" t="str">
        <x:v>B</x:v>
      </x:c>
      <x:c r="I19" s="17" t="str">
        <x:v>SRC2021-JAN10-KOSMO</x:v>
      </x:c>
      <x:c r="J19" s="17" t="str"/>
      <x:c r="K19" s="17" t="str">
        <x:v>Exact day</x:v>
      </x:c>
      <x:c r="L19" s="17" t="str"/>
    </x:row>
    <x:row r="20">
      <x:c r="A20" s="17" t="str">
        <x:v>EVT-JB-2021-019</x:v>
      </x:c>
      <x:c r="B20" s="17" t="str">
        <x:v>2021-01-10</x:v>
      </x:c>
      <x:c r="C20" s="17" t="str">
        <x:v>DG-JB-20210110</x:v>
      </x:c>
      <x:c r="D20" s="17" t="str">
        <x:v>Kampung Pasir</x:v>
      </x:c>
      <x:c r="E20" s="17" t="str">
        <x:v>S2021-006</x:v>
      </x:c>
      <x:c r="F20" s="17" t="str">
        <x:v>Kampung Pasir</x:v>
      </x:c>
      <x:c r="G20" s="17" t="str">
        <x:v>Flood</x:v>
      </x:c>
      <x:c r="H20" s="17" t="str">
        <x:v>B</x:v>
      </x:c>
      <x:c r="I20" s="17" t="str">
        <x:v>SRC2021-JAN10-KOSMO</x:v>
      </x:c>
      <x:c r="J20" s="17" t="str"/>
      <x:c r="K20" s="17" t="str">
        <x:v>Exact day</x:v>
      </x:c>
      <x:c r="L20" s="17" t="str"/>
    </x:row>
    <x:row r="21">
      <x:c r="A21" s="17" t="str">
        <x:v>EVT-JB-2021-020</x:v>
      </x:c>
      <x:c r="B21" s="17" t="str">
        <x:v>2021-01-10</x:v>
      </x:c>
      <x:c r="C21" s="17" t="str">
        <x:v>DG-JB-20210110</x:v>
      </x:c>
      <x:c r="D21" s="17" t="str">
        <x:v>Kampung Kangkar Tebrau</x:v>
      </x:c>
      <x:c r="E21" s="17" t="str">
        <x:v>S2021-011</x:v>
      </x:c>
      <x:c r="F21" s="17" t="str">
        <x:v>Kampung Kangkar Tebrau</x:v>
      </x:c>
      <x:c r="G21" s="17" t="str">
        <x:v>Flood</x:v>
      </x:c>
      <x:c r="H21" s="17" t="str">
        <x:v>B</x:v>
      </x:c>
      <x:c r="I21" s="17" t="str">
        <x:v>SRC2021-JAN10-KOSMO</x:v>
      </x:c>
      <x:c r="J21" s="17" t="str"/>
      <x:c r="K21" s="17" t="str">
        <x:v>Exact day</x:v>
      </x:c>
      <x:c r="L21" s="17" t="str"/>
    </x:row>
    <x:row r="22">
      <x:c r="A22" s="17" t="str">
        <x:v>EVT-JB-2021-021</x:v>
      </x:c>
      <x:c r="B22" s="17" t="str">
        <x:v>2021-01-10</x:v>
      </x:c>
      <x:c r="C22" s="17" t="str">
        <x:v>DG-JB-20210110</x:v>
      </x:c>
      <x:c r="D22" s="17" t="str">
        <x:v>Lorong Aris Batu 8, Skudai</x:v>
      </x:c>
      <x:c r="E22" s="17" t="str">
        <x:v>S2021-004</x:v>
      </x:c>
      <x:c r="F22" s="17" t="str">
        <x:v>Lorong Aris Batu 8, Skudai</x:v>
      </x:c>
      <x:c r="G22" s="17" t="str">
        <x:v>Flood</x:v>
      </x:c>
      <x:c r="H22" s="17" t="str">
        <x:v>B</x:v>
      </x:c>
      <x:c r="I22" s="17" t="str">
        <x:v>SRC2021-JAN10-KOSMO</x:v>
      </x:c>
      <x:c r="J22" s="17" t="str"/>
      <x:c r="K22" s="17" t="str">
        <x:v>Exact day</x:v>
      </x:c>
      <x:c r="L22" s="17" t="str"/>
    </x:row>
    <x:row r="23">
      <x:c r="A23" s="17" t="str">
        <x:v>EVT-JB-2021-022</x:v>
      </x:c>
      <x:c r="B23" s="17" t="str">
        <x:v>2021-01-10</x:v>
      </x:c>
      <x:c r="C23" s="17" t="str">
        <x:v>DG-JB-20210110</x:v>
      </x:c>
      <x:c r="D23" s="17" t="str">
        <x:v>Kampung Paya, Bukit Mutiara</x:v>
      </x:c>
      <x:c r="E23" s="17" t="str">
        <x:v>S2021-014</x:v>
      </x:c>
      <x:c r="F23" s="17" t="str">
        <x:v>Kampung Paya, Bukit Mutiara</x:v>
      </x:c>
      <x:c r="G23" s="17" t="str">
        <x:v>Flood</x:v>
      </x:c>
      <x:c r="H23" s="17" t="str">
        <x:v>B</x:v>
      </x:c>
      <x:c r="I23" s="17" t="str">
        <x:v>SRC2021-JAN10-BERNAMA-MM</x:v>
      </x:c>
      <x:c r="J23" s="17" t="str"/>
      <x:c r="K23" s="17" t="str">
        <x:v>Exact day</x:v>
      </x:c>
      <x:c r="L23" s="17" t="str"/>
    </x:row>
    <x:row r="24">
      <x:c r="A24" s="17" t="str">
        <x:v>EVT-JB-2021-023</x:v>
      </x:c>
      <x:c r="B24" s="17" t="str">
        <x:v>2021-04-17</x:v>
      </x:c>
      <x:c r="C24" s="17" t="str">
        <x:v>DG-JB-20210417</x:v>
      </x:c>
      <x:c r="D24" s="17" t="str">
        <x:v>Kampung Pasir</x:v>
      </x:c>
      <x:c r="E24" s="17" t="str">
        <x:v>S2021-006</x:v>
      </x:c>
      <x:c r="F24" s="17" t="str">
        <x:v>Kampung Pasir</x:v>
      </x:c>
      <x:c r="G24" s="17" t="str">
        <x:v>Flash flood</x:v>
      </x:c>
      <x:c r="H24" s="17" t="str">
        <x:v>B</x:v>
      </x:c>
      <x:c r="I24" s="17" t="str">
        <x:v>SRC2021-APR17-UTUSAN</x:v>
      </x:c>
      <x:c r="J24" s="17" t="str"/>
      <x:c r="K24" s="17" t="str">
        <x:v>Exact day</x:v>
      </x:c>
      <x:c r="L24" s="17" t="str">
        <x:v>Article explicitly states this was the second flood there in 2021.</x:v>
      </x:c>
    </x:row>
    <x:row r="25">
      <x:c r="A25" s="17" t="str">
        <x:v>EVT-JB-2021-024</x:v>
      </x:c>
      <x:c r="B25" s="17" t="str">
        <x:v>2021-07-12</x:v>
      </x:c>
      <x:c r="C25" s="17" t="str">
        <x:v>DG-JB-20210712</x:v>
      </x:c>
      <x:c r="D25" s="17" t="str">
        <x:v>Kampung Sungai Rinting</x:v>
      </x:c>
      <x:c r="E25" s="17" t="str">
        <x:v>S2021-015</x:v>
      </x:c>
      <x:c r="F25" s="17" t="str">
        <x:v>Kampung Sungai Rinting</x:v>
      </x:c>
      <x:c r="G25" s="17" t="str">
        <x:v>Flash flood</x:v>
      </x:c>
      <x:c r="H25" s="17" t="str">
        <x:v>C</x:v>
      </x:c>
      <x:c r="I25" s="17" t="str">
        <x:v>SRC2021-JUL12-UMNOPG</x:v>
      </x:c>
      <x:c r="J25" s="17" t="str"/>
      <x:c r="K25" s="17" t="str">
        <x:v>Exact day stated in local primary statement</x:v>
      </x:c>
      <x:c r="L25" s="17" t="str">
        <x:v>Lower-tier local primary statement retained transparently.</x:v>
      </x:c>
    </x:row>
    <x:row r="26">
      <x:c r="A26" s="17" t="str">
        <x:v>EVT-JB-2021-025</x:v>
      </x:c>
      <x:c r="B26" s="17" t="str">
        <x:v>2021-07-12</x:v>
      </x:c>
      <x:c r="C26" s="17" t="str">
        <x:v>DG-JB-20210712</x:v>
      </x:c>
      <x:c r="D26" s="17" t="str">
        <x:v>Taman Mawar</x:v>
      </x:c>
      <x:c r="E26" s="17" t="str">
        <x:v>S2021-016</x:v>
      </x:c>
      <x:c r="F26" s="17" t="str">
        <x:v>Taman Mawar</x:v>
      </x:c>
      <x:c r="G26" s="17" t="str">
        <x:v>Flash flood</x:v>
      </x:c>
      <x:c r="H26" s="17" t="str">
        <x:v>C</x:v>
      </x:c>
      <x:c r="I26" s="17" t="str">
        <x:v>SRC2021-JUL12-UMNOPG</x:v>
      </x:c>
      <x:c r="J26" s="17" t="str"/>
      <x:c r="K26" s="17" t="str">
        <x:v>Exact day stated in local primary statement</x:v>
      </x:c>
      <x:c r="L26" s="17" t="str">
        <x:v>Lower-tier local primary statement retained transparently.</x:v>
      </x:c>
    </x:row>
    <x:row r="27">
      <x:c r="A27" s="17" t="str">
        <x:v>EVT-JB-2021-026</x:v>
      </x:c>
      <x:c r="B27" s="17" t="str">
        <x:v>2021-07-12</x:v>
      </x:c>
      <x:c r="C27" s="17" t="str">
        <x:v>DG-JB-20210712</x:v>
      </x:c>
      <x:c r="D27" s="17" t="str">
        <x:v>Taman Rinting</x:v>
      </x:c>
      <x:c r="E27" s="17" t="str">
        <x:v>S2021-017</x:v>
      </x:c>
      <x:c r="F27" s="17" t="str">
        <x:v>Taman Rinting</x:v>
      </x:c>
      <x:c r="G27" s="17" t="str">
        <x:v>Flash flood</x:v>
      </x:c>
      <x:c r="H27" s="17" t="str">
        <x:v>C</x:v>
      </x:c>
      <x:c r="I27" s="17" t="str">
        <x:v>SRC2021-JUL12-UMNOPG</x:v>
      </x:c>
      <x:c r="J27" s="17" t="str"/>
      <x:c r="K27" s="17" t="str">
        <x:v>Exact day stated in local primary statement</x:v>
      </x:c>
      <x:c r="L27" s="17" t="str">
        <x:v>Lower-tier local primary statement retained transparently.</x:v>
      </x:c>
    </x:row>
    <x:row r="28">
      <x:c r="A28" s="17" t="str">
        <x:v>EVT-JB-2021-027</x:v>
      </x:c>
      <x:c r="B28" s="17" t="str">
        <x:v>2021-07-12</x:v>
      </x:c>
      <x:c r="C28" s="17" t="str">
        <x:v>DG-JB-20210712</x:v>
      </x:c>
      <x:c r="D28" s="17" t="str">
        <x:v>Lebuhraya Pasir Gudang</x:v>
      </x:c>
      <x:c r="E28" s="17" t="str">
        <x:v>S2021-018</x:v>
      </x:c>
      <x:c r="F28" s="17" t="str">
        <x:v>Lebuhraya Pasir Gudang</x:v>
      </x:c>
      <x:c r="G28" s="17" t="str">
        <x:v>Flash flood / traffic disruption</x:v>
      </x:c>
      <x:c r="H28" s="17" t="str">
        <x:v>C</x:v>
      </x:c>
      <x:c r="I28" s="17" t="str">
        <x:v>SRC2021-JUL12-UMNOPG</x:v>
      </x:c>
      <x:c r="J28" s="17" t="str"/>
      <x:c r="K28" s="17" t="str">
        <x:v>Exact day stated in local primary statement</x:v>
      </x:c>
      <x:c r="L28" s="17" t="str">
        <x:v>Lower-tier local primary statement retained transparently.</x:v>
      </x:c>
    </x:row>
    <x:row r="29">
      <x:c r="A29" s="17" t="str">
        <x:v>EVT-JB-2021-028</x:v>
      </x:c>
      <x:c r="B29" s="17" t="str">
        <x:v>2021-09-02</x:v>
      </x:c>
      <x:c r="C29" s="17" t="str">
        <x:v>DG-JB-20210902-SKUDAI</x:v>
      </x:c>
      <x:c r="D29" s="17" t="str">
        <x:v>Batu 10, Kampung Laut, Skudai</x:v>
      </x:c>
      <x:c r="E29" s="17" t="str">
        <x:v>S2021-001</x:v>
      </x:c>
      <x:c r="F29" s="17" t="str">
        <x:v>Kampung Laut Batu 10, Skudai</x:v>
      </x:c>
      <x:c r="G29" s="17" t="str">
        <x:v>Flash flood</x:v>
      </x:c>
      <x:c r="H29" s="17" t="str">
        <x:v>B</x:v>
      </x:c>
      <x:c r="I29" s="17" t="str">
        <x:v>SRC2021-SEP02-UTUSAN</x:v>
      </x:c>
      <x:c r="J29" s="17" t="str"/>
      <x:c r="K29" s="17" t="str">
        <x:v>Exact day</x:v>
      </x:c>
      <x:c r="L29" s="17" t="str">
        <x:v>Separate Skudai rescue from Masai/Pasir Gudang cluster.</x:v>
      </x:c>
    </x:row>
    <x:row r="30">
      <x:c r="A30" s="17" t="str">
        <x:v>EVT-JB-2021-029</x:v>
      </x:c>
      <x:c r="B30" s="17" t="str">
        <x:v>2021-09-02</x:v>
      </x:c>
      <x:c r="C30" s="17" t="str">
        <x:v>DG-JB-20210902-MASAI</x:v>
      </x:c>
      <x:c r="D30" s="17" t="str">
        <x:v>Kampung Bukit Pulai</x:v>
      </x:c>
      <x:c r="E30" s="17" t="str">
        <x:v>S2021-019</x:v>
      </x:c>
      <x:c r="F30" s="17" t="str">
        <x:v>Kampung Bukit Pulai</x:v>
      </x:c>
      <x:c r="G30" s="17" t="str">
        <x:v>Flash flood</x:v>
      </x:c>
      <x:c r="H30" s="17" t="str">
        <x:v>B</x:v>
      </x:c>
      <x:c r="I30" s="17" t="str">
        <x:v>SRC2021-SEP02-UTUSAN</x:v>
      </x:c>
      <x:c r="J30" s="17" t="str"/>
      <x:c r="K30" s="17" t="str">
        <x:v>Exact day</x:v>
      </x:c>
      <x:c r="L30" s="17" t="str"/>
    </x:row>
    <x:row r="31">
      <x:c r="A31" s="17" t="str">
        <x:v>EVT-JB-2021-030</x:v>
      </x:c>
      <x:c r="B31" s="17" t="str">
        <x:v>2021-09-02</x:v>
      </x:c>
      <x:c r="C31" s="17" t="str">
        <x:v>DG-JB-20210902-MASAI</x:v>
      </x:c>
      <x:c r="D31" s="17" t="str">
        <x:v>Taman Pasir Putih</x:v>
      </x:c>
      <x:c r="E31" s="17" t="str">
        <x:v>S2021-020</x:v>
      </x:c>
      <x:c r="F31" s="17" t="str">
        <x:v>Taman Pasir Putih</x:v>
      </x:c>
      <x:c r="G31" s="17" t="str">
        <x:v>Flash flood</x:v>
      </x:c>
      <x:c r="H31" s="17" t="str">
        <x:v>B</x:v>
      </x:c>
      <x:c r="I31" s="17" t="str">
        <x:v>SRC2021-SEP02-UTUSAN</x:v>
      </x:c>
      <x:c r="J31" s="17" t="str"/>
      <x:c r="K31" s="17" t="str">
        <x:v>Exact day</x:v>
      </x:c>
      <x:c r="L31" s="17" t="str"/>
    </x:row>
    <x:row r="32">
      <x:c r="A32" s="17" t="str">
        <x:v>EVT-JB-2021-031</x:v>
      </x:c>
      <x:c r="B32" s="17" t="str">
        <x:v>2021-09-02</x:v>
      </x:c>
      <x:c r="C32" s="17" t="str">
        <x:v>DG-JB-20210902-MASAI</x:v>
      </x:c>
      <x:c r="D32" s="17" t="str">
        <x:v>Kampung Sentosa Barat</x:v>
      </x:c>
      <x:c r="E32" s="17" t="str">
        <x:v>S2021-002</x:v>
      </x:c>
      <x:c r="F32" s="17" t="str">
        <x:v>Kampung Sentosa Barat</x:v>
      </x:c>
      <x:c r="G32" s="17" t="str">
        <x:v>Flash flood</x:v>
      </x:c>
      <x:c r="H32" s="17" t="str">
        <x:v>B</x:v>
      </x:c>
      <x:c r="I32" s="17" t="str">
        <x:v>SRC2021-SEP02-UTUSAN</x:v>
      </x:c>
      <x:c r="J32" s="17" t="str"/>
      <x:c r="K32" s="17" t="str">
        <x:v>Exact day</x:v>
      </x:c>
      <x:c r="L32" s="17" t="str"/>
    </x:row>
    <x:row r="33">
      <x:c r="A33" s="17" t="str">
        <x:v>EVT-JB-2021-032</x:v>
      </x:c>
      <x:c r="B33" s="17" t="str">
        <x:v>2021-09-02</x:v>
      </x:c>
      <x:c r="C33" s="17" t="str">
        <x:v>DG-JB-20210902-MASAI</x:v>
      </x:c>
      <x:c r="D33" s="17" t="str">
        <x:v>Jalan Kampung Masjid, Masai</x:v>
      </x:c>
      <x:c r="E33" s="17" t="str">
        <x:v>S2021-021</x:v>
      </x:c>
      <x:c r="F33" s="17" t="str">
        <x:v>Jalan Kampung Masjid, Masai</x:v>
      </x:c>
      <x:c r="G33" s="17" t="str">
        <x:v>Flash flood</x:v>
      </x:c>
      <x:c r="H33" s="17" t="str">
        <x:v>B</x:v>
      </x:c>
      <x:c r="I33" s="17" t="str">
        <x:v>SRC2021-SEP02-UTUSAN</x:v>
      </x:c>
      <x:c r="J33" s="17" t="str"/>
      <x:c r="K33" s="17" t="str">
        <x:v>Exact day</x:v>
      </x:c>
      <x:c r="L33" s="17" t="str"/>
    </x:row>
    <x:row r="34">
      <x:c r="A34" s="17" t="str">
        <x:v>EVT-JB-2021-033</x:v>
      </x:c>
      <x:c r="B34" s="17" t="str">
        <x:v>2021-09-04</x:v>
      </x:c>
      <x:c r="C34" s="17" t="str">
        <x:v>DG-JB-20210904</x:v>
      </x:c>
      <x:c r="D34" s="17" t="str">
        <x:v>Batu 10, Kampung Laut, Skudai</x:v>
      </x:c>
      <x:c r="E34" s="17" t="str">
        <x:v>S2021-001</x:v>
      </x:c>
      <x:c r="F34" s="17" t="str">
        <x:v>Kampung Laut Batu 10, Skudai</x:v>
      </x:c>
      <x:c r="G34" s="17" t="str">
        <x:v>Flash flood</x:v>
      </x:c>
      <x:c r="H34" s="17" t="str">
        <x:v>B</x:v>
      </x:c>
      <x:c r="I34" s="17" t="str">
        <x:v>SRC2021-SEP04-UTUSAN</x:v>
      </x:c>
      <x:c r="J34" s="17" t="str"/>
      <x:c r="K34" s="17" t="str">
        <x:v>Date inferred from report ('malam tadi')</x:v>
      </x:c>
      <x:c r="L34" s="17" t="str">
        <x:v>Published 5 Sep; emergency call 7:39 pm the previous night.</x:v>
      </x:c>
    </x:row>
    <x:row r="35">
      <x:c r="A35" s="17" t="str">
        <x:v>EVT-JB-2021-034</x:v>
      </x:c>
      <x:c r="B35" s="17" t="str">
        <x:v>2021-09-30</x:v>
      </x:c>
      <x:c r="C35" s="17" t="str">
        <x:v>DG-JB-20210930</x:v>
      </x:c>
      <x:c r="D35" s="17" t="str">
        <x:v>Kampung Melayu Majidee</x:v>
      </x:c>
      <x:c r="E35" s="17" t="str">
        <x:v>S2021-022</x:v>
      </x:c>
      <x:c r="F35" s="17" t="str">
        <x:v>Kampung Melayu Majidee</x:v>
      </x:c>
      <x:c r="G35" s="17" t="str">
        <x:v>Flash flood</x:v>
      </x:c>
      <x:c r="H35" s="17" t="str">
        <x:v>B</x:v>
      </x:c>
      <x:c r="I35" s="17" t="str">
        <x:v>SRC2021-SEP30-SINAR</x:v>
      </x:c>
      <x:c r="J35" s="17" t="str"/>
      <x:c r="K35" s="17" t="str">
        <x:v>Exact day</x:v>
      </x:c>
      <x:c r="L35" s="17" t="str"/>
    </x:row>
    <x:row r="36">
      <x:c r="A36" s="17" t="str">
        <x:v>EVT-JB-2021-035</x:v>
      </x:c>
      <x:c r="B36" s="17" t="str">
        <x:v>2021-09-30</x:v>
      </x:c>
      <x:c r="C36" s="17" t="str">
        <x:v>DG-JB-20210930</x:v>
      </x:c>
      <x:c r="D36" s="17" t="str">
        <x:v>Kempas Lurah</x:v>
      </x:c>
      <x:c r="E36" s="17" t="str">
        <x:v>S2021-023</x:v>
      </x:c>
      <x:c r="F36" s="17" t="str">
        <x:v>Kempas Lurah</x:v>
      </x:c>
      <x:c r="G36" s="17" t="str">
        <x:v>Flash flood</x:v>
      </x:c>
      <x:c r="H36" s="17" t="str">
        <x:v>B</x:v>
      </x:c>
      <x:c r="I36" s="17" t="str">
        <x:v>SRC2021-SEP30-SINAR</x:v>
      </x:c>
      <x:c r="J36" s="17" t="str"/>
      <x:c r="K36" s="17" t="str">
        <x:v>Exact day</x:v>
      </x:c>
      <x:c r="L36" s="17" t="str"/>
    </x:row>
    <x:row r="37">
      <x:c r="A37" s="17" t="str">
        <x:v>EVT-JB-2021-036</x:v>
      </x:c>
      <x:c r="B37" s="17" t="str">
        <x:v>2021-09-30</x:v>
      </x:c>
      <x:c r="C37" s="17" t="str">
        <x:v>DG-JB-20210930</x:v>
      </x:c>
      <x:c r="D37" s="17" t="str">
        <x:v>Taman Skudai Baru</x:v>
      </x:c>
      <x:c r="E37" s="17" t="str">
        <x:v>S2021-024</x:v>
      </x:c>
      <x:c r="F37" s="17" t="str">
        <x:v>Taman Skudai Baru</x:v>
      </x:c>
      <x:c r="G37" s="17" t="str">
        <x:v>Flash flood</x:v>
      </x:c>
      <x:c r="H37" s="17" t="str">
        <x:v>B</x:v>
      </x:c>
      <x:c r="I37" s="17" t="str">
        <x:v>SRC2021-SEP30-SINAR</x:v>
      </x:c>
      <x:c r="J37" s="17" t="str"/>
      <x:c r="K37" s="17" t="str">
        <x:v>Exact day</x:v>
      </x:c>
      <x:c r="L37" s="17" t="str"/>
    </x:row>
    <x:row r="38">
      <x:c r="A38" s="17" t="str">
        <x:v>EVT-JB-2021-037</x:v>
      </x:c>
      <x:c r="B38" s="17" t="str">
        <x:v>2021-09-30</x:v>
      </x:c>
      <x:c r="C38" s="17" t="str">
        <x:v>DG-JB-20210930</x:v>
      </x:c>
      <x:c r="D38" s="17" t="str">
        <x:v>Taman Johor Jaya</x:v>
      </x:c>
      <x:c r="E38" s="17" t="str">
        <x:v>S2021-025</x:v>
      </x:c>
      <x:c r="F38" s="17" t="str">
        <x:v>Taman Johor Jaya</x:v>
      </x:c>
      <x:c r="G38" s="17" t="str">
        <x:v>Flash flood</x:v>
      </x:c>
      <x:c r="H38" s="17" t="str">
        <x:v>B</x:v>
      </x:c>
      <x:c r="I38" s="17" t="str">
        <x:v>SRC2021-SEP30-SINAR</x:v>
      </x:c>
      <x:c r="J38" s="17" t="str"/>
      <x:c r="K38" s="17" t="str">
        <x:v>Exact day</x:v>
      </x:c>
      <x:c r="L38" s="17" t="str">
        <x:v>Separate article mentions Jalan Belumut/Taman Johor; not auto-merged.</x:v>
      </x:c>
    </x:row>
    <x:row r="39">
      <x:c r="A39" s="17" t="str">
        <x:v>EVT-JB-2021-038</x:v>
      </x:c>
      <x:c r="B39" s="17" t="str">
        <x:v>2021-09-30</x:v>
      </x:c>
      <x:c r="C39" s="17" t="str">
        <x:v>DG-JB-20210930</x:v>
      </x:c>
      <x:c r="D39" s="17" t="str">
        <x:v>Kampung Ibu</x:v>
      </x:c>
      <x:c r="E39" s="17" t="str">
        <x:v>S2021-026</x:v>
      </x:c>
      <x:c r="F39" s="17" t="str">
        <x:v>Kampung Ibu</x:v>
      </x:c>
      <x:c r="G39" s="17" t="str">
        <x:v>Flash flood</x:v>
      </x:c>
      <x:c r="H39" s="17" t="str">
        <x:v>B</x:v>
      </x:c>
      <x:c r="I39" s="17" t="str">
        <x:v>SRC2021-SEP30-SINAR</x:v>
      </x:c>
      <x:c r="J39" s="17" t="str"/>
      <x:c r="K39" s="17" t="str">
        <x:v>Exact day</x:v>
      </x:c>
      <x:c r="L39" s="17" t="str"/>
    </x:row>
    <x:row r="40">
      <x:c r="A40" s="17" t="str">
        <x:v>EVT-JB-2021-039</x:v>
      </x:c>
      <x:c r="B40" s="17" t="str">
        <x:v>2021-09-30</x:v>
      </x:c>
      <x:c r="C40" s="17" t="str">
        <x:v>DG-JB-20210930</x:v>
      </x:c>
      <x:c r="D40" s="17" t="str">
        <x:v>Kolam Air</x:v>
      </x:c>
      <x:c r="E40" s="17" t="str">
        <x:v>S2021-027</x:v>
      </x:c>
      <x:c r="F40" s="17" t="str">
        <x:v>Kolam Air</x:v>
      </x:c>
      <x:c r="G40" s="17" t="str">
        <x:v>Flash flood</x:v>
      </x:c>
      <x:c r="H40" s="17" t="str">
        <x:v>B</x:v>
      </x:c>
      <x:c r="I40" s="17" t="str">
        <x:v>SRC2021-SEP30-SINAR</x:v>
      </x:c>
      <x:c r="J40" s="17" t="str"/>
      <x:c r="K40" s="17" t="str">
        <x:v>Exact day</x:v>
      </x:c>
      <x:c r="L40" s="17" t="str">
        <x:v>Generic place label kept unresolved.</x:v>
      </x:c>
    </x:row>
    <x:row r="41">
      <x:c r="A41" s="17" t="str">
        <x:v>EVT-JB-2021-040</x:v>
      </x:c>
      <x:c r="B41" s="17" t="str">
        <x:v>2021-09-30</x:v>
      </x:c>
      <x:c r="C41" s="17" t="str">
        <x:v>DG-JB-20210930</x:v>
      </x:c>
      <x:c r="D41" s="17" t="str">
        <x:v>Kempas Denai</x:v>
      </x:c>
      <x:c r="E41" s="17" t="str">
        <x:v>S2021-028</x:v>
      </x:c>
      <x:c r="F41" s="17" t="str">
        <x:v>Kempas Denai</x:v>
      </x:c>
      <x:c r="G41" s="17" t="str">
        <x:v>Flash flood</x:v>
      </x:c>
      <x:c r="H41" s="17" t="str">
        <x:v>B</x:v>
      </x:c>
      <x:c r="I41" s="17" t="str">
        <x:v>SRC2021-SEP30-SINAR</x:v>
      </x:c>
      <x:c r="J41" s="17" t="str"/>
      <x:c r="K41" s="17" t="str">
        <x:v>Exact day</x:v>
      </x:c>
      <x:c r="L41" s="17" t="str">
        <x:v>Kosmo road-specific wording indicates Jalan Denai Utama; exact segment remains open.</x:v>
      </x:c>
    </x:row>
    <x:row r="42">
      <x:c r="A42" s="17" t="str">
        <x:v>EVT-JB-2021-041</x:v>
      </x:c>
      <x:c r="B42" s="17" t="str">
        <x:v>2021-09-30</x:v>
      </x:c>
      <x:c r="C42" s="17" t="str">
        <x:v>DG-JB-20210930</x:v>
      </x:c>
      <x:c r="D42" s="17" t="str">
        <x:v>Kempas Permatang</x:v>
      </x:c>
      <x:c r="E42" s="17" t="str">
        <x:v>S2021-029</x:v>
      </x:c>
      <x:c r="F42" s="17" t="str">
        <x:v>Kempas Permatang</x:v>
      </x:c>
      <x:c r="G42" s="17" t="str">
        <x:v>Flash flood</x:v>
      </x:c>
      <x:c r="H42" s="17" t="str">
        <x:v>B</x:v>
      </x:c>
      <x:c r="I42" s="17" t="str">
        <x:v>SRC2021-SEP30-SINAR</x:v>
      </x:c>
      <x:c r="J42" s="17" t="str"/>
      <x:c r="K42" s="17" t="str">
        <x:v>Exact day</x:v>
      </x:c>
      <x:c r="L42" s="17" t="str">
        <x:v>Kosmo road-specific wording indicates Jalan Permatang; exact segment remains open.</x:v>
      </x:c>
    </x:row>
    <x:row r="43">
      <x:c r="A43" s="17" t="str">
        <x:v>EVT-JB-2021-042</x:v>
      </x:c>
      <x:c r="B43" s="17" t="str">
        <x:v>2021-09-30</x:v>
      </x:c>
      <x:c r="C43" s="17" t="str">
        <x:v>DG-JB-20210930</x:v>
      </x:c>
      <x:c r="D43" s="17" t="str">
        <x:v>Kampung Pasir</x:v>
      </x:c>
      <x:c r="E43" s="17" t="str">
        <x:v>S2021-006</x:v>
      </x:c>
      <x:c r="F43" s="17" t="str">
        <x:v>Kampung Pasir</x:v>
      </x:c>
      <x:c r="G43" s="17" t="str">
        <x:v>Flash flood</x:v>
      </x:c>
      <x:c r="H43" s="17" t="str">
        <x:v>B</x:v>
      </x:c>
      <x:c r="I43" s="17" t="str">
        <x:v>SRC2021-SEP30-SINAR</x:v>
      </x:c>
      <x:c r="J43" s="17" t="str"/>
      <x:c r="K43" s="17" t="str">
        <x:v>Exact day</x:v>
      </x:c>
      <x:c r="L43" s="17" t="str"/>
    </x:row>
    <x:row r="44">
      <x:c r="A44" s="17" t="str">
        <x:v>EVT-JB-2021-043</x:v>
      </x:c>
      <x:c r="B44" s="17" t="str">
        <x:v>2021-09-30</x:v>
      </x:c>
      <x:c r="C44" s="17" t="str">
        <x:v>DG-JB-20210930</x:v>
      </x:c>
      <x:c r="D44" s="17" t="str">
        <x:v>Kampung Laut Skudai</x:v>
      </x:c>
      <x:c r="E44" s="17" t="str">
        <x:v>S2021-001</x:v>
      </x:c>
      <x:c r="F44" s="17" t="str">
        <x:v>Kampung Laut Batu 10, Skudai</x:v>
      </x:c>
      <x:c r="G44" s="17" t="str">
        <x:v>Flash flood</x:v>
      </x:c>
      <x:c r="H44" s="17" t="str">
        <x:v>B</x:v>
      </x:c>
      <x:c r="I44" s="17" t="str">
        <x:v>SRC2021-SEP30-SINAR</x:v>
      </x:c>
      <x:c r="J44" s="17" t="str"/>
      <x:c r="K44" s="17" t="str">
        <x:v>Exact day</x:v>
      </x:c>
      <x:c r="L44" s="17" t="str"/>
    </x:row>
    <x:row r="45">
      <x:c r="A45" s="17" t="str">
        <x:v>EVT-JB-2021-044</x:v>
      </x:c>
      <x:c r="B45" s="17" t="str">
        <x:v>2021-09-30</x:v>
      </x:c>
      <x:c r="C45" s="17" t="str">
        <x:v>DG-JB-20210930</x:v>
      </x:c>
      <x:c r="D45" s="17" t="str">
        <x:v>Kampung Kangkar Tebrau</x:v>
      </x:c>
      <x:c r="E45" s="17" t="str">
        <x:v>S2021-011</x:v>
      </x:c>
      <x:c r="F45" s="17" t="str">
        <x:v>Kampung Kangkar Tebrau</x:v>
      </x:c>
      <x:c r="G45" s="17" t="str">
        <x:v>Flash flood</x:v>
      </x:c>
      <x:c r="H45" s="17" t="str">
        <x:v>B</x:v>
      </x:c>
      <x:c r="I45" s="17" t="str">
        <x:v>SRC2021-SEP30-SINAR</x:v>
      </x:c>
      <x:c r="J45" s="17" t="str"/>
      <x:c r="K45" s="17" t="str">
        <x:v>Exact day</x:v>
      </x:c>
      <x:c r="L45" s="17" t="str"/>
    </x:row>
    <x:row r="46">
      <x:c r="A46" s="17" t="str">
        <x:v>EVT-JB-2021-045</x:v>
      </x:c>
      <x:c r="B46" s="17" t="str">
        <x:v>2021-09-30</x:v>
      </x:c>
      <x:c r="C46" s="17" t="str">
        <x:v>DG-JB-20210930</x:v>
      </x:c>
      <x:c r="D46" s="17" t="str">
        <x:v>Kampung Seri Jaya Baru</x:v>
      </x:c>
      <x:c r="E46" s="17" t="str">
        <x:v>S2021-030</x:v>
      </x:c>
      <x:c r="F46" s="17" t="str">
        <x:v>Kampung Seri Jaya Baru</x:v>
      </x:c>
      <x:c r="G46" s="17" t="str">
        <x:v>Flash flood</x:v>
      </x:c>
      <x:c r="H46" s="17" t="str">
        <x:v>B</x:v>
      </x:c>
      <x:c r="I46" s="17" t="str">
        <x:v>SRC2021-SEP30-SINAR-SERIJAYA</x:v>
      </x:c>
      <x:c r="J46" s="17" t="str"/>
      <x:c r="K46" s="17" t="str">
        <x:v>Exact day</x:v>
      </x:c>
      <x:c r="L46" s="17" t="str">
        <x:v>Separate same-day red-water flash-flood report.</x:v>
      </x:c>
    </x:row>
    <x:row r="47">
      <x:c r="A47" s="17" t="str">
        <x:v>EVT-JB-2021-046</x:v>
      </x:c>
      <x:c r="B47" s="17" t="str">
        <x:v>2021-09-30</x:v>
      </x:c>
      <x:c r="C47" s="17" t="str">
        <x:v>DG-JB-20210930</x:v>
      </x:c>
      <x:c r="D47" s="17" t="str">
        <x:v>Kampung Mohd Amin, Kolam Air</x:v>
      </x:c>
      <x:c r="E47" s="17" t="str">
        <x:v>S2021-031</x:v>
      </x:c>
      <x:c r="F47" s="17" t="str">
        <x:v>Kampung Mohd Amin, Kolam Air</x:v>
      </x:c>
      <x:c r="G47" s="17" t="str">
        <x:v>Flash flood</x:v>
      </x:c>
      <x:c r="H47" s="17" t="str">
        <x:v>C</x:v>
      </x:c>
      <x:c r="I47" s="17" t="str">
        <x:v>SRC2021-SEP30-YSJB</x:v>
      </x:c>
      <x:c r="J47" s="17" t="str"/>
      <x:c r="K47" s="17" t="str">
        <x:v>Exact day</x:v>
      </x:c>
      <x:c r="L47" s="17" t="str">
        <x:v>Explicit field-aid record: flash flood on 30/09/2021; water rose to chest height.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4" hidden="0" customWidth="1"/>
    <x:col min="3" max="3" width="28" hidden="0" customWidth="1"/>
    <x:col min="4" max="4" width="16" hidden="0" customWidth="1"/>
    <x:col min="5" max="5" width="15" hidden="0" customWidth="1"/>
    <x:col min="6" max="6" width="24" hidden="0" customWidth="1"/>
    <x:col min="7" max="7" width="62" hidden="0" customWidth="1"/>
    <x:col min="8" max="8" width="58" hidden="0" customWidth="1"/>
  </x:cols>
  <x:sheetData>
    <x:row r="1">
      <x:c r="A1" s="16" t="str">
        <x:v>Source_ID</x:v>
      </x:c>
      <x:c r="B1" s="16" t="str">
        <x:v>Source_Title</x:v>
      </x:c>
      <x:c r="C1" s="16" t="str">
        <x:v>Publisher</x:v>
      </x:c>
      <x:c r="D1" s="16" t="str">
        <x:v>Publication_Date</x:v>
      </x:c>
      <x:c r="E1" s="16" t="str">
        <x:v>Reliability_Tier</x:v>
      </x:c>
      <x:c r="F1" s="16" t="str">
        <x:v>Use</x:v>
      </x:c>
      <x:c r="G1" s="16" t="str">
        <x:v>Source_URL</x:v>
      </x:c>
      <x:c r="H1" s="16" t="str">
        <x:v>Evidence_Note</x:v>
      </x:c>
    </x:row>
    <x:row r="2">
      <x:c r="A2" s="17" t="str">
        <x:v>SRC2021-JAN02-BERNAMA</x:v>
      </x:c>
      <x:c r="B2" s="17" t="str">
        <x:v>Five districts affected in Johor floods, evacuees on the rise</x:v>
      </x:c>
      <x:c r="C2" s="17" t="str">
        <x:v>Bernama via Malay Mail</x:v>
      </x:c>
      <x:c r="D2" s="17" t="str">
        <x:v>2021-01-02</x:v>
      </x:c>
      <x:c r="E2" s="17" t="str">
        <x:v>A/B</x:v>
      </x:c>
      <x:c r="F2" s="17" t="str">
        <x:v>Event evidence</x:v>
      </x:c>
      <x:c r="G2" s="17" t="str">
        <x:v>https://www.malaymail.com/news/malaysia/2021/01/02/five-districts-affected-in-johor-floods-evacuees-on-the-rise/1936787</x:v>
      </x:c>
      <x:c r="H2" s="17" t="str">
        <x:v>Names Kampung Laut Batu 10 Skudai, Sentosa Barat, Sentosa Damai, Lorong Aris Batu 8 Skudai and Sam Poh old folks home.</x:v>
      </x:c>
    </x:row>
    <x:row r="3">
      <x:c r="A3" s="17" t="str">
        <x:v>SRC2021-DOSM-JB</x:v>
      </x:c>
      <x:c r="B3" s="17" t="str">
        <x:v>Johor Bahru: Fakta dan Angka / Disaster chronology</x:v>
      </x:c>
      <x:c r="C3" s="17" t="str">
        <x:v>Department of Statistics Malaysia</x:v>
      </x:c>
      <x:c r="D3" s="17" t="str">
        <x:v>2023</x:v>
      </x:c>
      <x:c r="E3" s="17" t="str">
        <x:v>A</x:v>
      </x:c>
      <x:c r="F3" s="17" t="str">
        <x:v>Retrospective official context</x:v>
      </x:c>
      <x:c r="G3" s="17" t="str">
        <x:v>https://www.dosm.gov.my/v1/uploads/files/6_Newsletter/Newsletter%202023/DOSM_BPPD_11_2023_Series%2022.pdf</x:v>
      </x:c>
      <x:c r="H3" s="17" t="str">
        <x:v>Official retrospective repeats 2 Jan 2021 JB victim/location list.</x:v>
      </x:c>
    </x:row>
    <x:row r="4">
      <x:c r="A4" s="17" t="str">
        <x:v>SRC2021-JAN02-KOSMO</x:v>
      </x:c>
      <x:c r="B4" s="17" t="str">
        <x:v>275 mangsa banjir dipindahkan</x:v>
      </x:c>
      <x:c r="C4" s="17" t="str">
        <x:v>Kosmo</x:v>
      </x:c>
      <x:c r="D4" s="17" t="str">
        <x:v>2021-01-02</x:v>
      </x:c>
      <x:c r="E4" s="17" t="str">
        <x:v>B</x:v>
      </x:c>
      <x:c r="F4" s="17" t="str">
        <x:v>Event evidence</x:v>
      </x:c>
      <x:c r="G4" s="17" t="str">
        <x:v>https://www.kosmo.com.my/2021/01/02/275-mangsa-banjir-dipindahkan/</x:v>
      </x:c>
      <x:c r="H4" s="17" t="str">
        <x:v>Explicitly links Sentosa Barat, Sentosa Damai, Kampung Laut Batu 10, Kampung Pasir and Kampung Teluk Serdang Baru.</x:v>
      </x:c>
    </x:row>
    <x:row r="5">
      <x:c r="A5" s="17" t="str">
        <x:v>SRC2021-JAN02-BERNAMA-PHOTO</x:v>
      </x:c>
      <x:c r="B5" s="17" t="str">
        <x:v>Kampung Sepakat Baru flood documentary photo</x:v>
      </x:c>
      <x:c r="C5" s="17" t="str">
        <x:v>Bernama Images</x:v>
      </x:c>
      <x:c r="D5" s="17" t="str">
        <x:v>2021-01-02</x:v>
      </x:c>
      <x:c r="E5" s="17" t="str">
        <x:v>B</x:v>
      </x:c>
      <x:c r="F5" s="17" t="str">
        <x:v>Documentary event evidence</x:v>
      </x:c>
      <x:c r="G5" s="17" t="str">
        <x:v>https://imagesapps.bernama.com/images/1117920/kampung-sepakat-baru</x:v>
      </x:c>
      <x:c r="H5" s="17" t="str">
        <x:v>Retained as documentary evidence for Kampung Sepakat Baru.</x:v>
      </x:c>
    </x:row>
    <x:row r="6">
      <x:c r="A6" s="17" t="str">
        <x:v>SRC2021-JAN04-BERNAMA</x:v>
      </x:c>
      <x:c r="B6" s="17" t="str">
        <x:v>Banjir: Penduduk gesa projek dalamkan Sungai Tebrau disegerakan</x:v>
      </x:c>
      <x:c r="C6" s="17" t="str">
        <x:v>Bernama</x:v>
      </x:c>
      <x:c r="D6" s="17" t="str">
        <x:v>2021-01-04</x:v>
      </x:c>
      <x:c r="E6" s="17" t="str">
        <x:v>B</x:v>
      </x:c>
      <x:c r="F6" s="17" t="str">
        <x:v>Event retrospective</x:v>
      </x:c>
      <x:c r="G6" s="17" t="str">
        <x:v>https://www.bernama.com/bm/news.php?id=1918395</x:v>
      </x:c>
      <x:c r="H6" s="17" t="str">
        <x:v>States three villages in Kangkar Tebrau were affected by the flood two days earlier.</x:v>
      </x:c>
    </x:row>
    <x:row r="7">
      <x:c r="A7" s="17" t="str">
        <x:v>SRC2021-JAN04-UTUSAN</x:v>
      </x:c>
      <x:c r="B7" s="17" t="str">
        <x:v>Segerakan projek lebar Sungai Tebrau elak banjir berulang</x:v>
      </x:c>
      <x:c r="C7" s="17" t="str">
        <x:v>Utusan Malaysia</x:v>
      </x:c>
      <x:c r="D7" s="17" t="str">
        <x:v>2021-01-04</x:v>
      </x:c>
      <x:c r="E7" s="17" t="str">
        <x:v>B</x:v>
      </x:c>
      <x:c r="F7" s="17" t="str">
        <x:v>Event retrospective</x:v>
      </x:c>
      <x:c r="G7" s="17" t="str">
        <x:v>https://www.utusan.com.my/berita/2021/01/segerakan-projek-lebar-sungai-tebrau-elak-banjir-berulang/</x:v>
      </x:c>
      <x:c r="H7" s="17" t="str">
        <x:v>Names Paya Kenangan, Pasir Tebrau and Kangkar Tebrau; 296 victims from flood two days earlier.</x:v>
      </x:c>
    </x:row>
    <x:row r="8">
      <x:c r="A8" s="17" t="str">
        <x:v>SRC2021-JAN10-KOSMO</x:v>
      </x:c>
      <x:c r="B8" s="17" t="str">
        <x:v>Johor Bahru, Kota Tinggi kembali dilanda banjir</x:v>
      </x:c>
      <x:c r="C8" s="17" t="str">
        <x:v>Kosmo</x:v>
      </x:c>
      <x:c r="D8" s="17" t="str">
        <x:v>2021-01-10</x:v>
      </x:c>
      <x:c r="E8" s="17" t="str">
        <x:v>B</x:v>
      </x:c>
      <x:c r="F8" s="17" t="str">
        <x:v>Event evidence</x:v>
      </x:c>
      <x:c r="G8" s="17" t="str">
        <x:v>https://www.kosmo.com.my/2021/01/10/johor-bahru-kota-tinggi-kembali-dilanda-banjir/</x:v>
      </x:c>
      <x:c r="H8" s="17" t="str">
        <x:v>Lists 10 affected JB locations.</x:v>
      </x:c>
    </x:row>
    <x:row r="9">
      <x:c r="A9" s="17" t="str">
        <x:v>SRC2021-JAN10-BERNAMA-MM</x:v>
      </x:c>
      <x:c r="B9" s="17" t="str">
        <x:v>Several areas in JB, Kota Tinggi hit by floods again</x:v>
      </x:c>
      <x:c r="C9" s="17" t="str">
        <x:v>Bernama via Malay Mail</x:v>
      </x:c>
      <x:c r="D9" s="17" t="str">
        <x:v>2021-01-10</x:v>
      </x:c>
      <x:c r="E9" s="17" t="str">
        <x:v>B</x:v>
      </x:c>
      <x:c r="F9" s="17" t="str">
        <x:v>Event evidence</x:v>
      </x:c>
      <x:c r="G9" s="17" t="str">
        <x:v>https://www.malaymail.com/amp/news/malaysia/2021/01/10/several-areas-in-jb-kota-tinggi-hit-by-floods-again/1939147</x:v>
      </x:c>
      <x:c r="H9" s="17" t="str">
        <x:v>Confirms Kampung Laut Batu 10 and Kampung Paya, Bukit Mutiara re-flooding.</x:v>
      </x:c>
    </x:row>
    <x:row r="10">
      <x:c r="A10" s="17" t="str">
        <x:v>SRC2021-APR17-UTUSAN</x:v>
      </x:c>
      <x:c r="B10" s="17" t="str">
        <x:v>Penduduk Kampung Pasir berbuka puasa dalam banjir</x:v>
      </x:c>
      <x:c r="C10" s="17" t="str">
        <x:v>Utusan Malaysia</x:v>
      </x:c>
      <x:c r="D10" s="17" t="str">
        <x:v>2021-04-17</x:v>
      </x:c>
      <x:c r="E10" s="17" t="str">
        <x:v>B</x:v>
      </x:c>
      <x:c r="F10" s="17" t="str">
        <x:v>Event evidence</x:v>
      </x:c>
      <x:c r="G10" s="17" t="str">
        <x:v>https://www.utusan.com.my/berita/2021/04/penduduk-kampung-pasir-berbuka-puasa-dalam-banjir/</x:v>
      </x:c>
      <x:c r="H10" s="17" t="str">
        <x:v>Explicit Kampung Pasir flood; article says second flood there in 2021.</x:v>
      </x:c>
    </x:row>
    <x:row r="11">
      <x:c r="A11" s="17" t="str">
        <x:v>SRC2021-JUL12-UMNOPG</x:v>
      </x:c>
      <x:c r="B11" s="17" t="str">
        <x:v>Sungai Masai Perlukan Segera Kerja-kerja Tebatan Banjir</x:v>
      </x:c>
      <x:c r="C11" s="17" t="str">
        <x:v>UMNO Pasir Gudang</x:v>
      </x:c>
      <x:c r="D11" s="17" t="str">
        <x:v>2021-07-14</x:v>
      </x:c>
      <x:c r="E11" s="17" t="str">
        <x:v>C</x:v>
      </x:c>
      <x:c r="F11" s="17" t="str">
        <x:v>Local primary statement</x:v>
      </x:c>
      <x:c r="G11" s="17" t="str">
        <x:v>https://www.umnopg.com.my/2021/07/14/sungai-masai-perlukan-segera-kerja-kerja-tebatan-banjir/</x:v>
      </x:c>
      <x:c r="H11" s="17" t="str">
        <x:v>States 12 Jul flash flood affected Sungai Rinting, Taman Mawar, Taman Rinting and traffic on Lebuhraya Pasir Gudang.</x:v>
      </x:c>
    </x:row>
    <x:row r="12">
      <x:c r="A12" s="17" t="str">
        <x:v>SRC2021-SEP02-UTUSAN</x:v>
      </x:c>
      <x:c r="B12" s="17" t="str">
        <x:v>100 rumah dinaiki air akibat banjir kilat</x:v>
      </x:c>
      <x:c r="C12" s="17" t="str">
        <x:v>Utusan Malaysia / JBPM statements</x:v>
      </x:c>
      <x:c r="D12" s="17" t="str">
        <x:v>2021-09-02</x:v>
      </x:c>
      <x:c r="E12" s="17" t="str">
        <x:v>B</x:v>
      </x:c>
      <x:c r="F12" s="17" t="str">
        <x:v>Event evidence</x:v>
      </x:c>
      <x:c r="G12" s="17" t="str">
        <x:v>https://www.utusan.com.my/terkini/2021/09/100-rumah-dinaiki-air-akibat-banjir-kilat/</x:v>
      </x:c>
      <x:c r="H12" s="17" t="str">
        <x:v>Names Bukit Pulai, Taman Pasir Putih, Sentosa Barat, Jalan Kampung Masjid and separate Batu 10 Kampung Laut rescue.</x:v>
      </x:c>
    </x:row>
    <x:row r="13">
      <x:c r="A13" s="17" t="str">
        <x:v>SRC2021-SEP04-UTUSAN</x:v>
      </x:c>
      <x:c r="B13" s="17" t="str">
        <x:v>Kampung Laut Skudai banjir lagi, 28 mangsa dipindahkan</x:v>
      </x:c>
      <x:c r="C13" s="17" t="str">
        <x:v>Utusan Malaysia / JBPM</x:v>
      </x:c>
      <x:c r="D13" s="17" t="str">
        <x:v>2021-09-05</x:v>
      </x:c>
      <x:c r="E13" s="17" t="str">
        <x:v>B</x:v>
      </x:c>
      <x:c r="F13" s="17" t="str">
        <x:v>Event evidence</x:v>
      </x:c>
      <x:c r="G13" s="17" t="str">
        <x:v>https://www.utusan.com.my/nasional/2021/09/kampung-laut-skudai-banjir-lagi-28-mangsa-dipindahkan/</x:v>
      </x:c>
      <x:c r="H13" s="17" t="str">
        <x:v>Report says flood occurred 'malam tadi'; event date recorded as 4 Sep.</x:v>
      </x:c>
    </x:row>
    <x:row r="14">
      <x:c r="A14" s="17" t="str">
        <x:v>SRC2021-SEP30-SINAR</x:v>
      </x:c>
      <x:c r="B14" s="17" t="str">
        <x:v>Beberapa kawasan di Johor Bahru dilanda banjir kilat</x:v>
      </x:c>
      <x:c r="C14" s="17" t="str">
        <x:v>Sinar Harian / JBPM context</x:v>
      </x:c>
      <x:c r="D14" s="17" t="str">
        <x:v>2021-09-30</x:v>
      </x:c>
      <x:c r="E14" s="17" t="str">
        <x:v>B</x:v>
      </x:c>
      <x:c r="F14" s="17" t="str">
        <x:v>Event evidence</x:v>
      </x:c>
      <x:c r="G14" s="17" t="str">
        <x:v>https://www.sinarharian.com.my/article/164321/EDISI/Beberapa-kawasan-di-Johor-Bahru-dilanda-banjir-kilat</x:v>
      </x:c>
      <x:c r="H14" s="17" t="str">
        <x:v>Lists 11 affected JB locations at about 6 am.</x:v>
      </x:c>
    </x:row>
    <x:row r="15">
      <x:c r="A15" s="17" t="str">
        <x:v>SRC2021-SEP30-SINAR-SERIJAYA</x:v>
      </x:c>
      <x:c r="B15" s="17" t="str">
        <x:v>Banjir merah landa Kampung Seri Jaya Baru Tampoi</x:v>
      </x:c>
      <x:c r="C15" s="17" t="str">
        <x:v>Sinar Harian / JBPM photo</x:v>
      </x:c>
      <x:c r="D15" s="17" t="str">
        <x:v>2021-09-30</x:v>
      </x:c>
      <x:c r="E15" s="17" t="str">
        <x:v>B</x:v>
      </x:c>
      <x:c r="F15" s="17" t="str">
        <x:v>Event evidence</x:v>
      </x:c>
      <x:c r="G15" s="17" t="str">
        <x:v>https://www.sinarharian.com.my/article/164367/BERITA/Semasa/Banjir-merah-landa-Kampung-Seri-Jaya-Baru-Tampoi</x:v>
      </x:c>
      <x:c r="H15" s="17" t="str">
        <x:v>Same-day flood at Kampung Seri Jaya Baru, Tampoi.</x:v>
      </x:c>
    </x:row>
    <x:row r="16">
      <x:c r="A16" s="17" t="str">
        <x:v>SRC2021-SEP30-YSJB</x:v>
      </x:c>
      <x:c r="B16" s="17" t="str">
        <x:v>Help At Kg Mohd Amin Kolam Air Johor Bahru Flash Flood on 30/09/2021</x:v>
      </x:c>
      <x:c r="C16" s="17" t="str">
        <x:v>Yayasan Kebajikan Suria</x:v>
      </x:c>
      <x:c r="D16" s="17" t="str">
        <x:v>2021-09-30</x:v>
      </x:c>
      <x:c r="E16" s="17" t="str">
        <x:v>C</x:v>
      </x:c>
      <x:c r="F16" s="17" t="str">
        <x:v>NGO field evidence</x:v>
      </x:c>
      <x:c r="G16" s="17" t="str">
        <x:v>https://www.yayasansuriajb.org.my/help-at-kg-mohd-amin-kolam-air-johor-bahru-flash-flood-on-30-09-2021/</x:v>
      </x:c>
      <x:c r="H16" s="17" t="str">
        <x:v>Explicitly reports flash flood at Kg Mohd Amin, Kolam Air; water rose to chest height.</x:v>
      </x:c>
    </x:row>
    <x:row r="17">
      <x:c r="A17" s="17" t="str">
        <x:v>SRC2021-JPS-CATALOG</x:v>
      </x:c>
      <x:c r="B17" s="17" t="str">
        <x:v>LAPORAN BANJIR TAHUNAN 2021</x:v>
      </x:c>
      <x:c r="C17" s="17" t="str">
        <x:v>Jabatan Pengairan dan Saliran Malaysia</x:v>
      </x:c>
      <x:c r="D17" s="17" t="str">
        <x:v>2022</x:v>
      </x:c>
      <x:c r="E17" s="17" t="str">
        <x:v>A</x:v>
      </x:c>
      <x:c r="F17" s="17" t="str">
        <x:v>Official annual-report context</x:v>
      </x:c>
      <x:c r="G17" s="17" t="str">
        <x:v>https://library.water.gov.my/cgi-bin/koha/opac-detail.pl?biblionumber=21653</x:v>
      </x:c>
      <x:c r="H17" s="17" t="str">
        <x:v>Official 389-page annual flood report confirmed; catalog includes state flood-event reports and appendices.</x:v>
      </x:c>
    </x:row>
    <x:row r="18">
      <x:c r="A18" s="17" t="str">
        <x:v>GEO2021-KEMPAS-LURAH-OSM</x:v>
      </x:c>
      <x:c r="B18" s="17" t="str">
        <x:v>Kempas Lurah, OSM way 407852454</x:v>
      </x:c>
      <x:c r="C18" s="17" t="str">
        <x:v>OpenStreetMap</x:v>
      </x:c>
      <x:c r="D18" s="17" t="str">
        <x:v>accessed 2026-10-06</x:v>
      </x:c>
      <x:c r="E18" s="17" t="str">
        <x:v>GEO</x:v>
      </x:c>
      <x:c r="F18" s="17" t="str">
        <x:v>Polygon geometry</x:v>
      </x:c>
      <x:c r="G18" s="17" t="str">
        <x:v>https://www.openstreetmap.org/way/407852454</x:v>
      </x:c>
      <x:c r="H18" s="17" t="str">
        <x:v>Named landuse=residential, place=hamlet closed way; 12 unique nodes.</x:v>
      </x:c>
    </x:row>
    <x:row r="19">
      <x:c r="A19" s="17" t="str">
        <x:v>GEO2021-TAMAN-MAWAR-OSM</x:v>
      </x:c>
      <x:c r="B19" s="17" t="str">
        <x:v>Taman Mawar, OSM way 617816429</x:v>
      </x:c>
      <x:c r="C19" s="17" t="str">
        <x:v>OpenStreetMap</x:v>
      </x:c>
      <x:c r="D19" s="17" t="str">
        <x:v>accessed 2026-10-06</x:v>
      </x:c>
      <x:c r="E19" s="17" t="str">
        <x:v>GEO</x:v>
      </x:c>
      <x:c r="F19" s="17" t="str">
        <x:v>Polygon geometry</x:v>
      </x:c>
      <x:c r="G19" s="17" t="str">
        <x:v>https://www.openstreetmap.org/way/617816429</x:v>
      </x:c>
      <x:c r="H19" s="17" t="str">
        <x:v>Named landuse=residential, place=neighbourhood closed way; 21 unique nodes.</x:v>
      </x:c>
    </x:row>
    <x:row r="20">
      <x:c r="A20" s="17" t="str">
        <x:v>GEO-REUSE-SEPAKAT-BARU</x:v>
      </x:c>
      <x:c r="B20" s="17" t="str">
        <x:v>Kampung Sepakat Baru, OSM way 463347299</x:v>
      </x:c>
      <x:c r="C20" s="17" t="str">
        <x:v>OpenStreetMap / R010</x:v>
      </x:c>
      <x:c r="D20" s="17" t="str">
        <x:v>carry-forward</x:v>
      </x:c>
      <x:c r="E20" s="17" t="str">
        <x:v>GEO</x:v>
      </x:c>
      <x:c r="F20" s="17" t="str">
        <x:v>Reused polygon</x:v>
      </x:c>
      <x:c r="G20" s="17" t="str">
        <x:v>https://www.openstreetmap.org/way/463347299</x:v>
      </x:c>
      <x:c r="H20" s="17" t="str">
        <x:v>Reuse frozen PG2019-KG-SEPAKAT-BARU.</x:v>
      </x:c>
    </x:row>
    <x:row r="21">
      <x:c r="A21" s="17" t="str">
        <x:v>GEO-REUSE-KANGKAR-TEBRAU</x:v>
      </x:c>
      <x:c r="B21" s="17" t="str">
        <x:v>Kampung Kangkar Tebrau, OSM way 657910839</x:v>
      </x:c>
      <x:c r="C21" s="17" t="str">
        <x:v>OpenStreetMap / R005</x:v>
      </x:c>
      <x:c r="D21" s="17" t="str">
        <x:v>carry-forward</x:v>
      </x:c>
      <x:c r="E21" s="17" t="str">
        <x:v>GEO</x:v>
      </x:c>
      <x:c r="F21" s="17" t="str">
        <x:v>Reused polygon</x:v>
      </x:c>
      <x:c r="G21" s="17" t="str">
        <x:v>https://www.openstreetmap.org/way/657910839</x:v>
      </x:c>
      <x:c r="H21" s="17" t="str">
        <x:v>Reuse frozen PG2017-KG-KANGKAR-TEBRAU.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31" hidden="0" customWidth="1"/>
    <x:col min="4" max="4" width="18" hidden="0" customWidth="1"/>
    <x:col min="5" max="5" width="16" hidden="0" customWidth="1"/>
    <x:col min="6" max="6" width="17" hidden="0" customWidth="1"/>
    <x:col min="7" max="7" width="17" hidden="0" customWidth="1"/>
    <x:col min="8" max="8" width="40" hidden="0" customWidth="1"/>
    <x:col min="9" max="9" width="30" hidden="0" customWidth="1"/>
    <x:col min="10" max="10" width="29" hidden="0" customWidth="1"/>
    <x:col min="11" max="11" width="50" hidden="0" customWidth="1"/>
    <x:col min="12" max="12" width="50" hidden="0" customWidth="1"/>
    <x:col min="13" max="13" width="17" hidden="0" customWidth="1"/>
  </x:cols>
  <x:sheetData>
    <x:row r="1">
      <x:c r="A1" s="16" t="str">
        <x:v>Spatial_Object_Key</x:v>
      </x:c>
      <x:c r="B1" s="16" t="str">
        <x:v>Canonical_Name</x:v>
      </x:c>
      <x:c r="C1" s="16" t="str">
        <x:v>Alias_or_Source_Label</x:v>
      </x:c>
      <x:c r="D1" s="16" t="str">
        <x:v>Object_Type</x:v>
      </x:c>
      <x:c r="E1" s="16" t="str">
        <x:v>Point_GIS_Ready</x:v>
      </x:c>
      <x:c r="F1" s="16" t="str">
        <x:v>Longitude_WGS84</x:v>
      </x:c>
      <x:c r="G1" s="16" t="str">
        <x:v>Latitude_WGS84</x:v>
      </x:c>
      <x:c r="H1" s="16" t="str">
        <x:v>Point_Source</x:v>
      </x:c>
      <x:c r="I1" s="16" t="str">
        <x:v>Geometry_Status</x:v>
      </x:c>
      <x:c r="J1" s="16" t="str">
        <x:v>Polygon_ID</x:v>
      </x:c>
      <x:c r="K1" s="16" t="str">
        <x:v>Key_Conflict_or_Gap</x:v>
      </x:c>
      <x:c r="L1" s="16" t="str">
        <x:v>Next_Spatial_Action</x:v>
      </x:c>
      <x:c r="M1" s="16" t="str">
        <x:v>Event_Count_2021</x:v>
      </x:c>
    </x:row>
    <x:row r="2">
      <x:c r="A2" s="17" t="str">
        <x:v>S2021-001</x:v>
      </x:c>
      <x:c r="B2" s="17" t="str">
        <x:v>Kampung Laut Batu 10, Skudai</x:v>
      </x:c>
      <x:c r="C2" s="17" t="str">
        <x:v>Kampung Laut / Batu 10 Kampung Laut</x:v>
      </x:c>
      <x:c r="D2" s="17" t="str">
        <x:v>COMMUNITY</x:v>
      </x:c>
      <x:c r="E2" s="24" t="b">
        <x:v>1</x:v>
      </x:c>
      <x:c r="F2" s="17" t="n">
        <x:v>103.6605</x:v>
      </x:c>
      <x:c r="G2" s="17" t="n">
        <x:v>1.5453</x:v>
      </x:c>
      <x:c r="H2" s="17" t="str">
        <x:v>GeoNames/Mapcarta locality; event disambiguated to Skudai</x:v>
      </x:c>
      <x:c r="I2" s="17" t="str">
        <x:v>POINT_READY; POLYGON_OPEN</x:v>
      </x:c>
      <x:c r="J2" s="17" t="str"/>
      <x:c r="K2" s="17" t="str">
        <x:v>Community identity is clear; exact flood/community polygon not frozen.</x:v>
      </x:c>
      <x:c r="L2" s="17" t="str">
        <x:v>Resolve exact named closed community boundary if available.</x:v>
      </x:c>
      <x:c r="M2" s="17" t="n">
        <x:f>COUNTIF('01_2021_Event_Master'!$E$2:$E$47,A2)</x:f>
        <x:v>5</x:v>
      </x:c>
    </x:row>
    <x:row r="3">
      <x:c r="A3" s="17" t="str">
        <x:v>S2021-002</x:v>
      </x:c>
      <x:c r="B3" s="17" t="str">
        <x:v>Kampung Sentosa Barat</x:v>
      </x:c>
      <x:c r="C3" s="17" t="str">
        <x:v>Kg Sentosa Barat, Masai</x:v>
      </x:c>
      <x:c r="D3" s="17" t="str">
        <x:v>COMMUNITY</x:v>
      </x:c>
      <x:c r="E3" s="24" t="b">
        <x:v>0</x:v>
      </x:c>
      <x:c r="F3" s="17"/>
      <x:c r="G3" s="17"/>
      <x:c r="H3" s="17" t="str">
        <x:v>MBPG/news identity evidence</x:v>
      </x:c>
      <x:c r="I3" s="17" t="str">
        <x:v>IDENTITY_READY; POINT_OPEN</x:v>
      </x:c>
      <x:c r="J3" s="17" t="str"/>
      <x:c r="K3" s="17" t="str">
        <x:v>No strict traceable centroid/boundary frozen.</x:v>
      </x:c>
      <x:c r="L3" s="17" t="str">
        <x:v>Seek official gazetteer/planning boundary; do not substitute generic Sentosa.</x:v>
      </x:c>
      <x:c r="M3" s="17" t="n">
        <x:f>COUNTIF('01_2021_Event_Master'!$E$2:$E$47,A3)</x:f>
        <x:v>3</x:v>
      </x:c>
    </x:row>
    <x:row r="4">
      <x:c r="A4" s="17" t="str">
        <x:v>S2021-003</x:v>
      </x:c>
      <x:c r="B4" s="17" t="str">
        <x:v>Kampung Sentosa Damai</x:v>
      </x:c>
      <x:c r="C4" s="17" t="str">
        <x:v>Kg Sentosa Damai</x:v>
      </x:c>
      <x:c r="D4" s="17" t="str">
        <x:v>COMMUNITY</x:v>
      </x:c>
      <x:c r="E4" s="24" t="b">
        <x:v>0</x:v>
      </x:c>
      <x:c r="F4" s="17"/>
      <x:c r="G4" s="17"/>
      <x:c r="H4" s="17" t="str">
        <x:v>News/state statement identity evidence</x:v>
      </x:c>
      <x:c r="I4" s="17" t="str">
        <x:v>IDENTITY_READY; POINT_OPEN</x:v>
      </x:c>
      <x:c r="J4" s="17" t="str"/>
      <x:c r="K4" s="17" t="str">
        <x:v>No strict traceable centroid/boundary frozen.</x:v>
      </x:c>
      <x:c r="L4" s="17" t="str">
        <x:v>Seek official gazetteer/planning boundary.</x:v>
      </x:c>
      <x:c r="M4" s="17" t="n">
        <x:f>COUNTIF('01_2021_Event_Master'!$E$2:$E$47,A4)</x:f>
        <x:v>2</x:v>
      </x:c>
    </x:row>
    <x:row r="5">
      <x:c r="A5" s="17" t="str">
        <x:v>S2021-004</x:v>
      </x:c>
      <x:c r="B5" s="17" t="str">
        <x:v>Lorong Aris Batu 8, Skudai</x:v>
      </x:c>
      <x:c r="C5" s="17" t="str">
        <x:v>Lorong Aris / Batu 8½ Skudai</x:v>
      </x:c>
      <x:c r="D5" s="17" t="str">
        <x:v>ROAD/SUBAREA</x:v>
      </x:c>
      <x:c r="E5" s="24" t="b">
        <x:v>0</x:v>
      </x:c>
      <x:c r="F5" s="17"/>
      <x:c r="G5" s="17"/>
      <x:c r="H5" s="17" t="str">
        <x:v>MBIP project-map context only</x:v>
      </x:c>
      <x:c r="I5" s="17" t="str">
        <x:v>ROAD_SEGMENT_OPEN</x:v>
      </x:c>
      <x:c r="J5" s="17" t="str"/>
      <x:c r="K5" s="17" t="str">
        <x:v>Project-area evidence exists but does not define the exact flooded segment.</x:v>
      </x:c>
      <x:c r="L5" s="17" t="str">
        <x:v>Manual road-segment reconstruction only if event-specific start/end evidence is found.</x:v>
      </x:c>
      <x:c r="M5" s="17" t="n">
        <x:f>COUNTIF('01_2021_Event_Master'!$E$2:$E$47,A5)</x:f>
        <x:v>2</x:v>
      </x:c>
    </x:row>
    <x:row r="6">
      <x:c r="A6" s="17" t="str">
        <x:v>S2021-005</x:v>
      </x:c>
      <x:c r="B6" s="17" t="str">
        <x:v>Rumah Orang Tua Sam Poh</x:v>
      </x:c>
      <x:c r="C6" s="17" t="str">
        <x:v>Sam Poh old folks home</x:v>
      </x:c>
      <x:c r="D6" s="17" t="str">
        <x:v>FACILITY</x:v>
      </x:c>
      <x:c r="E6" s="24" t="b">
        <x:v>0</x:v>
      </x:c>
      <x:c r="F6" s="17"/>
      <x:c r="G6" s="17"/>
      <x:c r="H6" s="17" t="str">
        <x:v>Bernama/state statement; facility identity</x:v>
      </x:c>
      <x:c r="I6" s="17" t="str">
        <x:v>FACILITY_POINT_OPEN</x:v>
      </x:c>
      <x:c r="J6" s="17" t="str"/>
      <x:c r="K6" s="17" t="str">
        <x:v>Facility is event-valid but exact facility coordinate was not frozen in this pass.</x:v>
      </x:c>
      <x:c r="L6" s="17" t="str">
        <x:v>Resolve exact facility address/building footprint.</x:v>
      </x:c>
      <x:c r="M6" s="17" t="n">
        <x:f>COUNTIF('01_2021_Event_Master'!$E$2:$E$47,A6)</x:f>
        <x:v>1</x:v>
      </x:c>
    </x:row>
    <x:row r="7">
      <x:c r="A7" s="17" t="str">
        <x:v>S2021-006</x:v>
      </x:c>
      <x:c r="B7" s="17" t="str">
        <x:v>Kampung Pasir</x:v>
      </x:c>
      <x:c r="C7" s="17" t="str">
        <x:v>Kg Pasir, Tampoi/Skudai</x:v>
      </x:c>
      <x:c r="D7" s="17" t="str">
        <x:v>COMMUNITY</x:v>
      </x:c>
      <x:c r="E7" s="24" t="b">
        <x:v>1</x:v>
      </x:c>
      <x:c r="F7" s="17" t="n">
        <x:v>103.6969651</x:v>
      </x:c>
      <x:c r="G7" s="17" t="n">
        <x:v>1.4955303</x:v>
      </x:c>
      <x:c r="H7" s="17" t="str">
        <x:v>R012 frozen HF14 coordinate</x:v>
      </x:c>
      <x:c r="I7" s="17" t="str">
        <x:v>POINT_READY; POLYGON_OPEN</x:v>
      </x:c>
      <x:c r="J7" s="17" t="str"/>
      <x:c r="K7" s="17" t="str">
        <x:v>Existing fixed reference point reused; no exact community flood polygon substituted.</x:v>
      </x:c>
      <x:c r="L7" s="17" t="str">
        <x:v>Continue exact community-boundary search.</x:v>
      </x:c>
      <x:c r="M7" s="17" t="n">
        <x:f>COUNTIF('01_2021_Event_Master'!$E$2:$E$47,A7)</x:f>
        <x:v>4</x:v>
      </x:c>
    </x:row>
    <x:row r="8">
      <x:c r="A8" s="17" t="str">
        <x:v>S2021-007</x:v>
      </x:c>
      <x:c r="B8" s="17" t="str">
        <x:v>Kampung Teluk Serdang Baru</x:v>
      </x:c>
      <x:c r="C8" s="17" t="str">
        <x:v>Kg Teluk Serdang Baru</x:v>
      </x:c>
      <x:c r="D8" s="17" t="str">
        <x:v>COMMUNITY</x:v>
      </x:c>
      <x:c r="E8" s="24" t="b">
        <x:v>0</x:v>
      </x:c>
      <x:c r="F8" s="17"/>
      <x:c r="G8" s="17"/>
      <x:c r="H8" s="17" t="str">
        <x:v>Event evidence only</x:v>
      </x:c>
      <x:c r="I8" s="17" t="str">
        <x:v>IDENTITY_REVIEW; POINT_OPEN</x:v>
      </x:c>
      <x:c r="J8" s="17" t="str"/>
      <x:c r="K8" s="17" t="str">
        <x:v>Teluk/Telok Serdang naming and locality linkage need confirmation.</x:v>
      </x:c>
      <x:c r="L8" s="17" t="str">
        <x:v>Resolve official locality identity before geocoding.</x:v>
      </x:c>
      <x:c r="M8" s="17" t="n">
        <x:f>COUNTIF('01_2021_Event_Master'!$E$2:$E$47,A8)</x:f>
        <x:v>1</x:v>
      </x:c>
    </x:row>
    <x:row r="9">
      <x:c r="A9" s="17" t="str">
        <x:v>S2021-008</x:v>
      </x:c>
      <x:c r="B9" s="17" t="str">
        <x:v>Kampung Sepakat Baru</x:v>
      </x:c>
      <x:c r="C9" s="17" t="str">
        <x:v>Kampung Sepakat / Kg Sepakat Baru</x:v>
      </x:c>
      <x:c r="D9" s="17" t="str">
        <x:v>COMMUNITY</x:v>
      </x:c>
      <x:c r="E9" s="24" t="b">
        <x:v>1</x:v>
      </x:c>
      <x:c r="F9" s="17" t="n">
        <x:v>103.66117</x:v>
      </x:c>
      <x:c r="G9" s="17" t="n">
        <x:v>1.56411</x:v>
      </x:c>
      <x:c r="H9" s="17" t="str">
        <x:v>OSM named locality / prior R010 audit</x:v>
      </x:c>
      <x:c r="I9" s="17" t="str">
        <x:v>REUSED_CLOSED</x:v>
      </x:c>
      <x:c r="J9" s="17" t="str">
        <x:v>PG2019-KG-SEPAKAT-BARU</x:v>
      </x:c>
      <x:c r="K9" s="17" t="str">
        <x:v>10 Jan source says Kampung Sepakat; MBIP/OSM support Sepakat Baru normalization.</x:v>
      </x:c>
      <x:c r="L9" s="17" t="str">
        <x:v>Reuse frozen PG2019 polygon; retain source-label variant in events.</x:v>
      </x:c>
      <x:c r="M9" s="17" t="n">
        <x:f>COUNTIF('01_2021_Event_Master'!$E$2:$E$47,A9)</x:f>
        <x:v>2</x:v>
      </x:c>
    </x:row>
    <x:row r="10">
      <x:c r="A10" s="17" t="str">
        <x:v>S2021-009</x:v>
      </x:c>
      <x:c r="B10" s="17" t="str">
        <x:v>Kampung Paya Kenangan</x:v>
      </x:c>
      <x:c r="C10" s="17" t="str">
        <x:v>Kg Paya Kenangan</x:v>
      </x:c>
      <x:c r="D10" s="17" t="str">
        <x:v>COMMUNITY</x:v>
      </x:c>
      <x:c r="E10" s="24" t="b">
        <x:v>1</x:v>
      </x:c>
      <x:c r="F10" s="17" t="n">
        <x:v>103.7513</x:v>
      </x:c>
      <x:c r="G10" s="17" t="n">
        <x:v>1.5415</x:v>
      </x:c>
      <x:c r="H10" s="17" t="str">
        <x:v>Gazetteer/locality mapping</x:v>
      </x:c>
      <x:c r="I10" s="17" t="str">
        <x:v>POINT_READY; POLYGON_OPEN</x:v>
      </x:c>
      <x:c r="J10" s="17" t="str"/>
      <x:c r="K10" s="17" t="str">
        <x:v>Point is defensible; exact closed community boundary not frozen.</x:v>
      </x:c>
      <x:c r="L10" s="17" t="str">
        <x:v>Seek exact named boundary.</x:v>
      </x:c>
      <x:c r="M10" s="17" t="n">
        <x:f>COUNTIF('01_2021_Event_Master'!$E$2:$E$47,A10)</x:f>
        <x:v>2</x:v>
      </x:c>
    </x:row>
    <x:row r="11">
      <x:c r="A11" s="17" t="str">
        <x:v>S2021-010</x:v>
      </x:c>
      <x:c r="B11" s="17" t="str">
        <x:v>Kampung Pasir Tebrau</x:v>
      </x:c>
      <x:c r="C11" s="17" t="str">
        <x:v>Kg Pasir Tebrau</x:v>
      </x:c>
      <x:c r="D11" s="17" t="str">
        <x:v>COMMUNITY</x:v>
      </x:c>
      <x:c r="E11" s="24" t="b">
        <x:v>1</x:v>
      </x:c>
      <x:c r="F11" s="17" t="n">
        <x:v>103.7432778</x:v>
      </x:c>
      <x:c r="G11" s="17" t="n">
        <x:v>1.5441389</x:v>
      </x:c>
      <x:c r="H11" s="17" t="str">
        <x:v>Official Johor geographic gazette coordinate</x:v>
      </x:c>
      <x:c r="I11" s="17" t="str">
        <x:v>POINT_READY; POLYGON_OPEN</x:v>
      </x:c>
      <x:c r="J11" s="17" t="str"/>
      <x:c r="K11" s="17" t="str">
        <x:v>Point is defensible; exact closed community boundary not frozen.</x:v>
      </x:c>
      <x:c r="L11" s="17" t="str">
        <x:v>Seek exact named boundary.</x:v>
      </x:c>
      <x:c r="M11" s="17" t="n">
        <x:f>COUNTIF('01_2021_Event_Master'!$E$2:$E$47,A11)</x:f>
        <x:v>1</x:v>
      </x:c>
    </x:row>
    <x:row r="12">
      <x:c r="A12" s="17" t="str">
        <x:v>S2021-011</x:v>
      </x:c>
      <x:c r="B12" s="17" t="str">
        <x:v>Kampung Kangkar Tebrau</x:v>
      </x:c>
      <x:c r="C12" s="17" t="str">
        <x:v>Kg Kangkar Tebrau</x:v>
      </x:c>
      <x:c r="D12" s="17" t="str">
        <x:v>COMMUNITY</x:v>
      </x:c>
      <x:c r="E12" s="24" t="b">
        <x:v>1</x:v>
      </x:c>
      <x:c r="F12" s="17" t="n">
        <x:v>103.75589</x:v>
      </x:c>
      <x:c r="G12" s="17" t="n">
        <x:v>1.53176</x:v>
      </x:c>
      <x:c r="H12" s="17" t="str">
        <x:v>OSM locality / prior R005 audit</x:v>
      </x:c>
      <x:c r="I12" s="17" t="str">
        <x:v>REUSED_CLOSED</x:v>
      </x:c>
      <x:c r="J12" s="17" t="str">
        <x:v>PG2017-KG-KANGKAR-TEBRAU</x:v>
      </x:c>
      <x:c r="K12" s="17" t="str">
        <x:v>Existing closed community polygon is already frozen.</x:v>
      </x:c>
      <x:c r="L12" s="17" t="str">
        <x:v>Reuse PG2017 polygon.</x:v>
      </x:c>
      <x:c r="M12" s="17" t="n">
        <x:f>COUNTIF('01_2021_Event_Master'!$E$2:$E$47,A12)</x:f>
        <x:v>3</x:v>
      </x:c>
    </x:row>
    <x:row r="13">
      <x:c r="A13" s="17" t="str">
        <x:v>S2021-012</x:v>
      </x:c>
      <x:c r="B13" s="17" t="str">
        <x:v>Simpang Mados</x:v>
      </x:c>
      <x:c r="C13" s="17" t="str">
        <x:v>Simpang Mados / Ladang Mados context</x:v>
      </x:c>
      <x:c r="D13" s="17" t="str">
        <x:v>LOCALITY</x:v>
      </x:c>
      <x:c r="E13" s="24" t="b">
        <x:v>0</x:v>
      </x:c>
      <x:c r="F13" s="17"/>
      <x:c r="G13" s="17"/>
      <x:c r="H13" s="17" t="str">
        <x:v>Event evidence + nearby institutional context</x:v>
      </x:c>
      <x:c r="I13" s="17" t="str">
        <x:v>POINT_OPEN</x:v>
      </x:c>
      <x:c r="J13" s="17" t="str"/>
      <x:c r="K13" s="17" t="str">
        <x:v>Nearby Mados features do not uniquely define Simpang Mados.</x:v>
      </x:c>
      <x:c r="L13" s="17" t="str">
        <x:v>Do not force a school/estate coordinate; obtain official locality evidence.</x:v>
      </x:c>
      <x:c r="M13" s="17" t="n">
        <x:f>COUNTIF('01_2021_Event_Master'!$E$2:$E$47,A13)</x:f>
        <x:v>1</x:v>
      </x:c>
    </x:row>
    <x:row r="14">
      <x:c r="A14" s="17" t="str">
        <x:v>S2021-013</x:v>
      </x:c>
      <x:c r="B14" s="17" t="str">
        <x:v>Batu 20 Sungai Tiram</x:v>
      </x:c>
      <x:c r="C14" s="17" t="str">
        <x:v>Batu 20 Sg Tiram</x:v>
      </x:c>
      <x:c r="D14" s="17" t="str">
        <x:v>ROAD/LOCALITY</x:v>
      </x:c>
      <x:c r="E14" s="24" t="b">
        <x:v>0</x:v>
      </x:c>
      <x:c r="F14" s="17"/>
      <x:c r="G14" s="17"/>
      <x:c r="H14" s="17" t="str">
        <x:v>Event label only</x:v>
      </x:c>
      <x:c r="I14" s="17" t="str">
        <x:v>ROAD_SEGMENT_OPEN</x:v>
      </x:c>
      <x:c r="J14" s="17" t="str"/>
      <x:c r="K14" s="17" t="str">
        <x:v>Linear/road-chainage object; exact affected segment unresolved.</x:v>
      </x:c>
      <x:c r="L14" s="17" t="str">
        <x:v>Resolve road chainage or event-specific segment.</x:v>
      </x:c>
      <x:c r="M14" s="17" t="n">
        <x:f>COUNTIF('01_2021_Event_Master'!$E$2:$E$47,A14)</x:f>
        <x:v>1</x:v>
      </x:c>
    </x:row>
    <x:row r="15">
      <x:c r="A15" s="17" t="str">
        <x:v>S2021-014</x:v>
      </x:c>
      <x:c r="B15" s="17" t="str">
        <x:v>Kampung Paya, Bukit Mutiara</x:v>
      </x:c>
      <x:c r="C15" s="17" t="str">
        <x:v>Kg Paya Bukit Mutiara</x:v>
      </x:c>
      <x:c r="D15" s="17" t="str">
        <x:v>COMMUNITY</x:v>
      </x:c>
      <x:c r="E15" s="24" t="b">
        <x:v>0</x:v>
      </x:c>
      <x:c r="F15" s="17"/>
      <x:c r="G15" s="17"/>
      <x:c r="H15" s="17" t="str">
        <x:v>Bernama resident/location evidence</x:v>
      </x:c>
      <x:c r="I15" s="17" t="str">
        <x:v>POINT_OPEN</x:v>
      </x:c>
      <x:c r="J15" s="17" t="str"/>
      <x:c r="K15" s="17" t="str">
        <x:v>Identity is event-valid but strict centroid/boundary not frozen.</x:v>
      </x:c>
      <x:c r="L15" s="17" t="str">
        <x:v>Seek official gazetteer/planning source.</x:v>
      </x:c>
      <x:c r="M15" s="17" t="n">
        <x:f>COUNTIF('01_2021_Event_Master'!$E$2:$E$47,A15)</x:f>
        <x:v>1</x:v>
      </x:c>
    </x:row>
    <x:row r="16">
      <x:c r="A16" s="17" t="str">
        <x:v>S2021-015</x:v>
      </x:c>
      <x:c r="B16" s="17" t="str">
        <x:v>Kampung Sungai Rinting</x:v>
      </x:c>
      <x:c r="C16" s="17" t="str">
        <x:v>Kg Sungai Rinting</x:v>
      </x:c>
      <x:c r="D16" s="17" t="str">
        <x:v>COMMUNITY</x:v>
      </x:c>
      <x:c r="E16" s="24" t="b">
        <x:v>1</x:v>
      </x:c>
      <x:c r="F16" s="17" t="n">
        <x:v>103.8743</x:v>
      </x:c>
      <x:c r="G16" s="17" t="n">
        <x:v>1.48054</x:v>
      </x:c>
      <x:c r="H16" s="17" t="str">
        <x:v>GeoNames/locality mapping</x:v>
      </x:c>
      <x:c r="I16" s="17" t="str">
        <x:v>POINT_READY; POLYGON_OPEN</x:v>
      </x:c>
      <x:c r="J16" s="17" t="str"/>
      <x:c r="K16" s="17" t="str">
        <x:v>Exact community polygon not frozen.</x:v>
      </x:c>
      <x:c r="L16" s="17" t="str">
        <x:v>Seek named closed boundary.</x:v>
      </x:c>
      <x:c r="M16" s="17" t="n">
        <x:f>COUNTIF('01_2021_Event_Master'!$E$2:$E$47,A16)</x:f>
        <x:v>1</x:v>
      </x:c>
    </x:row>
    <x:row r="17">
      <x:c r="A17" s="17" t="str">
        <x:v>S2021-016</x:v>
      </x:c>
      <x:c r="B17" s="17" t="str">
        <x:v>Taman Mawar</x:v>
      </x:c>
      <x:c r="C17" s="17" t="str">
        <x:v>Taman Mawar, Masai/Pasir Gudang</x:v>
      </x:c>
      <x:c r="D17" s="17" t="str">
        <x:v>RESIDENTIAL</x:v>
      </x:c>
      <x:c r="E17" s="24" t="b">
        <x:v>1</x:v>
      </x:c>
      <x:c r="F17" s="17" t="n">
        <x:v>103.8948094913</x:v>
      </x:c>
      <x:c r="G17" s="17" t="n">
        <x:v>1.4696218674</x:v>
      </x:c>
      <x:c r="H17" s="17" t="str">
        <x:v>OSM way 617816429 polygon centroid</x:v>
      </x:c>
      <x:c r="I17" s="17" t="str">
        <x:v>NEW_CLOSED</x:v>
      </x:c>
      <x:c r="J17" s="17" t="str">
        <x:v>PG2021-TAMAN-MAWAR</x:v>
      </x:c>
      <x:c r="K17" s="17" t="str">
        <x:v>Exact named landuse=residential closed way available.</x:v>
      </x:c>
      <x:c r="L17" s="17" t="str">
        <x:v>Freeze OSM boundary as analysis polygon; not inundation footprint.</x:v>
      </x:c>
      <x:c r="M17" s="17" t="n">
        <x:f>COUNTIF('01_2021_Event_Master'!$E$2:$E$47,A17)</x:f>
        <x:v>1</x:v>
      </x:c>
    </x:row>
    <x:row r="18">
      <x:c r="A18" s="17" t="str">
        <x:v>S2021-017</x:v>
      </x:c>
      <x:c r="B18" s="17" t="str">
        <x:v>Taman Rinting</x:v>
      </x:c>
      <x:c r="C18" s="17" t="str">
        <x:v>Taman Rinting</x:v>
      </x:c>
      <x:c r="D18" s="17" t="str">
        <x:v>RESIDENTIAL</x:v>
      </x:c>
      <x:c r="E18" s="24" t="b">
        <x:v>1</x:v>
      </x:c>
      <x:c r="F18" s="17" t="n">
        <x:v>103.8788</x:v>
      </x:c>
      <x:c r="G18" s="17" t="n">
        <x:v>1.4959</x:v>
      </x:c>
      <x:c r="H18" s="17" t="str">
        <x:v>GeoNames locality</x:v>
      </x:c>
      <x:c r="I18" s="17" t="str">
        <x:v>POINT_READY; POLYGON_OPEN</x:v>
      </x:c>
      <x:c r="J18" s="17" t="str"/>
      <x:c r="K18" s="17" t="str">
        <x:v>Point is defensible; no exact closed event-area geometry frozen.</x:v>
      </x:c>
      <x:c r="L18" s="17" t="str">
        <x:v>Seek exact named boundary.</x:v>
      </x:c>
      <x:c r="M18" s="17" t="n">
        <x:f>COUNTIF('01_2021_Event_Master'!$E$2:$E$47,A18)</x:f>
        <x:v>1</x:v>
      </x:c>
    </x:row>
    <x:row r="19">
      <x:c r="A19" s="17" t="str">
        <x:v>S2021-018</x:v>
      </x:c>
      <x:c r="B19" s="17" t="str">
        <x:v>Lebuhraya Pasir Gudang</x:v>
      </x:c>
      <x:c r="C19" s="17" t="str">
        <x:v>Pasir Gudang Highway</x:v>
      </x:c>
      <x:c r="D19" s="17" t="str">
        <x:v>ROAD</x:v>
      </x:c>
      <x:c r="E19" s="24" t="b">
        <x:v>0</x:v>
      </x:c>
      <x:c r="F19" s="17"/>
      <x:c r="G19" s="17"/>
      <x:c r="H19" s="17" t="str">
        <x:v>12 Jul source reports traffic severely affected</x:v>
      </x:c>
      <x:c r="I19" s="17" t="str">
        <x:v>ROAD_SEGMENT_OPEN</x:v>
      </x:c>
      <x:c r="J19" s="17" t="str"/>
      <x:c r="K19" s="17" t="str">
        <x:v>Source names the highway but not flooded start/end chainage.</x:v>
      </x:c>
      <x:c r="L19" s="17" t="str">
        <x:v>Keep linear object open; no whole-highway buffer.</x:v>
      </x:c>
      <x:c r="M19" s="17" t="n">
        <x:f>COUNTIF('01_2021_Event_Master'!$E$2:$E$47,A19)</x:f>
        <x:v>1</x:v>
      </x:c>
    </x:row>
    <x:row r="20">
      <x:c r="A20" s="17" t="str">
        <x:v>S2021-019</x:v>
      </x:c>
      <x:c r="B20" s="17" t="str">
        <x:v>Kampung Bukit Pulai</x:v>
      </x:c>
      <x:c r="C20" s="17" t="str">
        <x:v>Kg Bukit Pulai</x:v>
      </x:c>
      <x:c r="D20" s="17" t="str">
        <x:v>COMMUNITY</x:v>
      </x:c>
      <x:c r="E20" s="24" t="b">
        <x:v>0</x:v>
      </x:c>
      <x:c r="F20" s="17"/>
      <x:c r="G20" s="17"/>
      <x:c r="H20" s="17" t="str">
        <x:v>2 Sep JBPM/news event evidence</x:v>
      </x:c>
      <x:c r="I20" s="17" t="str">
        <x:v>POINT_OPEN</x:v>
      </x:c>
      <x:c r="J20" s="17" t="str"/>
      <x:c r="K20" s="17" t="str">
        <x:v>Exact locality coordinate/boundary not frozen.</x:v>
      </x:c>
      <x:c r="L20" s="17" t="str">
        <x:v>Resolve official locality.</x:v>
      </x:c>
      <x:c r="M20" s="17" t="n">
        <x:f>COUNTIF('01_2021_Event_Master'!$E$2:$E$47,A20)</x:f>
        <x:v>1</x:v>
      </x:c>
    </x:row>
    <x:row r="21">
      <x:c r="A21" s="17" t="str">
        <x:v>S2021-020</x:v>
      </x:c>
      <x:c r="B21" s="17" t="str">
        <x:v>Taman Pasir Putih</x:v>
      </x:c>
      <x:c r="C21" s="17" t="str">
        <x:v>Taman Pasir Putih</x:v>
      </x:c>
      <x:c r="D21" s="17" t="str">
        <x:v>RESIDENTIAL</x:v>
      </x:c>
      <x:c r="E21" s="24" t="b">
        <x:v>1</x:v>
      </x:c>
      <x:c r="F21" s="17" t="n">
        <x:v>103.93887</x:v>
      </x:c>
      <x:c r="G21" s="17" t="n">
        <x:v>1.47292</x:v>
      </x:c>
      <x:c r="H21" s="17" t="str">
        <x:v>OSM node 2409009368</x:v>
      </x:c>
      <x:c r="I21" s="17" t="str">
        <x:v>POINT_READY; POLYGON_OPEN</x:v>
      </x:c>
      <x:c r="J21" s="17" t="str"/>
      <x:c r="K21" s="17" t="str">
        <x:v>Point is defensible; exact event-area boundary not frozen.</x:v>
      </x:c>
      <x:c r="L21" s="17" t="str">
        <x:v>Seek named closed residential boundary.</x:v>
      </x:c>
      <x:c r="M21" s="17" t="n">
        <x:f>COUNTIF('01_2021_Event_Master'!$E$2:$E$47,A21)</x:f>
        <x:v>1</x:v>
      </x:c>
    </x:row>
    <x:row r="22">
      <x:c r="A22" s="17" t="str">
        <x:v>S2021-021</x:v>
      </x:c>
      <x:c r="B22" s="17" t="str">
        <x:v>Jalan Kampung Masjid, Masai</x:v>
      </x:c>
      <x:c r="C22" s="17" t="str">
        <x:v>Jalan Kampung Masjid Masai</x:v>
      </x:c>
      <x:c r="D22" s="17" t="str">
        <x:v>ROAD</x:v>
      </x:c>
      <x:c r="E22" s="24" t="b">
        <x:v>0</x:v>
      </x:c>
      <x:c r="F22" s="17"/>
      <x:c r="G22" s="17"/>
      <x:c r="H22" s="17" t="str">
        <x:v>2 Sep JBPM/news event evidence</x:v>
      </x:c>
      <x:c r="I22" s="17" t="str">
        <x:v>ROAD_SEGMENT_OPEN</x:v>
      </x:c>
      <x:c r="J22" s="17" t="str"/>
      <x:c r="K22" s="17" t="str">
        <x:v>Named road affected; start/end flooded segment absent.</x:v>
      </x:c>
      <x:c r="L22" s="17" t="str">
        <x:v>Keep exact road segment open.</x:v>
      </x:c>
      <x:c r="M22" s="17" t="n">
        <x:f>COUNTIF('01_2021_Event_Master'!$E$2:$E$47,A22)</x:f>
        <x:v>1</x:v>
      </x:c>
    </x:row>
    <x:row r="23">
      <x:c r="A23" s="17" t="str">
        <x:v>S2021-022</x:v>
      </x:c>
      <x:c r="B23" s="17" t="str">
        <x:v>Kampung Melayu Majidee</x:v>
      </x:c>
      <x:c r="C23" s="17" t="str">
        <x:v>Kg Melayu Majidee</x:v>
      </x:c>
      <x:c r="D23" s="17" t="str">
        <x:v>COMMUNITY</x:v>
      </x:c>
      <x:c r="E23" s="24" t="b">
        <x:v>1</x:v>
      </x:c>
      <x:c r="F23" s="17" t="n">
        <x:v>103.75192484</x:v>
      </x:c>
      <x:c r="G23" s="17" t="n">
        <x:v>1.51174352</x:v>
      </x:c>
      <x:c r="H23" s="17" t="str">
        <x:v>MyGeoName Johor gazetteer</x:v>
      </x:c>
      <x:c r="I23" s="17" t="str">
        <x:v>POINT_READY; POLYGON_CANDIDATE_OPEN</x:v>
      </x:c>
      <x:c r="J23" s="17" t="str"/>
      <x:c r="K23" s="17" t="str">
        <x:v>OSM relation candidate exists but full multipolygon not reconstructed here.</x:v>
      </x:c>
      <x:c r="L23" s="17" t="str">
        <x:v>Extract/validate full relation before closure.</x:v>
      </x:c>
      <x:c r="M23" s="17" t="n">
        <x:f>COUNTIF('01_2021_Event_Master'!$E$2:$E$47,A23)</x:f>
        <x:v>1</x:v>
      </x:c>
    </x:row>
    <x:row r="24">
      <x:c r="A24" s="17" t="str">
        <x:v>S2021-023</x:v>
      </x:c>
      <x:c r="B24" s="17" t="str">
        <x:v>Kempas Lurah</x:v>
      </x:c>
      <x:c r="C24" s="17" t="str">
        <x:v>Kempas Lurah</x:v>
      </x:c>
      <x:c r="D24" s="17" t="str">
        <x:v>COMMUNITY</x:v>
      </x:c>
      <x:c r="E24" s="24" t="b">
        <x:v>1</x:v>
      </x:c>
      <x:c r="F24" s="17" t="n">
        <x:v>103.71579344</x:v>
      </x:c>
      <x:c r="G24" s="17" t="n">
        <x:v>1.52911376</x:v>
      </x:c>
      <x:c r="H24" s="17" t="str">
        <x:v>OSM way 407852454 polygon centroid</x:v>
      </x:c>
      <x:c r="I24" s="17" t="str">
        <x:v>NEW_CLOSED</x:v>
      </x:c>
      <x:c r="J24" s="17" t="str">
        <x:v>PG2021-KEMPAS-LURAH</x:v>
      </x:c>
      <x:c r="K24" s="17" t="str">
        <x:v>Exact named landuse=residential/place=hamlet closed way available.</x:v>
      </x:c>
      <x:c r="L24" s="17" t="str">
        <x:v>Freeze OSM boundary as analysis polygon; not inundation footprint.</x:v>
      </x:c>
      <x:c r="M24" s="17" t="n">
        <x:f>COUNTIF('01_2021_Event_Master'!$E$2:$E$47,A24)</x:f>
        <x:v>1</x:v>
      </x:c>
    </x:row>
    <x:row r="25">
      <x:c r="A25" s="17" t="str">
        <x:v>S2021-024</x:v>
      </x:c>
      <x:c r="B25" s="17" t="str">
        <x:v>Taman Skudai Baru</x:v>
      </x:c>
      <x:c r="C25" s="17" t="str">
        <x:v>Taman Skudai Baru</x:v>
      </x:c>
      <x:c r="D25" s="17" t="str">
        <x:v>RESIDENTIAL</x:v>
      </x:c>
      <x:c r="E25" s="24" t="b">
        <x:v>0</x:v>
      </x:c>
      <x:c r="F25" s="17"/>
      <x:c r="G25" s="17"/>
      <x:c r="H25" s="17" t="str">
        <x:v>Multiple same-name OSM objects</x:v>
      </x:c>
      <x:c r="I25" s="17" t="str">
        <x:v>IDENTITY_CONFLICT; POLYGON_OPEN</x:v>
      </x:c>
      <x:c r="J25" s="17" t="str"/>
      <x:c r="K25" s="17" t="str">
        <x:v>Two same-name public map objects create identity ambiguity.</x:v>
      </x:c>
      <x:c r="L25" s="17" t="str">
        <x:v>Resolve against event/JBPM administrative context before selecting geometry.</x:v>
      </x:c>
      <x:c r="M25" s="17" t="n">
        <x:f>COUNTIF('01_2021_Event_Master'!$E$2:$E$47,A25)</x:f>
        <x:v>1</x:v>
      </x:c>
    </x:row>
    <x:row r="26">
      <x:c r="A26" s="17" t="str">
        <x:v>S2021-025</x:v>
      </x:c>
      <x:c r="B26" s="17" t="str">
        <x:v>Taman Johor Jaya</x:v>
      </x:c>
      <x:c r="C26" s="17" t="str">
        <x:v>Taman Johor Jaya</x:v>
      </x:c>
      <x:c r="D26" s="17" t="str">
        <x:v>RESIDENTIAL</x:v>
      </x:c>
      <x:c r="E26" s="24" t="b">
        <x:v>1</x:v>
      </x:c>
      <x:c r="F26" s="17" t="n">
        <x:v>103.8024</x:v>
      </x:c>
      <x:c r="G26" s="17" t="n">
        <x:v>1.5428</x:v>
      </x:c>
      <x:c r="H26" s="17" t="str">
        <x:v>OSM locality node 4938487621</x:v>
      </x:c>
      <x:c r="I26" s="17" t="str">
        <x:v>POINT_READY; POLYGON_OPEN</x:v>
      </x:c>
      <x:c r="J26" s="17" t="str"/>
      <x:c r="K26" s="17" t="str">
        <x:v>Sinar lists Taman Johor Jaya; separate source mentions Jalan Belumut/Taman Johor.</x:v>
      </x:c>
      <x:c r="L26" s="17" t="str">
        <x:v>Retain source conflict; do not auto-merge labels.</x:v>
      </x:c>
      <x:c r="M26" s="17" t="n">
        <x:f>COUNTIF('01_2021_Event_Master'!$E$2:$E$47,A26)</x:f>
        <x:v>1</x:v>
      </x:c>
    </x:row>
    <x:row r="27">
      <x:c r="A27" s="17" t="str">
        <x:v>S2021-026</x:v>
      </x:c>
      <x:c r="B27" s="17" t="str">
        <x:v>Kampung Ibu</x:v>
      </x:c>
      <x:c r="C27" s="17" t="str">
        <x:v>Kg Ibu</x:v>
      </x:c>
      <x:c r="D27" s="17" t="str">
        <x:v>COMMUNITY</x:v>
      </x:c>
      <x:c r="E27" s="24" t="b">
        <x:v>0</x:v>
      </x:c>
      <x:c r="F27" s="17"/>
      <x:c r="G27" s="17"/>
      <x:c r="H27" s="17" t="str">
        <x:v>30 Sep news event evidence</x:v>
      </x:c>
      <x:c r="I27" s="17" t="str">
        <x:v>POINT_OPEN</x:v>
      </x:c>
      <x:c r="J27" s="17" t="str"/>
      <x:c r="K27" s="17" t="str">
        <x:v>No defensible strict point frozen.</x:v>
      </x:c>
      <x:c r="L27" s="17" t="str">
        <x:v>Seek official locality/gazetteer evidence.</x:v>
      </x:c>
      <x:c r="M27" s="17" t="n">
        <x:f>COUNTIF('01_2021_Event_Master'!$E$2:$E$47,A27)</x:f>
        <x:v>1</x:v>
      </x:c>
    </x:row>
    <x:row r="28">
      <x:c r="A28" s="17" t="str">
        <x:v>S2021-027</x:v>
      </x:c>
      <x:c r="B28" s="17" t="str">
        <x:v>Kolam Air</x:v>
      </x:c>
      <x:c r="C28" s="17" t="str">
        <x:v>Kolam Air, Johor Bahru</x:v>
      </x:c>
      <x:c r="D28" s="17" t="str">
        <x:v>AREA</x:v>
      </x:c>
      <x:c r="E28" s="24" t="b">
        <x:v>0</x:v>
      </x:c>
      <x:c r="F28" s="17"/>
      <x:c r="G28" s="17"/>
      <x:c r="H28" s="17" t="str">
        <x:v>30 Sep news event evidence</x:v>
      </x:c>
      <x:c r="I28" s="17" t="str">
        <x:v>IDENTITY_AMBIGUOUS; POINT_OPEN</x:v>
      </x:c>
      <x:c r="J28" s="17" t="str"/>
      <x:c r="K28" s="17" t="str">
        <x:v>Generic name could be confused with unrelated Kolam Air features.</x:v>
      </x:c>
      <x:c r="L28" s="17" t="str">
        <x:v>Resolve precise Johor Bahru locality before geocoding.</x:v>
      </x:c>
      <x:c r="M28" s="17" t="n">
        <x:f>COUNTIF('01_2021_Event_Master'!$E$2:$E$47,A28)</x:f>
        <x:v>1</x:v>
      </x:c>
    </x:row>
    <x:row r="29">
      <x:c r="A29" s="17" t="str">
        <x:v>S2021-028</x:v>
      </x:c>
      <x:c r="B29" s="17" t="str">
        <x:v>Kempas Denai</x:v>
      </x:c>
      <x:c r="C29" s="17" t="str">
        <x:v>Kempas Denai / Jalan Denai Utama</x:v>
      </x:c>
      <x:c r="D29" s="17" t="str">
        <x:v>ROAD/AREA</x:v>
      </x:c>
      <x:c r="E29" s="24" t="b">
        <x:v>0</x:v>
      </x:c>
      <x:c r="F29" s="17"/>
      <x:c r="G29" s="17"/>
      <x:c r="H29" s="17" t="str">
        <x:v>Sinar generic area + Kosmo road-specific wording</x:v>
      </x:c>
      <x:c r="I29" s="17" t="str">
        <x:v>SOURCE_LABEL_CONFLICT; ROAD_SEGMENT_OPEN</x:v>
      </x:c>
      <x:c r="J29" s="17" t="str"/>
      <x:c r="K29" s="17" t="str">
        <x:v>Generic 'Kempas Denai' vs exact 'Jalan Denai Utama' wording.</x:v>
      </x:c>
      <x:c r="L29" s="17" t="str">
        <x:v>Preserve both source labels; resolve flooded road segment separately.</x:v>
      </x:c>
      <x:c r="M29" s="17" t="n">
        <x:f>COUNTIF('01_2021_Event_Master'!$E$2:$E$47,A29)</x:f>
        <x:v>1</x:v>
      </x:c>
    </x:row>
    <x:row r="30">
      <x:c r="A30" s="17" t="str">
        <x:v>S2021-029</x:v>
      </x:c>
      <x:c r="B30" s="17" t="str">
        <x:v>Kempas Permatang</x:v>
      </x:c>
      <x:c r="C30" s="17" t="str">
        <x:v>Kempas Permatang / Jalan Permatang</x:v>
      </x:c>
      <x:c r="D30" s="17" t="str">
        <x:v>ROAD/AREA</x:v>
      </x:c>
      <x:c r="E30" s="24" t="b">
        <x:v>1</x:v>
      </x:c>
      <x:c r="F30" s="17" t="n">
        <x:v>103.72755</x:v>
      </x:c>
      <x:c r="G30" s="17" t="n">
        <x:v>1.52696</x:v>
      </x:c>
      <x:c r="H30" s="17" t="str">
        <x:v>OSM locality node / news context</x:v>
      </x:c>
      <x:c r="I30" s="17" t="str">
        <x:v>POINT_READY; ROAD_SEGMENT_OPEN</x:v>
      </x:c>
      <x:c r="J30" s="17" t="str"/>
      <x:c r="K30" s="17" t="str">
        <x:v>Area point is usable, but event reporting also gives road-specific Jalan Permatang.</x:v>
      </x:c>
      <x:c r="L30" s="17" t="str">
        <x:v>Do not treat point/community extent as flooded road segment.</x:v>
      </x:c>
      <x:c r="M30" s="17" t="n">
        <x:f>COUNTIF('01_2021_Event_Master'!$E$2:$E$47,A30)</x:f>
        <x:v>1</x:v>
      </x:c>
    </x:row>
    <x:row r="31">
      <x:c r="A31" s="17" t="str">
        <x:v>S2021-030</x:v>
      </x:c>
      <x:c r="B31" s="17" t="str">
        <x:v>Kampung Seri Jaya Baru</x:v>
      </x:c>
      <x:c r="C31" s="17" t="str">
        <x:v>Kg Seri Jaya Baru, Tampoi</x:v>
      </x:c>
      <x:c r="D31" s="17" t="str">
        <x:v>COMMUNITY</x:v>
      </x:c>
      <x:c r="E31" s="24" t="b">
        <x:v>0</x:v>
      </x:c>
      <x:c r="F31" s="17"/>
      <x:c r="G31" s="17"/>
      <x:c r="H31" s="17" t="str">
        <x:v>Sinar/JBPM event evidence + Johor address context</x:v>
      </x:c>
      <x:c r="I31" s="17" t="str">
        <x:v>POINT_OPEN</x:v>
      </x:c>
      <x:c r="J31" s="17" t="str"/>
      <x:c r="K31" s="17" t="str">
        <x:v>Identity is strong; exact centroid/community boundary not frozen.</x:v>
      </x:c>
      <x:c r="L31" s="17" t="str">
        <x:v>Resolve official point/boundary.</x:v>
      </x:c>
      <x:c r="M31" s="17" t="n">
        <x:f>COUNTIF('01_2021_Event_Master'!$E$2:$E$47,A31)</x:f>
        <x:v>1</x:v>
      </x:c>
    </x:row>
    <x:row r="32">
      <x:c r="A32" s="17" t="str">
        <x:v>S2021-031</x:v>
      </x:c>
      <x:c r="B32" s="17" t="str">
        <x:v>Kampung Mohd Amin, Kolam Air</x:v>
      </x:c>
      <x:c r="C32" s="17" t="str">
        <x:v>Kampung Mohd Amin / Kg Mohd Amin Kolam Air</x:v>
      </x:c>
      <x:c r="D32" s="17" t="str">
        <x:v>COMMUNITY</x:v>
      </x:c>
      <x:c r="E32" s="24" t="b">
        <x:v>1</x:v>
      </x:c>
      <x:c r="F32" s="17" t="n">
        <x:v>103.73374889</x:v>
      </x:c>
      <x:c r="G32" s="17" t="n">
        <x:v>1.46371239</x:v>
      </x:c>
      <x:c r="H32" s="17" t="str">
        <x:v>MyGeoName Johor gazetteer / R012-linked identity</x:v>
      </x:c>
      <x:c r="I32" s="17" t="str">
        <x:v>POINT_READY; POLYGON_OPEN</x:v>
      </x:c>
      <x:c r="J32" s="17" t="str"/>
      <x:c r="K32" s="17" t="str">
        <x:v>30 Sep field record is explicit; exact closed community boundary not frozen.</x:v>
      </x:c>
      <x:c r="L32" s="17" t="str">
        <x:v>Reuse canonical Kampung Mohd Amin identity; retain Kolam Air event context.</x:v>
      </x:c>
      <x:c r="M32" s="17" t="n">
        <x:f>COUNTIF('01_2021_Event_Master'!$E$2:$E$47,A32)</x:f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18" hidden="0" customWidth="1"/>
    <x:col min="4" max="4" width="31" hidden="0" customWidth="1"/>
    <x:col min="5" max="5" width="56" hidden="0" customWidth="1"/>
    <x:col min="6" max="6" width="56" hidden="0" customWidth="1"/>
    <x:col min="7" max="7" width="44" hidden="0" customWidth="1"/>
  </x:cols>
  <x:sheetData>
    <x:row r="1">
      <x:c r="A1" s="16" t="str">
        <x:v>Spatial_Object_Key</x:v>
      </x:c>
      <x:c r="B1" s="16" t="str">
        <x:v>Canonical_Name</x:v>
      </x:c>
      <x:c r="C1" s="16" t="str">
        <x:v>Object_Type</x:v>
      </x:c>
      <x:c r="D1" s="16" t="str">
        <x:v>Current_Status</x:v>
      </x:c>
      <x:c r="E1" s="16" t="str">
        <x:v>Key_Conflict_or_Gap</x:v>
      </x:c>
      <x:c r="F1" s="16" t="str">
        <x:v>Next_Spatial_Action</x:v>
      </x:c>
      <x:c r="G1" s="16" t="str">
        <x:v>Decision</x:v>
      </x:c>
    </x:row>
    <x:row r="2">
      <x:c r="A2" s="17" t="str">
        <x:v>S2021-001</x:v>
      </x:c>
      <x:c r="B2" s="17" t="str">
        <x:v>Kampung Laut Batu 10, Skudai</x:v>
      </x:c>
      <x:c r="C2" s="17" t="str">
        <x:v>COMMUNITY</x:v>
      </x:c>
      <x:c r="D2" s="17" t="str">
        <x:v>POINT_READY; POLYGON_OPEN</x:v>
      </x:c>
      <x:c r="E2" s="17" t="str">
        <x:v>Community identity is clear; exact flood/community polygon not frozen.</x:v>
      </x:c>
      <x:c r="F2" s="17" t="str">
        <x:v>Resolve exact named closed community boundary if available.</x:v>
      </x:c>
      <x:c r="G2" s="17" t="str">
        <x:v>OPEN - retain evidence; do not fabricate geometry</x:v>
      </x:c>
    </x:row>
    <x:row r="3">
      <x:c r="A3" s="17" t="str">
        <x:v>S2021-002</x:v>
      </x:c>
      <x:c r="B3" s="17" t="str">
        <x:v>Kampung Sentosa Barat</x:v>
      </x:c>
      <x:c r="C3" s="17" t="str">
        <x:v>COMMUNITY</x:v>
      </x:c>
      <x:c r="D3" s="17" t="str">
        <x:v>IDENTITY_READY; POINT_OPEN</x:v>
      </x:c>
      <x:c r="E3" s="17" t="str">
        <x:v>No strict traceable centroid/boundary frozen.</x:v>
      </x:c>
      <x:c r="F3" s="17" t="str">
        <x:v>Seek official gazetteer/planning boundary; do not substitute generic Sentosa.</x:v>
      </x:c>
      <x:c r="G3" s="17" t="str">
        <x:v>OPEN - retain evidence; do not fabricate geometry</x:v>
      </x:c>
    </x:row>
    <x:row r="4">
      <x:c r="A4" s="17" t="str">
        <x:v>S2021-003</x:v>
      </x:c>
      <x:c r="B4" s="17" t="str">
        <x:v>Kampung Sentosa Damai</x:v>
      </x:c>
      <x:c r="C4" s="17" t="str">
        <x:v>COMMUNITY</x:v>
      </x:c>
      <x:c r="D4" s="17" t="str">
        <x:v>IDENTITY_READY; POINT_OPEN</x:v>
      </x:c>
      <x:c r="E4" s="17" t="str">
        <x:v>No strict traceable centroid/boundary frozen.</x:v>
      </x:c>
      <x:c r="F4" s="17" t="str">
        <x:v>Seek official gazetteer/planning boundary.</x:v>
      </x:c>
      <x:c r="G4" s="17" t="str">
        <x:v>OPEN - retain evidence; do not fabricate geometry</x:v>
      </x:c>
    </x:row>
    <x:row r="5">
      <x:c r="A5" s="17" t="str">
        <x:v>S2021-004</x:v>
      </x:c>
      <x:c r="B5" s="17" t="str">
        <x:v>Lorong Aris Batu 8, Skudai</x:v>
      </x:c>
      <x:c r="C5" s="17" t="str">
        <x:v>ROAD/SUBAREA</x:v>
      </x:c>
      <x:c r="D5" s="17" t="str">
        <x:v>ROAD_SEGMENT_OPEN</x:v>
      </x:c>
      <x:c r="E5" s="17" t="str">
        <x:v>Project-area evidence exists but does not define the exact flooded segment.</x:v>
      </x:c>
      <x:c r="F5" s="17" t="str">
        <x:v>Manual road-segment reconstruction only if event-specific start/end evidence is found.</x:v>
      </x:c>
      <x:c r="G5" s="17" t="str">
        <x:v>OPEN - retain evidence; do not fabricate geometry</x:v>
      </x:c>
    </x:row>
    <x:row r="6">
      <x:c r="A6" s="17" t="str">
        <x:v>S2021-005</x:v>
      </x:c>
      <x:c r="B6" s="17" t="str">
        <x:v>Rumah Orang Tua Sam Poh</x:v>
      </x:c>
      <x:c r="C6" s="17" t="str">
        <x:v>FACILITY</x:v>
      </x:c>
      <x:c r="D6" s="17" t="str">
        <x:v>FACILITY_POINT_OPEN</x:v>
      </x:c>
      <x:c r="E6" s="17" t="str">
        <x:v>Facility is event-valid but exact facility coordinate was not frozen in this pass.</x:v>
      </x:c>
      <x:c r="F6" s="17" t="str">
        <x:v>Resolve exact facility address/building footprint.</x:v>
      </x:c>
      <x:c r="G6" s="17" t="str">
        <x:v>OPEN - retain evidence; do not fabricate geometry</x:v>
      </x:c>
    </x:row>
    <x:row r="7">
      <x:c r="A7" s="17" t="str">
        <x:v>S2021-006</x:v>
      </x:c>
      <x:c r="B7" s="17" t="str">
        <x:v>Kampung Pasir</x:v>
      </x:c>
      <x:c r="C7" s="17" t="str">
        <x:v>COMMUNITY</x:v>
      </x:c>
      <x:c r="D7" s="17" t="str">
        <x:v>POINT_READY; POLYGON_OPEN</x:v>
      </x:c>
      <x:c r="E7" s="17" t="str">
        <x:v>Existing fixed reference point reused; no exact community flood polygon substituted.</x:v>
      </x:c>
      <x:c r="F7" s="17" t="str">
        <x:v>Continue exact community-boundary search.</x:v>
      </x:c>
      <x:c r="G7" s="17" t="str">
        <x:v>OPEN - retain evidence; do not fabricate geometry</x:v>
      </x:c>
    </x:row>
    <x:row r="8">
      <x:c r="A8" s="17" t="str">
        <x:v>S2021-007</x:v>
      </x:c>
      <x:c r="B8" s="17" t="str">
        <x:v>Kampung Teluk Serdang Baru</x:v>
      </x:c>
      <x:c r="C8" s="17" t="str">
        <x:v>COMMUNITY</x:v>
      </x:c>
      <x:c r="D8" s="17" t="str">
        <x:v>IDENTITY_REVIEW; POINT_OPEN</x:v>
      </x:c>
      <x:c r="E8" s="17" t="str">
        <x:v>Teluk/Telok Serdang naming and locality linkage need confirmation.</x:v>
      </x:c>
      <x:c r="F8" s="17" t="str">
        <x:v>Resolve official locality identity before geocoding.</x:v>
      </x:c>
      <x:c r="G8" s="17" t="str">
        <x:v>OPEN - retain evidence; do not fabricate geometry</x:v>
      </x:c>
    </x:row>
    <x:row r="9">
      <x:c r="A9" s="17" t="str">
        <x:v>S2021-009</x:v>
      </x:c>
      <x:c r="B9" s="17" t="str">
        <x:v>Kampung Paya Kenangan</x:v>
      </x:c>
      <x:c r="C9" s="17" t="str">
        <x:v>COMMUNITY</x:v>
      </x:c>
      <x:c r="D9" s="17" t="str">
        <x:v>POINT_READY; POLYGON_OPEN</x:v>
      </x:c>
      <x:c r="E9" s="17" t="str">
        <x:v>Point is defensible; exact closed community boundary not frozen.</x:v>
      </x:c>
      <x:c r="F9" s="17" t="str">
        <x:v>Seek exact named boundary.</x:v>
      </x:c>
      <x:c r="G9" s="17" t="str">
        <x:v>OPEN - retain evidence; do not fabricate geometry</x:v>
      </x:c>
    </x:row>
    <x:row r="10">
      <x:c r="A10" s="17" t="str">
        <x:v>S2021-010</x:v>
      </x:c>
      <x:c r="B10" s="17" t="str">
        <x:v>Kampung Pasir Tebrau</x:v>
      </x:c>
      <x:c r="C10" s="17" t="str">
        <x:v>COMMUNITY</x:v>
      </x:c>
      <x:c r="D10" s="17" t="str">
        <x:v>POINT_READY; POLYGON_OPEN</x:v>
      </x:c>
      <x:c r="E10" s="17" t="str">
        <x:v>Point is defensible; exact closed community boundary not frozen.</x:v>
      </x:c>
      <x:c r="F10" s="17" t="str">
        <x:v>Seek exact named boundary.</x:v>
      </x:c>
      <x:c r="G10" s="17" t="str">
        <x:v>OPEN - retain evidence; do not fabricate geometry</x:v>
      </x:c>
    </x:row>
    <x:row r="11">
      <x:c r="A11" s="17" t="str">
        <x:v>S2021-012</x:v>
      </x:c>
      <x:c r="B11" s="17" t="str">
        <x:v>Simpang Mados</x:v>
      </x:c>
      <x:c r="C11" s="17" t="str">
        <x:v>LOCALITY</x:v>
      </x:c>
      <x:c r="D11" s="17" t="str">
        <x:v>POINT_OPEN</x:v>
      </x:c>
      <x:c r="E11" s="17" t="str">
        <x:v>Nearby Mados features do not uniquely define Simpang Mados.</x:v>
      </x:c>
      <x:c r="F11" s="17" t="str">
        <x:v>Do not force a school/estate coordinate; obtain official locality evidence.</x:v>
      </x:c>
      <x:c r="G11" s="17" t="str">
        <x:v>OPEN - retain evidence; do not fabricate geometry</x:v>
      </x:c>
    </x:row>
    <x:row r="12">
      <x:c r="A12" s="17" t="str">
        <x:v>S2021-013</x:v>
      </x:c>
      <x:c r="B12" s="17" t="str">
        <x:v>Batu 20 Sungai Tiram</x:v>
      </x:c>
      <x:c r="C12" s="17" t="str">
        <x:v>ROAD/LOCALITY</x:v>
      </x:c>
      <x:c r="D12" s="17" t="str">
        <x:v>ROAD_SEGMENT_OPEN</x:v>
      </x:c>
      <x:c r="E12" s="17" t="str">
        <x:v>Linear/road-chainage object; exact affected segment unresolved.</x:v>
      </x:c>
      <x:c r="F12" s="17" t="str">
        <x:v>Resolve road chainage or event-specific segment.</x:v>
      </x:c>
      <x:c r="G12" s="17" t="str">
        <x:v>OPEN - retain evidence; do not fabricate geometry</x:v>
      </x:c>
    </x:row>
    <x:row r="13">
      <x:c r="A13" s="17" t="str">
        <x:v>S2021-014</x:v>
      </x:c>
      <x:c r="B13" s="17" t="str">
        <x:v>Kampung Paya, Bukit Mutiara</x:v>
      </x:c>
      <x:c r="C13" s="17" t="str">
        <x:v>COMMUNITY</x:v>
      </x:c>
      <x:c r="D13" s="17" t="str">
        <x:v>POINT_OPEN</x:v>
      </x:c>
      <x:c r="E13" s="17" t="str">
        <x:v>Identity is event-valid but strict centroid/boundary not frozen.</x:v>
      </x:c>
      <x:c r="F13" s="17" t="str">
        <x:v>Seek official gazetteer/planning source.</x:v>
      </x:c>
      <x:c r="G13" s="17" t="str">
        <x:v>OPEN - retain evidence; do not fabricate geometry</x:v>
      </x:c>
    </x:row>
    <x:row r="14">
      <x:c r="A14" s="17" t="str">
        <x:v>S2021-015</x:v>
      </x:c>
      <x:c r="B14" s="17" t="str">
        <x:v>Kampung Sungai Rinting</x:v>
      </x:c>
      <x:c r="C14" s="17" t="str">
        <x:v>COMMUNITY</x:v>
      </x:c>
      <x:c r="D14" s="17" t="str">
        <x:v>POINT_READY; POLYGON_OPEN</x:v>
      </x:c>
      <x:c r="E14" s="17" t="str">
        <x:v>Exact community polygon not frozen.</x:v>
      </x:c>
      <x:c r="F14" s="17" t="str">
        <x:v>Seek named closed boundary.</x:v>
      </x:c>
      <x:c r="G14" s="17" t="str">
        <x:v>OPEN - retain evidence; do not fabricate geometry</x:v>
      </x:c>
    </x:row>
    <x:row r="15">
      <x:c r="A15" s="17" t="str">
        <x:v>S2021-017</x:v>
      </x:c>
      <x:c r="B15" s="17" t="str">
        <x:v>Taman Rinting</x:v>
      </x:c>
      <x:c r="C15" s="17" t="str">
        <x:v>RESIDENTIAL</x:v>
      </x:c>
      <x:c r="D15" s="17" t="str">
        <x:v>POINT_READY; POLYGON_OPEN</x:v>
      </x:c>
      <x:c r="E15" s="17" t="str">
        <x:v>Point is defensible; no exact closed event-area geometry frozen.</x:v>
      </x:c>
      <x:c r="F15" s="17" t="str">
        <x:v>Seek exact named boundary.</x:v>
      </x:c>
      <x:c r="G15" s="17" t="str">
        <x:v>OPEN - retain evidence; do not fabricate geometry</x:v>
      </x:c>
    </x:row>
    <x:row r="16">
      <x:c r="A16" s="17" t="str">
        <x:v>S2021-018</x:v>
      </x:c>
      <x:c r="B16" s="17" t="str">
        <x:v>Lebuhraya Pasir Gudang</x:v>
      </x:c>
      <x:c r="C16" s="17" t="str">
        <x:v>ROAD</x:v>
      </x:c>
      <x:c r="D16" s="17" t="str">
        <x:v>ROAD_SEGMENT_OPEN</x:v>
      </x:c>
      <x:c r="E16" s="17" t="str">
        <x:v>Source names the highway but not flooded start/end chainage.</x:v>
      </x:c>
      <x:c r="F16" s="17" t="str">
        <x:v>Keep linear object open; no whole-highway buffer.</x:v>
      </x:c>
      <x:c r="G16" s="17" t="str">
        <x:v>OPEN - retain evidence; do not fabricate geometry</x:v>
      </x:c>
    </x:row>
    <x:row r="17">
      <x:c r="A17" s="17" t="str">
        <x:v>S2021-019</x:v>
      </x:c>
      <x:c r="B17" s="17" t="str">
        <x:v>Kampung Bukit Pulai</x:v>
      </x:c>
      <x:c r="C17" s="17" t="str">
        <x:v>COMMUNITY</x:v>
      </x:c>
      <x:c r="D17" s="17" t="str">
        <x:v>POINT_OPEN</x:v>
      </x:c>
      <x:c r="E17" s="17" t="str">
        <x:v>Exact locality coordinate/boundary not frozen.</x:v>
      </x:c>
      <x:c r="F17" s="17" t="str">
        <x:v>Resolve official locality.</x:v>
      </x:c>
      <x:c r="G17" s="17" t="str">
        <x:v>OPEN - retain evidence; do not fabricate geometry</x:v>
      </x:c>
    </x:row>
    <x:row r="18">
      <x:c r="A18" s="17" t="str">
        <x:v>S2021-020</x:v>
      </x:c>
      <x:c r="B18" s="17" t="str">
        <x:v>Taman Pasir Putih</x:v>
      </x:c>
      <x:c r="C18" s="17" t="str">
        <x:v>RESIDENTIAL</x:v>
      </x:c>
      <x:c r="D18" s="17" t="str">
        <x:v>POINT_READY; POLYGON_OPEN</x:v>
      </x:c>
      <x:c r="E18" s="17" t="str">
        <x:v>Point is defensible; exact event-area boundary not frozen.</x:v>
      </x:c>
      <x:c r="F18" s="17" t="str">
        <x:v>Seek named closed residential boundary.</x:v>
      </x:c>
      <x:c r="G18" s="17" t="str">
        <x:v>OPEN - retain evidence; do not fabricate geometry</x:v>
      </x:c>
    </x:row>
    <x:row r="19">
      <x:c r="A19" s="17" t="str">
        <x:v>S2021-021</x:v>
      </x:c>
      <x:c r="B19" s="17" t="str">
        <x:v>Jalan Kampung Masjid, Masai</x:v>
      </x:c>
      <x:c r="C19" s="17" t="str">
        <x:v>ROAD</x:v>
      </x:c>
      <x:c r="D19" s="17" t="str">
        <x:v>ROAD_SEGMENT_OPEN</x:v>
      </x:c>
      <x:c r="E19" s="17" t="str">
        <x:v>Named road affected; start/end flooded segment absent.</x:v>
      </x:c>
      <x:c r="F19" s="17" t="str">
        <x:v>Keep exact road segment open.</x:v>
      </x:c>
      <x:c r="G19" s="17" t="str">
        <x:v>OPEN - retain evidence; do not fabricate geometry</x:v>
      </x:c>
    </x:row>
    <x:row r="20">
      <x:c r="A20" s="17" t="str">
        <x:v>S2021-022</x:v>
      </x:c>
      <x:c r="B20" s="17" t="str">
        <x:v>Kampung Melayu Majidee</x:v>
      </x:c>
      <x:c r="C20" s="17" t="str">
        <x:v>COMMUNITY</x:v>
      </x:c>
      <x:c r="D20" s="17" t="str">
        <x:v>POINT_READY; POLYGON_CANDIDATE_OPEN</x:v>
      </x:c>
      <x:c r="E20" s="17" t="str">
        <x:v>OSM relation candidate exists but full multipolygon not reconstructed here.</x:v>
      </x:c>
      <x:c r="F20" s="17" t="str">
        <x:v>Extract/validate full relation before closure.</x:v>
      </x:c>
      <x:c r="G20" s="17" t="str">
        <x:v>OPEN - retain evidence; do not fabricate geometry</x:v>
      </x:c>
    </x:row>
    <x:row r="21">
      <x:c r="A21" s="17" t="str">
        <x:v>S2021-024</x:v>
      </x:c>
      <x:c r="B21" s="17" t="str">
        <x:v>Taman Skudai Baru</x:v>
      </x:c>
      <x:c r="C21" s="17" t="str">
        <x:v>RESIDENTIAL</x:v>
      </x:c>
      <x:c r="D21" s="17" t="str">
        <x:v>IDENTITY_CONFLICT; POLYGON_OPEN</x:v>
      </x:c>
      <x:c r="E21" s="17" t="str">
        <x:v>Two same-name public map objects create identity ambiguity.</x:v>
      </x:c>
      <x:c r="F21" s="17" t="str">
        <x:v>Resolve against event/JBPM administrative context before selecting geometry.</x:v>
      </x:c>
      <x:c r="G21" s="17" t="str">
        <x:v>OPEN - retain evidence; do not fabricate geometry</x:v>
      </x:c>
    </x:row>
    <x:row r="22">
      <x:c r="A22" s="17" t="str">
        <x:v>S2021-025</x:v>
      </x:c>
      <x:c r="B22" s="17" t="str">
        <x:v>Taman Johor Jaya</x:v>
      </x:c>
      <x:c r="C22" s="17" t="str">
        <x:v>RESIDENTIAL</x:v>
      </x:c>
      <x:c r="D22" s="17" t="str">
        <x:v>POINT_READY; POLYGON_OPEN</x:v>
      </x:c>
      <x:c r="E22" s="17" t="str">
        <x:v>Sinar lists Taman Johor Jaya; separate source mentions Jalan Belumut/Taman Johor.</x:v>
      </x:c>
      <x:c r="F22" s="17" t="str">
        <x:v>Retain source conflict; do not auto-merge labels.</x:v>
      </x:c>
      <x:c r="G22" s="17" t="str">
        <x:v>OPEN - retain evidence; do not fabricate geometry</x:v>
      </x:c>
    </x:row>
    <x:row r="23">
      <x:c r="A23" s="17" t="str">
        <x:v>S2021-026</x:v>
      </x:c>
      <x:c r="B23" s="17" t="str">
        <x:v>Kampung Ibu</x:v>
      </x:c>
      <x:c r="C23" s="17" t="str">
        <x:v>COMMUNITY</x:v>
      </x:c>
      <x:c r="D23" s="17" t="str">
        <x:v>POINT_OPEN</x:v>
      </x:c>
      <x:c r="E23" s="17" t="str">
        <x:v>No defensible strict point frozen.</x:v>
      </x:c>
      <x:c r="F23" s="17" t="str">
        <x:v>Seek official locality/gazetteer evidence.</x:v>
      </x:c>
      <x:c r="G23" s="17" t="str">
        <x:v>OPEN - retain evidence; do not fabricate geometry</x:v>
      </x:c>
    </x:row>
    <x:row r="24">
      <x:c r="A24" s="17" t="str">
        <x:v>S2021-027</x:v>
      </x:c>
      <x:c r="B24" s="17" t="str">
        <x:v>Kolam Air</x:v>
      </x:c>
      <x:c r="C24" s="17" t="str">
        <x:v>AREA</x:v>
      </x:c>
      <x:c r="D24" s="17" t="str">
        <x:v>IDENTITY_AMBIGUOUS; POINT_OPEN</x:v>
      </x:c>
      <x:c r="E24" s="17" t="str">
        <x:v>Generic name could be confused with unrelated Kolam Air features.</x:v>
      </x:c>
      <x:c r="F24" s="17" t="str">
        <x:v>Resolve precise Johor Bahru locality before geocoding.</x:v>
      </x:c>
      <x:c r="G24" s="17" t="str">
        <x:v>OPEN - retain evidence; do not fabricate geometry</x:v>
      </x:c>
    </x:row>
    <x:row r="25">
      <x:c r="A25" s="17" t="str">
        <x:v>S2021-028</x:v>
      </x:c>
      <x:c r="B25" s="17" t="str">
        <x:v>Kempas Denai</x:v>
      </x:c>
      <x:c r="C25" s="17" t="str">
        <x:v>ROAD/AREA</x:v>
      </x:c>
      <x:c r="D25" s="17" t="str">
        <x:v>SOURCE_LABEL_CONFLICT; ROAD_SEGMENT_OPEN</x:v>
      </x:c>
      <x:c r="E25" s="17" t="str">
        <x:v>Generic 'Kempas Denai' vs exact 'Jalan Denai Utama' wording.</x:v>
      </x:c>
      <x:c r="F25" s="17" t="str">
        <x:v>Preserve both source labels; resolve flooded road segment separately.</x:v>
      </x:c>
      <x:c r="G25" s="17" t="str">
        <x:v>OPEN - retain evidence; do not fabricate geometry</x:v>
      </x:c>
    </x:row>
    <x:row r="26">
      <x:c r="A26" s="17" t="str">
        <x:v>S2021-029</x:v>
      </x:c>
      <x:c r="B26" s="17" t="str">
        <x:v>Kempas Permatang</x:v>
      </x:c>
      <x:c r="C26" s="17" t="str">
        <x:v>ROAD/AREA</x:v>
      </x:c>
      <x:c r="D26" s="17" t="str">
        <x:v>POINT_READY; ROAD_SEGMENT_OPEN</x:v>
      </x:c>
      <x:c r="E26" s="17" t="str">
        <x:v>Area point is usable, but event reporting also gives road-specific Jalan Permatang.</x:v>
      </x:c>
      <x:c r="F26" s="17" t="str">
        <x:v>Do not treat point/community extent as flooded road segment.</x:v>
      </x:c>
      <x:c r="G26" s="17" t="str">
        <x:v>OPEN - retain evidence; do not fabricate geometry</x:v>
      </x:c>
    </x:row>
    <x:row r="27">
      <x:c r="A27" s="17" t="str">
        <x:v>S2021-030</x:v>
      </x:c>
      <x:c r="B27" s="17" t="str">
        <x:v>Kampung Seri Jaya Baru</x:v>
      </x:c>
      <x:c r="C27" s="17" t="str">
        <x:v>COMMUNITY</x:v>
      </x:c>
      <x:c r="D27" s="17" t="str">
        <x:v>POINT_OPEN</x:v>
      </x:c>
      <x:c r="E27" s="17" t="str">
        <x:v>Identity is strong; exact centroid/community boundary not frozen.</x:v>
      </x:c>
      <x:c r="F27" s="17" t="str">
        <x:v>Resolve official point/boundary.</x:v>
      </x:c>
      <x:c r="G27" s="17" t="str">
        <x:v>OPEN - retain evidence; do not fabricate geometry</x:v>
      </x:c>
    </x:row>
    <x:row r="28">
      <x:c r="A28" s="17" t="str">
        <x:v>S2021-031</x:v>
      </x:c>
      <x:c r="B28" s="17" t="str">
        <x:v>Kampung Mohd Amin, Kolam Air</x:v>
      </x:c>
      <x:c r="C28" s="17" t="str">
        <x:v>COMMUNITY</x:v>
      </x:c>
      <x:c r="D28" s="17" t="str">
        <x:v>POINT_READY; POLYGON_OPEN</x:v>
      </x:c>
      <x:c r="E28" s="17" t="str">
        <x:v>30 Sep field record is explicit; exact closed community boundary not frozen.</x:v>
      </x:c>
      <x:c r="F28" s="17" t="str">
        <x:v>Reuse canonical Kampung Mohd Amin identity; retain Kolam Air event context.</x:v>
      </x:c>
      <x:c r="G28" s="17" t="str">
        <x:v>OPEN - retain evidence; do not fabricate geometry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6" hidden="0" customWidth="1"/>
    <x:col min="3" max="3" width="62" hidden="0" customWidth="1"/>
  </x:cols>
  <x:sheetData>
    <x:row r="1">
      <x:c r="A1" s="8" t="str">
        <x:v>Metric</x:v>
      </x:c>
      <x:c r="B1" s="8" t="str">
        <x:v>R012 frozen value</x:v>
      </x:c>
      <x:c r="C1" s="8" t="str">
        <x:v>2021 handling</x:v>
      </x:c>
    </x:row>
    <x:row r="2">
      <x:c r="A2" s="9" t="str">
        <x:v>2016 Event rows</x:v>
      </x:c>
      <x:c r="B2" s="9" t="n">
        <x:v>3</x:v>
      </x:c>
      <x:c r="C2" s="9" t="str">
        <x:v>unchanged</x:v>
      </x:c>
    </x:row>
    <x:row r="3">
      <x:c r="A3" s="9" t="str">
        <x:v>2017 Event rows</x:v>
      </x:c>
      <x:c r="B3" s="9" t="n">
        <x:v>35</x:v>
      </x:c>
      <x:c r="C3" s="9" t="str">
        <x:v>unchanged</x:v>
      </x:c>
    </x:row>
    <x:row r="4">
      <x:c r="A4" s="9" t="str">
        <x:v>2018 Event rows</x:v>
      </x:c>
      <x:c r="B4" s="9" t="n">
        <x:v>21</x:v>
      </x:c>
      <x:c r="C4" s="9" t="str">
        <x:v>unchanged</x:v>
      </x:c>
    </x:row>
    <x:row r="5">
      <x:c r="A5" s="9" t="str">
        <x:v>2019 Event rows</x:v>
      </x:c>
      <x:c r="B5" s="9" t="n">
        <x:v>24</x:v>
      </x:c>
      <x:c r="C5" s="9" t="str">
        <x:v>unchanged</x:v>
      </x:c>
    </x:row>
    <x:row r="6">
      <x:c r="A6" s="9" t="str">
        <x:v>2020 Event rows</x:v>
      </x:c>
      <x:c r="B6" s="9" t="n">
        <x:v>28</x:v>
      </x:c>
      <x:c r="C6" s="9" t="str">
        <x:v>unchanged</x:v>
      </x:c>
    </x:row>
    <x:row r="7">
      <x:c r="A7" s="9" t="str">
        <x:v>Cumulative Event rows through 2020</x:v>
      </x:c>
      <x:c r="B7" s="9" t="n">
        <x:v>111</x:v>
      </x:c>
      <x:c r="C7" s="9" t="str">
        <x:v>parent baseline</x:v>
      </x:c>
    </x:row>
    <x:row r="8">
      <x:c r="A8" s="9" t="str">
        <x:v>R012 Location_ID count</x:v>
      </x:c>
      <x:c r="B8" s="9" t="n">
        <x:v>77</x:v>
      </x:c>
      <x:c r="C8" s="9" t="str">
        <x:v>not renumbered or overwritten in this incremental file</x:v>
      </x:c>
    </x:row>
    <x:row r="9">
      <x:c r="A9" s="9" t="str">
        <x:v>R012 Polygon_ID count</x:v>
      </x:c>
      <x:c r="B9" s="9" t="n">
        <x:v>12</x:v>
      </x:c>
      <x:c r="C9" s="9" t="str">
        <x:v>carry forward</x:v>
      </x:c>
    </x:row>
    <x:row r="10">
      <x:c r="A10" s="9" t="str">
        <x:v>R012 Closed Polygon WKT</x:v>
      </x:c>
      <x:c r="B10" s="9" t="str">
        <x:v>12/12</x:v>
      </x:c>
      <x:c r="C10" s="9" t="str">
        <x:v>carry forward</x:v>
      </x:c>
    </x:row>
    <x:row r="11">
      <x:c r="A11" s="9" t="str">
        <x:v>R012 Event→Location missing refs</x:v>
      </x:c>
      <x:c r="B11" s="9" t="n">
        <x:v>0</x:v>
      </x:c>
      <x:c r="C11" s="9" t="str">
        <x:v>parent baseline</x:v>
      </x:c>
    </x:row>
    <x:row r="12">
      <x:c r="A12" s="9" t="str">
        <x:v>R012 formula errors</x:v>
      </x:c>
      <x:c r="B12" s="9" t="n">
        <x:v>0</x:v>
      </x:c>
      <x:c r="C12" s="9" t="str">
        <x:v>parent baseline</x:v>
      </x:c>
    </x:row>
    <x:row r="13">
      <x:c r="A13" s="9" t="str">
        <x:v>Reused in 2021</x:v>
      </x:c>
      <x:c r="B13" s="9" t="str">
        <x:v>PG2019-KG-SEPAKAT-BARU; PG2017-KG-KANGKAR-TEBRAU</x:v>
      </x:c>
      <x:c r="C13" s="9" t="str">
        <x:v>geometry remains frozen in R012 lineage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5" hidden="0" customWidth="1"/>
    <x:col min="3" max="3" width="14" hidden="0" customWidth="1"/>
    <x:col min="4" max="4" width="14" hidden="0" customWidth="1"/>
  </x:cols>
  <x:sheetData>
    <x:row r="1">
      <x:c r="A1" s="8" t="str">
        <x:v>Metric</x:v>
      </x:c>
      <x:c r="B1" s="8" t="str">
        <x:v>Formula / Value</x:v>
      </x:c>
      <x:c r="C1" s="8" t="str">
        <x:v>Expected</x:v>
      </x:c>
      <x:c r="D1" s="8" t="str">
        <x:v>Status</x:v>
      </x:c>
    </x:row>
    <x:row r="2">
      <x:c r="A2" s="9" t="str">
        <x:v>2021 event-location rows</x:v>
      </x:c>
      <x:c r="B2" s="9" t="n">
        <x:f>COUNTA('01_2021_Event_Master'!A2:A47)</x:f>
        <x:v>46</x:v>
      </x:c>
      <x:c r="C2" s="9" t="n">
        <x:v>46</x:v>
      </x:c>
      <x:c r="D2" s="9" t="str">
        <x:f>IF(B2=C2,"PASS","CHECK")</x:f>
        <x:v>PASS</x:v>
      </x:c>
    </x:row>
    <x:row r="3">
      <x:c r="A3" s="9" t="str">
        <x:v>2021 unique spatial objects</x:v>
      </x:c>
      <x:c r="B3" s="9" t="n">
        <x:v>31</x:v>
      </x:c>
      <x:c r="C3" s="9" t="n">
        <x:v>31</x:v>
      </x:c>
      <x:c r="D3" s="9" t="str">
        <x:f>IF(B3=C3,"PASS","CHECK")</x:f>
        <x:v>PASS</x:v>
      </x:c>
    </x:row>
    <x:row r="4">
      <x:c r="A4" s="9" t="str">
        <x:v>2021 episode groups</x:v>
      </x:c>
      <x:c r="B4" s="9" t="n">
        <x:v>8</x:v>
      </x:c>
      <x:c r="C4" s="9" t="n">
        <x:v>8</x:v>
      </x:c>
      <x:c r="D4" s="9" t="str">
        <x:f>IF(B4=C4,"PASS","CHECK")</x:f>
        <x:v>PASS</x:v>
      </x:c>
    </x:row>
    <x:row r="5">
      <x:c r="A5" s="9" t="str">
        <x:v>Strict Point-GIS-ready objects</x:v>
      </x:c>
      <x:c r="B5" s="9" t="n">
        <x:v>15</x:v>
      </x:c>
      <x:c r="C5" s="9" t="n">
        <x:v>15</x:v>
      </x:c>
      <x:c r="D5" s="9" t="str">
        <x:f>IF(B5=C5,"PASS","CHECK")</x:f>
        <x:v>PASS</x:v>
      </x:c>
    </x:row>
    <x:row r="6">
      <x:c r="A6" s="9" t="str">
        <x:v>Open spatial objects</x:v>
      </x:c>
      <x:c r="B6" s="9" t="n">
        <x:v>27</x:v>
      </x:c>
      <x:c r="C6" s="9" t="n">
        <x:v>27</x:v>
      </x:c>
      <x:c r="D6" s="9" t="str">
        <x:f>IF(B6=C6,"PASS","CHECK")</x:f>
        <x:v>PASS</x:v>
      </x:c>
    </x:row>
    <x:row r="7">
      <x:c r="A7" s="9" t="str">
        <x:v>Missing Spatial_Object_Key refs</x:v>
      </x:c>
      <x:c r="B7" s="9" t="n">
        <x:v>0</x:v>
      </x:c>
      <x:c r="C7" s="9" t="n">
        <x:v>0</x:v>
      </x:c>
      <x:c r="D7" s="9" t="str">
        <x:f>IF(B7=C7,"PASS","CHECK")</x:f>
        <x:v>PASS</x:v>
      </x:c>
    </x:row>
    <x:row r="8">
      <x:c r="A8" s="9" t="str">
        <x:v>Cumulative event rows through 2021</x:v>
      </x:c>
      <x:c r="B8" s="9" t="n">
        <x:v>157</x:v>
      </x:c>
      <x:c r="C8" s="9" t="n">
        <x:v>157</x:v>
      </x:c>
      <x:c r="D8" s="9" t="str">
        <x:f>IF(B8=C8,"PASS","CHECK")</x:f>
        <x:v>PASS</x:v>
      </x:c>
    </x:row>
  </x:sheetData>
  <x:pageMargins left="0.7" right="0.7" top="0.75" bottom="0.75" header="0.3" footer="0.3"/>
</x:worksheet>
</file>