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a6784cb694f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9680f5efae52426d"/>
    <x:sheet xmlns:r="http://schemas.openxmlformats.org/officeDocument/2006/relationships" name="01_Final_Location_Master" sheetId="2" r:id="R98df523bf4c841ad"/>
    <x:sheet xmlns:r="http://schemas.openxmlformats.org/officeDocument/2006/relationships" name="02_All_Event_Records" sheetId="3" r:id="Rd3b7ba1b13b84301"/>
    <x:sheet xmlns:r="http://schemas.openxmlformats.org/officeDocument/2006/relationships" name="03_Independent_Episodes" sheetId="4" r:id="R607c68e142e54fcf"/>
    <x:sheet xmlns:r="http://schemas.openxmlformats.org/officeDocument/2006/relationships" name="04_Normalization_Decisions" sheetId="5" r:id="Re5796c37924949d0"/>
    <x:sheet xmlns:r="http://schemas.openxmlformats.org/officeDocument/2006/relationships" name="05_Unresolved_Do_Not_Plot" sheetId="6" r:id="R5f3764bf44344212"/>
    <x:sheet xmlns:r="http://schemas.openxmlformats.org/officeDocument/2006/relationships" name="06_Fixed45_QA" sheetId="7" r:id="R43b9d7b16a984e8e"/>
    <x:sheet xmlns:r="http://schemas.openxmlformats.org/officeDocument/2006/relationships" name="07_Polygon_Registry" sheetId="8" r:id="R2071a9207ce446fd"/>
    <x:sheet xmlns:r="http://schemas.openxmlformats.org/officeDocument/2006/relationships" name="08_QA" sheetId="9" r:id="R356e5daebf90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00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2d3e69b374572" /><Relationship Type="http://schemas.openxmlformats.org/officeDocument/2006/relationships/theme" Target="/xl/theme/theme1.xml" Id="Rc96d638de287469b" /><Relationship Type="http://schemas.microsoft.com/office/2022/11/relationships/FeaturePropertyBag" Target="/xl/featurePropertyBag/featurePropertyBag.xml" Id="R2f66b926bc0b4ac7" /><Relationship Type="http://schemas.openxmlformats.org/officeDocument/2006/relationships/sharedStrings" Target="/xl/sharedStrings.xml" Id="Rb7c4e5ea705a4e15" /><Relationship Type="http://schemas.openxmlformats.org/officeDocument/2006/relationships/worksheet" Target="/xl/worksheets/sheet1.xml" Id="R9680f5efae52426d" /><Relationship Type="http://schemas.openxmlformats.org/officeDocument/2006/relationships/worksheet" Target="/xl/worksheets/sheet2.xml" Id="R98df523bf4c841ad" /><Relationship Type="http://schemas.openxmlformats.org/officeDocument/2006/relationships/worksheet" Target="/xl/worksheets/sheet3.xml" Id="Rd3b7ba1b13b84301" /><Relationship Type="http://schemas.openxmlformats.org/officeDocument/2006/relationships/worksheet" Target="/xl/worksheets/sheet4.xml" Id="R607c68e142e54fcf" /><Relationship Type="http://schemas.openxmlformats.org/officeDocument/2006/relationships/worksheet" Target="/xl/worksheets/sheet5.xml" Id="Re5796c37924949d0" /><Relationship Type="http://schemas.openxmlformats.org/officeDocument/2006/relationships/worksheet" Target="/xl/worksheets/sheet6.xml" Id="R5f3764bf44344212" /><Relationship Type="http://schemas.openxmlformats.org/officeDocument/2006/relationships/worksheet" Target="/xl/worksheets/sheet7.xml" Id="R43b9d7b16a984e8e" /><Relationship Type="http://schemas.openxmlformats.org/officeDocument/2006/relationships/worksheet" Target="/xl/worksheets/sheet8.xml" Id="R2071a9207ce446fd" /><Relationship Type="http://schemas.openxmlformats.org/officeDocument/2006/relationships/worksheet" Target="/xl/worksheets/sheet9.xml" Id="R356e5daebf9049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64" hidden="0" customWidth="1"/>
  </x:cols>
  <x:sheetData>
    <x:row r="1">
      <x:c r="A1" s="6" t="str">
        <x:v>Metric</x:v>
      </x:c>
      <x:c r="B1" s="6" t="str">
        <x:v>Value</x:v>
      </x:c>
      <x:c r="C1" s="6" t="str">
        <x:v>QA / Definition</x:v>
      </x:c>
    </x:row>
    <x:row r="2">
      <x:c r="A2" s="12" t="str">
        <x:v>Raw Event-location records</x:v>
      </x:c>
      <x:c r="B2" s="12" t="n">
        <x:v>346</x:v>
      </x:c>
      <x:c r="C2" s="12" t="str">
        <x:v>All source event-location rows retained</x:v>
      </x:c>
    </x:row>
    <x:row r="3">
      <x:c r="A3" s="12" t="str">
        <x:v>Unique Dedup_Group_ID</x:v>
      </x:c>
      <x:c r="B3" s="12" t="n">
        <x:v>78</x:v>
      </x:c>
      <x:c r="C3" s="12" t="str">
        <x:v>Independent flood episode groups in source baseline</x:v>
      </x:c>
    </x:row>
    <x:row r="4">
      <x:c r="A4" s="12" t="str">
        <x:v>Final normalized locations</x:v>
      </x:c>
      <x:c r="B4" s="12" t="n">
        <x:v>196</x:v>
      </x:c>
      <x:c r="C4" s="12" t="str">
        <x:v>After final cross-year alias normalization</x:v>
      </x:c>
    </x:row>
    <x:row r="5">
      <x:c r="A5" s="12" t="str">
        <x:v>Final locations with &gt;=1 event</x:v>
      </x:c>
      <x:c r="B5" s="12" t="n">
        <x:v>194</x:v>
      </x:c>
      <x:c r="C5" s="12" t="str">
        <x:v>Eligible for frequency classification</x:v>
      </x:c>
    </x:row>
    <x:row r="6">
      <x:c r="A6" s="12" t="str">
        <x:v>GIS plot-ready final locations</x:v>
      </x:c>
      <x:c r="B6" s="12" t="n">
        <x:v>142</x:v>
      </x:c>
      <x:c r="C6" s="12" t="str">
        <x:v>Has evidence-supported coordinate and &gt;=1 event</x:v>
      </x:c>
    </x:row>
    <x:row r="7">
      <x:c r="A7" s="12" t="str">
        <x:v>Unresolved / do not plot final locations</x:v>
      </x:c>
      <x:c r="B7" s="12" t="n">
        <x:v>52</x:v>
      </x:c>
      <x:c r="C7" s="12" t="str">
        <x:v>Events retained; excluded from map</x:v>
      </x:c>
    </x:row>
    <x:row r="8">
      <x:c r="A8" s="12" t="str">
        <x:v>Baseline-only fixed locations</x:v>
      </x:c>
      <x:c r="B8" s="12" t="n">
        <x:v>2</x:v>
      </x:c>
      <x:c r="C8" s="12" t="str">
        <x:v>Spatial evidence only; frequency=0</x:v>
      </x:c>
    </x:row>
    <x:row r="9">
      <x:c r="A9" s="12" t="str">
        <x:v>Independent location-episode pairs</x:v>
      </x:c>
      <x:c r="B9" s="12" t="n">
        <x:v>344</x:v>
      </x:c>
      <x:c r="C9" s="12" t="str">
        <x:v>COUNT DISTINCT Dedup_Group_ID per Final_Location_ID</x:v>
      </x:c>
    </x:row>
    <x:row r="10">
      <x:c r="A10" s="12" t="str">
        <x:v>1-3 final locations</x:v>
      </x:c>
      <x:c r="B10" s="12" t="n">
        <x:v>181</x:v>
      </x:c>
      <x:c r="C10" s="12" t="str">
        <x:v>Occasional</x:v>
      </x:c>
    </x:row>
    <x:row r="11">
      <x:c r="A11" s="12" t="str">
        <x:v>4-6 final locations</x:v>
      </x:c>
      <x:c r="B11" s="12" t="n">
        <x:v>7</x:v>
      </x:c>
      <x:c r="C11" s="12" t="str">
        <x:v>Recurrent</x:v>
      </x:c>
    </x:row>
    <x:row r="12">
      <x:c r="A12" s="12" t="str">
        <x:v>&gt;=7 final locations</x:v>
      </x:c>
      <x:c r="B12" s="12" t="n">
        <x:v>6</x:v>
      </x:c>
      <x:c r="C12" s="12" t="str">
        <x:v>High-frequency</x:v>
      </x:c>
    </x:row>
    <x:row r="13">
      <x:c r="A13" s="12" t="str">
        <x:v>Fixed45 represented</x:v>
      </x:c>
      <x:c r="B13" s="12" t="n">
        <x:v>45</x:v>
      </x:c>
      <x:c r="C13" s="12" t="str">
        <x:v>45/45 required</x:v>
      </x:c>
    </x:row>
    <x:row r="14">
      <x:c r="A14" s="12" t="str">
        <x:v>Validated polygons linked</x:v>
      </x:c>
      <x:c r="B14" s="12" t="n">
        <x:v>14</x:v>
      </x:c>
      <x:c r="C14" s="12" t="str">
        <x:v>14/14 geometry records retained</x:v>
      </x:c>
    </x:row>
    <x:row r="15">
      <x:c r="A15" s="12" t="str">
        <x:v>Observation period</x:v>
      </x:c>
      <x:c r="B15" s="12" t="str">
        <x:v>2016-2026</x:v>
      </x:c>
      <x:c r="C15" s="12" t="str">
        <x:v>2026 baseline cutoff: 2026-10-06</x:v>
      </x:c>
    </x:row>
    <x:row r="16">
      <x:c r="A16" s="12" t="str">
        <x:v>Frequency rule</x:v>
      </x:c>
      <x:c r="B16" s="12" t="str">
        <x:v>COUNT DISTINCT Dedup_Group_ID</x:v>
      </x:c>
      <x:c r="C16" s="12" t="str">
        <x:v>Same location within one episode counts once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28" hidden="0" customWidth="1"/>
    <x:col min="5" max="5" width="20" hidden="0" customWidth="1"/>
    <x:col min="6" max="6" width="10" hidden="0" customWidth="1"/>
    <x:col min="7" max="7" width="10" hidden="0" customWidth="1"/>
    <x:col min="8" max="8" width="13" hidden="0" customWidth="1"/>
    <x:col min="9" max="9" width="13" hidden="0" customWidth="1"/>
    <x:col min="10" max="10" width="18" hidden="0" customWidth="1"/>
    <x:col min="11" max="11" width="14" hidden="0" customWidth="1"/>
    <x:col min="12" max="12" width="16" hidden="0" customWidth="1"/>
    <x:col min="13" max="13" width="15" hidden="0" customWidth="1"/>
    <x:col min="14" max="14" width="15" hidden="0" customWidth="1"/>
    <x:col min="15" max="15" width="10" hidden="0" customWidth="1"/>
    <x:col min="16" max="16" width="14" hidden="0" customWidth="1"/>
    <x:col min="17" max="17" width="30" hidden="0" customWidth="1"/>
    <x:col min="18" max="18" width="18" hidden="0" customWidth="1"/>
    <x:col min="19" max="19" width="34" hidden="0" customWidth="1"/>
    <x:col min="20" max="20" width="42" hidden="0" customWidth="1"/>
    <x:col min="21" max="21" width="50" hidden="0" customWidth="1"/>
  </x:cols>
  <x:sheetData>
    <x:row r="1">
      <x:c r="A1" s="6" t="str">
        <x:v>Final_Location_ID</x:v>
      </x:c>
      <x:c r="B1" s="6" t="str">
        <x:v>Standardized_Location</x:v>
      </x:c>
      <x:c r="C1" s="6" t="str">
        <x:v>Object_Types</x:v>
      </x:c>
      <x:c r="D1" s="6" t="str">
        <x:v>Legacy_Master_IDs</x:v>
      </x:c>
      <x:c r="E1" s="6" t="str">
        <x:v>Years_Observed</x:v>
      </x:c>
      <x:c r="F1" s="6" t="str">
        <x:v>First_Year</x:v>
      </x:c>
      <x:c r="G1" s="6" t="str">
        <x:v>Last_Year</x:v>
      </x:c>
      <x:c r="H1" s="6" t="str">
        <x:v>First_Event_Date</x:v>
      </x:c>
      <x:c r="I1" s="6" t="str">
        <x:v>Last_Event_Date</x:v>
      </x:c>
      <x:c r="J1" s="6" t="str">
        <x:v>Independent_Event_Count</x:v>
      </x:c>
      <x:c r="K1" s="6" t="str">
        <x:v>Frequency_Band</x:v>
      </x:c>
      <x:c r="L1" s="6" t="str">
        <x:v>Frequency_Class</x:v>
      </x:c>
      <x:c r="M1" s="6" t="str">
        <x:v>Longitude_WGS84</x:v>
      </x:c>
      <x:c r="N1" s="6" t="str">
        <x:v>Latitude_WGS84</x:v>
      </x:c>
      <x:c r="O1" s="6" t="str">
        <x:v>GIS_Ready</x:v>
      </x:c>
      <x:c r="P1" s="6" t="str">
        <x:v>Plot_Status</x:v>
      </x:c>
      <x:c r="Q1" s="6" t="str">
        <x:v>Polygon_IDs</x:v>
      </x:c>
      <x:c r="R1" s="6" t="str">
        <x:v>Fixed45_IDs</x:v>
      </x:c>
      <x:c r="S1" s="6" t="str">
        <x:v>Source_Object_IDs</x:v>
      </x:c>
      <x:c r="T1" s="6" t="str">
        <x:v>Coordinate_Source</x:v>
      </x:c>
      <x:c r="U1" s="6" t="str">
        <x:v>Notes</x:v>
      </x:c>
    </x:row>
    <x:row r="2">
      <x:c r="A2" s="12" t="str">
        <x:v>FLOC-0001</x:v>
      </x:c>
      <x:c r="B2" s="12" t="str">
        <x:v>Bangunan Lily, Hospital Sultanah Aminah</x:v>
      </x:c>
      <x:c r="C2" s="12" t="str">
        <x:v>CRITICAL FACILITY</x:v>
      </x:c>
      <x:c r="D2" s="12" t="str">
        <x:v>JBLOC-0001</x:v>
      </x:c>
      <x:c r="E2" s="12" t="str">
        <x:v>2025</x:v>
      </x:c>
      <x:c r="F2" s="12" t="n">
        <x:v>2025</x:v>
      </x:c>
      <x:c r="G2" s="12" t="n">
        <x:v>2025</x:v>
      </x:c>
      <x:c r="H2" s="18" t="n">
        <x:v>45911</x:v>
      </x:c>
      <x:c r="I2" s="18" t="n">
        <x:v>45911</x:v>
      </x:c>
      <x:c r="J2" s="12" t="n">
        <x:f>COUNTIF('03_Independent_Episodes'!$A$2:$A$345,A2)</x:f>
        <x:v>1</x:v>
      </x:c>
      <x:c r="K2" s="12" t="str">
        <x:f>IF(J2=0,"0",IF(J2&lt;=3,"1-3",IF(J2&lt;=6,"4-6","&gt;=7")))</x:f>
        <x:v>1-3</x:v>
      </x:c>
      <x:c r="L2" s="12" t="str">
        <x:f>IF(J2=0,"Baseline-only",IF(J2&lt;=3,"Occasional",IF(J2&lt;=6,"Recurrent","High-frequency")))</x:f>
        <x:v>Occasional</x:v>
      </x:c>
      <x:c r="M2" s="19"/>
      <x:c r="N2" s="19"/>
      <x:c r="O2" s="12" t="str">
        <x:v>NO</x:v>
      </x:c>
      <x:c r="P2" s="12" t="str">
        <x:v>DO NOT PLOT</x:v>
      </x:c>
      <x:c r="Q2" s="12"/>
      <x:c r="R2" s="12"/>
      <x:c r="S2" s="12" t="str">
        <x:v>S2025-033</x:v>
      </x:c>
      <x:c r="T2" s="12"/>
      <x:c r="U2" s="12"/>
    </x:row>
    <x:row r="3">
      <x:c r="A3" s="12" t="str">
        <x:v>FLOC-0002</x:v>
      </x:c>
      <x:c r="B3" s="12" t="str">
        <x:v>Batu 10, Sungai Tiram context</x:v>
      </x:c>
      <x:c r="C3" s="12" t="str">
        <x:v>ROAD/LOCALITY</x:v>
      </x:c>
      <x:c r="D3" s="12" t="str">
        <x:v>JBLOC-0004</x:v>
      </x:c>
      <x:c r="E3" s="12" t="str">
        <x:v>2024</x:v>
      </x:c>
      <x:c r="F3" s="12" t="n">
        <x:v>2024</x:v>
      </x:c>
      <x:c r="G3" s="12" t="n">
        <x:v>2024</x:v>
      </x:c>
      <x:c r="H3" s="18" t="n">
        <x:v>45298</x:v>
      </x:c>
      <x:c r="I3" s="18" t="n">
        <x:v>45298</x:v>
      </x:c>
      <x:c r="J3" s="12" t="n">
        <x:f>COUNTIF('03_Independent_Episodes'!$A$2:$A$345,A3)</x:f>
        <x:v>1</x:v>
      </x:c>
      <x:c r="K3" s="12" t="str">
        <x:f>IF(J3=0,"0",IF(J3&lt;=3,"1-3",IF(J3&lt;=6,"4-6","&gt;=7")))</x:f>
        <x:v>1-3</x:v>
      </x:c>
      <x:c r="L3" s="12" t="str">
        <x:f>IF(J3=0,"Baseline-only",IF(J3&lt;=3,"Occasional",IF(J3&lt;=6,"Recurrent","High-frequency")))</x:f>
        <x:v>Occasional</x:v>
      </x:c>
      <x:c r="M3" s="19"/>
      <x:c r="N3" s="19"/>
      <x:c r="O3" s="12" t="str">
        <x:v>NO</x:v>
      </x:c>
      <x:c r="P3" s="12" t="str">
        <x:v>DO NOT PLOT</x:v>
      </x:c>
      <x:c r="Q3" s="12"/>
      <x:c r="R3" s="12"/>
      <x:c r="S3" s="12" t="str">
        <x:v>S2024-004</x:v>
      </x:c>
      <x:c r="T3" s="12"/>
      <x:c r="U3" s="12"/>
    </x:row>
    <x:row r="4">
      <x:c r="A4" s="12" t="str">
        <x:v>FLOC-0003</x:v>
      </x:c>
      <x:c r="B4" s="12" t="str">
        <x:v>Batu 20, Jalan Sungai Tiram</x:v>
      </x:c>
      <x:c r="C4" s="12" t="str">
        <x:v>COMMUNITY/AREA; ROAD/LOCALITY; Road</x:v>
      </x:c>
      <x:c r="D4" s="12" t="str">
        <x:v>JBLOC-0005</x:v>
      </x:c>
      <x:c r="E4" s="12" t="str">
        <x:v>2019;2021;2024</x:v>
      </x:c>
      <x:c r="F4" s="12" t="n">
        <x:v>2019</x:v>
      </x:c>
      <x:c r="G4" s="12" t="n">
        <x:v>2024</x:v>
      </x:c>
      <x:c r="H4" s="18" t="n">
        <x:v>43814</x:v>
      </x:c>
      <x:c r="I4" s="18" t="n">
        <x:v>45298</x:v>
      </x:c>
      <x:c r="J4" s="12" t="n">
        <x:f>COUNTIF('03_Independent_Episodes'!$A$2:$A$345,A4)</x:f>
        <x:v>3</x:v>
      </x:c>
      <x:c r="K4" s="12" t="str">
        <x:f>IF(J4=0,"0",IF(J4&lt;=3,"1-3",IF(J4&lt;=6,"4-6","&gt;=7")))</x:f>
        <x:v>1-3</x:v>
      </x:c>
      <x:c r="L4" s="12" t="str">
        <x:f>IF(J4=0,"Baseline-only",IF(J4&lt;=3,"Occasional",IF(J4&lt;=6,"Recurrent","High-frequency")))</x:f>
        <x:v>Occasional</x:v>
      </x:c>
      <x:c r="M4" s="19" t="n">
        <x:v>103.9119375</x:v>
      </x:c>
      <x:c r="N4" s="19" t="n">
        <x:v>1.5850625</x:v>
      </x:c>
      <x:c r="O4" s="12" t="str">
        <x:v>YES</x:v>
      </x:c>
      <x:c r="P4" s="12" t="str">
        <x:v>PLOT</x:v>
      </x:c>
      <x:c r="Q4" s="12"/>
      <x:c r="R4" s="12"/>
      <x:c r="S4" s="12" t="str">
        <x:v>LOC-CAND-JB-JALAN-BATU-20-2019; S2021-013; S2024-008</x:v>
      </x:c>
      <x:c r="T4" s="12" t="str">
        <x:v>RESOLVED_REPRESENTATIVE_ROAD_POINT</x:v>
      </x:c>
      <x:c r="U4" s="12"/>
    </x:row>
    <x:row r="5">
      <x:c r="A5" s="12" t="str">
        <x:v>FLOC-0004</x:v>
      </x:c>
      <x:c r="B5" s="12" t="str">
        <x:v>Century Garden / Taman Century</x:v>
      </x:c>
      <x:c r="C5" s="12" t="str">
        <x:v>AREA/RESIDENTIAL</x:v>
      </x:c>
      <x:c r="D5" s="12" t="str">
        <x:v>JBLOC-0006</x:v>
      </x:c>
      <x:c r="E5" s="12" t="str">
        <x:v>2026</x:v>
      </x:c>
      <x:c r="F5" s="12" t="n">
        <x:v>2026</x:v>
      </x:c>
      <x:c r="G5" s="12" t="n">
        <x:v>2026</x:v>
      </x:c>
      <x:c r="H5" s="18" t="n">
        <x:v>46295</x:v>
      </x:c>
      <x:c r="I5" s="18" t="n">
        <x:v>46295</x:v>
      </x:c>
      <x:c r="J5" s="12" t="n">
        <x:f>COUNTIF('03_Independent_Episodes'!$A$2:$A$345,A5)</x:f>
        <x:v>1</x:v>
      </x:c>
      <x:c r="K5" s="12" t="str">
        <x:f>IF(J5=0,"0",IF(J5&lt;=3,"1-3",IF(J5&lt;=6,"4-6","&gt;=7")))</x:f>
        <x:v>1-3</x:v>
      </x:c>
      <x:c r="L5" s="12" t="str">
        <x:f>IF(J5=0,"Baseline-only",IF(J5&lt;=3,"Occasional",IF(J5&lt;=6,"Recurrent","High-frequency")))</x:f>
        <x:v>Occasional</x:v>
      </x:c>
      <x:c r="M5" s="19" t="n">
        <x:v>103.76237</x:v>
      </x:c>
      <x:c r="N5" s="19" t="n">
        <x:v>1.4831</x:v>
      </x:c>
      <x:c r="O5" s="12" t="str">
        <x:v>YES</x:v>
      </x:c>
      <x:c r="P5" s="12" t="str">
        <x:v>PLOT</x:v>
      </x:c>
      <x:c r="Q5" s="12"/>
      <x:c r="R5" s="12"/>
      <x:c r="S5" s="12" t="str">
        <x:v>S2026-018</x:v>
      </x:c>
      <x:c r="T5" s="12" t="str">
        <x:v>PLOT</x:v>
      </x:c>
      <x:c r="U5" s="12"/>
    </x:row>
    <x:row r="6">
      <x:c r="A6" s="12" t="str">
        <x:v>FLOC-0005</x:v>
      </x:c>
      <x:c r="B6" s="12" t="str">
        <x:v>Danga Bay</x:v>
      </x:c>
      <x:c r="C6" s="12" t="str">
        <x:v>AREA/RESIDENTIAL</x:v>
      </x:c>
      <x:c r="D6" s="12" t="str">
        <x:v>JBLOC-0007</x:v>
      </x:c>
      <x:c r="E6" s="12" t="str">
        <x:v>2026</x:v>
      </x:c>
      <x:c r="F6" s="12" t="n">
        <x:v>2026</x:v>
      </x:c>
      <x:c r="G6" s="12" t="n">
        <x:v>2026</x:v>
      </x:c>
      <x:c r="H6" s="18" t="n">
        <x:v>46295</x:v>
      </x:c>
      <x:c r="I6" s="18" t="n">
        <x:v>46295</x:v>
      </x:c>
      <x:c r="J6" s="12" t="n">
        <x:f>COUNTIF('03_Independent_Episodes'!$A$2:$A$345,A6)</x:f>
        <x:v>1</x:v>
      </x:c>
      <x:c r="K6" s="12" t="str">
        <x:f>IF(J6=0,"0",IF(J6&lt;=3,"1-3",IF(J6&lt;=6,"4-6","&gt;=7")))</x:f>
        <x:v>1-3</x:v>
      </x:c>
      <x:c r="L6" s="12" t="str">
        <x:f>IF(J6=0,"Baseline-only",IF(J6&lt;=3,"Occasional",IF(J6&lt;=6,"Recurrent","High-frequency")))</x:f>
        <x:v>Occasional</x:v>
      </x:c>
      <x:c r="M6" s="19" t="n">
        <x:v>103.71846</x:v>
      </x:c>
      <x:c r="N6" s="19" t="n">
        <x:v>1.48118</x:v>
      </x:c>
      <x:c r="O6" s="12" t="str">
        <x:v>YES</x:v>
      </x:c>
      <x:c r="P6" s="12" t="str">
        <x:v>PLOT</x:v>
      </x:c>
      <x:c r="Q6" s="12"/>
      <x:c r="R6" s="12"/>
      <x:c r="S6" s="12" t="str">
        <x:v>S2026-019</x:v>
      </x:c>
      <x:c r="T6" s="12" t="str">
        <x:v>PLOT</x:v>
      </x:c>
      <x:c r="U6" s="12"/>
    </x:row>
    <x:row r="7">
      <x:c r="A7" s="12" t="str">
        <x:v>FLOC-0006</x:v>
      </x:c>
      <x:c r="B7" s="12" t="str">
        <x:v>Dataran Bandaraya Johor Bahru</x:v>
      </x:c>
      <x:c r="C7" s="12" t="str">
        <x:v>CIVIC AREA</x:v>
      </x:c>
      <x:c r="D7" s="12" t="str">
        <x:v>JBLOC-0008</x:v>
      </x:c>
      <x:c r="E7" s="12" t="str">
        <x:v>2023</x:v>
      </x:c>
      <x:c r="F7" s="12" t="n">
        <x:v>2023</x:v>
      </x:c>
      <x:c r="G7" s="12" t="n">
        <x:v>2023</x:v>
      </x:c>
      <x:c r="H7" s="18" t="n">
        <x:v>45266</x:v>
      </x:c>
      <x:c r="I7" s="18" t="n">
        <x:v>45266</x:v>
      </x:c>
      <x:c r="J7" s="12" t="n">
        <x:f>COUNTIF('03_Independent_Episodes'!$A$2:$A$345,A7)</x:f>
        <x:v>1</x:v>
      </x:c>
      <x:c r="K7" s="12" t="str">
        <x:f>IF(J7=0,"0",IF(J7&lt;=3,"1-3",IF(J7&lt;=6,"4-6","&gt;=7")))</x:f>
        <x:v>1-3</x:v>
      </x:c>
      <x:c r="L7" s="12" t="str">
        <x:f>IF(J7=0,"Baseline-only",IF(J7&lt;=3,"Occasional",IF(J7&lt;=6,"Recurrent","High-frequency")))</x:f>
        <x:v>Occasional</x:v>
      </x:c>
      <x:c r="M7" s="19" t="n">
        <x:v>103.74196336546</x:v>
      </x:c>
      <x:c r="N7" s="19" t="n">
        <x:v>1.4597388</x:v>
      </x:c>
      <x:c r="O7" s="12" t="str">
        <x:v>YES</x:v>
      </x:c>
      <x:c r="P7" s="12" t="str">
        <x:v>PLOT</x:v>
      </x:c>
      <x:c r="Q7" s="12"/>
      <x:c r="R7" s="12" t="str">
        <x:v>HF21</x:v>
      </x:c>
      <x:c r="S7" s="12" t="str">
        <x:v>S2023-020</x:v>
      </x:c>
      <x:c r="T7" s="12" t="str">
        <x:v>Fixed45 baseline</x:v>
      </x:c>
      <x:c r="U7" s="12"/>
    </x:row>
    <x:row r="8">
      <x:c r="A8" s="12" t="str">
        <x:v>FLOC-0007</x:v>
      </x:c>
      <x:c r="B8" s="12" t="str">
        <x:v>FELDA / Kampung Cahaya Baru</x:v>
      </x:c>
      <x:c r="C8" s="12" t="str">
        <x:v>COMMUNITY/AREA</x:v>
      </x:c>
      <x:c r="D8" s="12" t="str">
        <x:v>JBLOC-0009</x:v>
      </x:c>
      <x:c r="E8" s="12" t="str">
        <x:v>2023</x:v>
      </x:c>
      <x:c r="F8" s="12" t="n">
        <x:v>2023</x:v>
      </x:c>
      <x:c r="G8" s="12" t="n">
        <x:v>2023</x:v>
      </x:c>
      <x:c r="H8" s="18" t="n">
        <x:v>44986</x:v>
      </x:c>
      <x:c r="I8" s="18" t="n">
        <x:v>44986</x:v>
      </x:c>
      <x:c r="J8" s="12" t="n">
        <x:f>COUNTIF('03_Independent_Episodes'!$A$2:$A$345,A8)</x:f>
        <x:v>1</x:v>
      </x:c>
      <x:c r="K8" s="12" t="str">
        <x:f>IF(J8=0,"0",IF(J8&lt;=3,"1-3",IF(J8&lt;=6,"4-6","&gt;=7")))</x:f>
        <x:v>1-3</x:v>
      </x:c>
      <x:c r="L8" s="12" t="str">
        <x:f>IF(J8=0,"Baseline-only",IF(J8&lt;=3,"Occasional",IF(J8&lt;=6,"Recurrent","High-frequency")))</x:f>
        <x:v>Occasional</x:v>
      </x:c>
      <x:c r="M8" s="19" t="n">
        <x:v>103.9308</x:v>
      </x:c>
      <x:c r="N8" s="19" t="n">
        <x:v>1.52768</x:v>
      </x:c>
      <x:c r="O8" s="12" t="str">
        <x:v>YES</x:v>
      </x:c>
      <x:c r="P8" s="12" t="str">
        <x:v>PLOT</x:v>
      </x:c>
      <x:c r="Q8" s="12"/>
      <x:c r="R8" s="12"/>
      <x:c r="S8" s="12" t="str">
        <x:v>S2023-006</x:v>
      </x:c>
      <x:c r="T8" s="12" t="str">
        <x:v>PLOT</x:v>
      </x:c>
      <x:c r="U8" s="12"/>
    </x:row>
    <x:row r="9">
      <x:c r="A9" s="12" t="str">
        <x:v>FLOC-0008</x:v>
      </x:c>
      <x:c r="B9" s="12" t="str">
        <x:v>FT003 Jalan Johor Bahru–Kota Tinggi Sec 9.1–10.0</x:v>
      </x:c>
      <x:c r="C9" s="12" t="str">
        <x:v>ROAD/ROAD SEGMENT</x:v>
      </x:c>
      <x:c r="D9" s="12" t="str">
        <x:v>JBLOC-0010</x:v>
      </x:c>
      <x:c r="E9" s="12" t="str">
        <x:v>2025</x:v>
      </x:c>
      <x:c r="F9" s="12" t="n">
        <x:v>2025</x:v>
      </x:c>
      <x:c r="G9" s="12" t="n">
        <x:v>2025</x:v>
      </x:c>
      <x:c r="H9" s="18" t="n">
        <x:v>45736</x:v>
      </x:c>
      <x:c r="I9" s="18" t="n">
        <x:v>45736</x:v>
      </x:c>
      <x:c r="J9" s="12" t="n">
        <x:f>COUNTIF('03_Independent_Episodes'!$A$2:$A$345,A9)</x:f>
        <x:v>1</x:v>
      </x:c>
      <x:c r="K9" s="12" t="str">
        <x:f>IF(J9=0,"0",IF(J9&lt;=3,"1-3",IF(J9&lt;=6,"4-6","&gt;=7")))</x:f>
        <x:v>1-3</x:v>
      </x:c>
      <x:c r="L9" s="12" t="str">
        <x:f>IF(J9=0,"Baseline-only",IF(J9&lt;=3,"Occasional",IF(J9&lt;=6,"Recurrent","High-frequency")))</x:f>
        <x:v>Occasional</x:v>
      </x:c>
      <x:c r="M9" s="19"/>
      <x:c r="N9" s="19"/>
      <x:c r="O9" s="12" t="str">
        <x:v>NO</x:v>
      </x:c>
      <x:c r="P9" s="12" t="str">
        <x:v>DO NOT PLOT</x:v>
      </x:c>
      <x:c r="Q9" s="12"/>
      <x:c r="R9" s="12"/>
      <x:c r="S9" s="12" t="str">
        <x:v>S2025-025</x:v>
      </x:c>
      <x:c r="T9" s="12"/>
      <x:c r="U9" s="12"/>
    </x:row>
    <x:row r="10">
      <x:c r="A10" s="12" t="str">
        <x:v>FLOC-0009</x:v>
      </x:c>
      <x:c r="B10" s="12" t="str">
        <x:v>FT003 Johor Bahru–Endau Sec 21.0–21.8</x:v>
      </x:c>
      <x:c r="C10" s="12" t="str">
        <x:v>ROAD/ROAD SEGMENT</x:v>
      </x:c>
      <x:c r="D10" s="12" t="str">
        <x:v>JBLOC-0011</x:v>
      </x:c>
      <x:c r="E10" s="12" t="str">
        <x:v>2025</x:v>
      </x:c>
      <x:c r="F10" s="12" t="n">
        <x:v>2025</x:v>
      </x:c>
      <x:c r="G10" s="12" t="n">
        <x:v>2025</x:v>
      </x:c>
      <x:c r="H10" s="18" t="n">
        <x:v>45736</x:v>
      </x:c>
      <x:c r="I10" s="18" t="n">
        <x:v>45736</x:v>
      </x:c>
      <x:c r="J10" s="12" t="n">
        <x:f>COUNTIF('03_Independent_Episodes'!$A$2:$A$345,A10)</x:f>
        <x:v>1</x:v>
      </x:c>
      <x:c r="K10" s="12" t="str">
        <x:f>IF(J10=0,"0",IF(J10&lt;=3,"1-3",IF(J10&lt;=6,"4-6","&gt;=7")))</x:f>
        <x:v>1-3</x:v>
      </x:c>
      <x:c r="L10" s="12" t="str">
        <x:f>IF(J10=0,"Baseline-only",IF(J10&lt;=3,"Occasional",IF(J10&lt;=6,"Recurrent","High-frequency")))</x:f>
        <x:v>Occasional</x:v>
      </x:c>
      <x:c r="M10" s="19"/>
      <x:c r="N10" s="19"/>
      <x:c r="O10" s="12" t="str">
        <x:v>NO</x:v>
      </x:c>
      <x:c r="P10" s="12" t="str">
        <x:v>DO NOT PLOT</x:v>
      </x:c>
      <x:c r="Q10" s="12"/>
      <x:c r="R10" s="12"/>
      <x:c r="S10" s="12" t="str">
        <x:v>S2025-024</x:v>
      </x:c>
      <x:c r="T10" s="12"/>
      <x:c r="U10" s="12"/>
    </x:row>
    <x:row r="11">
      <x:c r="A11" s="12" t="str">
        <x:v>FLOC-0010</x:v>
      </x:c>
      <x:c r="B11" s="12" t="str">
        <x:v>FT01 Jalan Johor Bahru–Senai Sec 19.6–20.0</x:v>
      </x:c>
      <x:c r="C11" s="12" t="str">
        <x:v>ROAD/ROAD SEGMENT</x:v>
      </x:c>
      <x:c r="D11" s="12" t="str">
        <x:v>JBLOC-0012</x:v>
      </x:c>
      <x:c r="E11" s="12" t="str">
        <x:v>2025</x:v>
      </x:c>
      <x:c r="F11" s="12" t="n">
        <x:v>2025</x:v>
      </x:c>
      <x:c r="G11" s="12" t="n">
        <x:v>2025</x:v>
      </x:c>
      <x:c r="H11" s="18" t="n">
        <x:v>45736</x:v>
      </x:c>
      <x:c r="I11" s="18" t="n">
        <x:v>45736</x:v>
      </x:c>
      <x:c r="J11" s="12" t="n">
        <x:f>COUNTIF('03_Independent_Episodes'!$A$2:$A$345,A11)</x:f>
        <x:v>1</x:v>
      </x:c>
      <x:c r="K11" s="12" t="str">
        <x:f>IF(J11=0,"0",IF(J11&lt;=3,"1-3",IF(J11&lt;=6,"4-6","&gt;=7")))</x:f>
        <x:v>1-3</x:v>
      </x:c>
      <x:c r="L11" s="12" t="str">
        <x:f>IF(J11=0,"Baseline-only",IF(J11&lt;=3,"Occasional",IF(J11&lt;=6,"Recurrent","High-frequency")))</x:f>
        <x:v>Occasional</x:v>
      </x:c>
      <x:c r="M11" s="19"/>
      <x:c r="N11" s="19"/>
      <x:c r="O11" s="12" t="str">
        <x:v>NO</x:v>
      </x:c>
      <x:c r="P11" s="12" t="str">
        <x:v>DO NOT PLOT</x:v>
      </x:c>
      <x:c r="Q11" s="12"/>
      <x:c r="R11" s="12"/>
      <x:c r="S11" s="12" t="str">
        <x:v>S2025-026</x:v>
      </x:c>
      <x:c r="T11" s="12"/>
      <x:c r="U11" s="12"/>
    </x:row>
    <x:row r="12">
      <x:c r="A12" s="12" t="str">
        <x:v>FLOC-0011</x:v>
      </x:c>
      <x:c r="B12" s="12" t="str">
        <x:v>FT017 Lebuhraya Pasir Gudang Sec 10.20–10.70</x:v>
      </x:c>
      <x:c r="C12" s="12" t="str">
        <x:v>ROAD/ROAD SEGMENT</x:v>
      </x:c>
      <x:c r="D12" s="12" t="str">
        <x:v>JBLOC-0013</x:v>
      </x:c>
      <x:c r="E12" s="12" t="str">
        <x:v>2025</x:v>
      </x:c>
      <x:c r="F12" s="12" t="n">
        <x:v>2025</x:v>
      </x:c>
      <x:c r="G12" s="12" t="n">
        <x:v>2025</x:v>
      </x:c>
      <x:c r="H12" s="18" t="n">
        <x:v>45736</x:v>
      </x:c>
      <x:c r="I12" s="18" t="n">
        <x:v>45736</x:v>
      </x:c>
      <x:c r="J12" s="12" t="n">
        <x:f>COUNTIF('03_Independent_Episodes'!$A$2:$A$345,A12)</x:f>
        <x:v>1</x:v>
      </x:c>
      <x:c r="K12" s="12" t="str">
        <x:f>IF(J12=0,"0",IF(J12&lt;=3,"1-3",IF(J12&lt;=6,"4-6","&gt;=7")))</x:f>
        <x:v>1-3</x:v>
      </x:c>
      <x:c r="L12" s="12" t="str">
        <x:f>IF(J12=0,"Baseline-only",IF(J12&lt;=3,"Occasional",IF(J12&lt;=6,"Recurrent","High-frequency")))</x:f>
        <x:v>Occasional</x:v>
      </x:c>
      <x:c r="M12" s="19"/>
      <x:c r="N12" s="19"/>
      <x:c r="O12" s="12" t="str">
        <x:v>NO</x:v>
      </x:c>
      <x:c r="P12" s="12" t="str">
        <x:v>DO NOT PLOT</x:v>
      </x:c>
      <x:c r="Q12" s="12"/>
      <x:c r="R12" s="12"/>
      <x:c r="S12" s="12" t="str">
        <x:v>S2025-027</x:v>
      </x:c>
      <x:c r="T12" s="12"/>
      <x:c r="U12" s="12"/>
    </x:row>
    <x:row r="13">
      <x:c r="A13" s="12" t="str">
        <x:v>FLOC-0012</x:v>
      </x:c>
      <x:c r="B13" s="12" t="str">
        <x:v>FT017 Lebuhraya Pasir Gudang Sec 21.0–21.3</x:v>
      </x:c>
      <x:c r="C13" s="12" t="str">
        <x:v>ROAD/ROAD SEGMENT</x:v>
      </x:c>
      <x:c r="D13" s="12" t="str">
        <x:v>JBLOC-0014</x:v>
      </x:c>
      <x:c r="E13" s="12" t="str">
        <x:v>2025</x:v>
      </x:c>
      <x:c r="F13" s="12" t="n">
        <x:v>2025</x:v>
      </x:c>
      <x:c r="G13" s="12" t="n">
        <x:v>2025</x:v>
      </x:c>
      <x:c r="H13" s="18" t="n">
        <x:v>45736</x:v>
      </x:c>
      <x:c r="I13" s="18" t="n">
        <x:v>45736</x:v>
      </x:c>
      <x:c r="J13" s="12" t="n">
        <x:f>COUNTIF('03_Independent_Episodes'!$A$2:$A$345,A13)</x:f>
        <x:v>1</x:v>
      </x:c>
      <x:c r="K13" s="12" t="str">
        <x:f>IF(J13=0,"0",IF(J13&lt;=3,"1-3",IF(J13&lt;=6,"4-6","&gt;=7")))</x:f>
        <x:v>1-3</x:v>
      </x:c>
      <x:c r="L13" s="12" t="str">
        <x:f>IF(J13=0,"Baseline-only",IF(J13&lt;=3,"Occasional",IF(J13&lt;=6,"Recurrent","High-frequency")))</x:f>
        <x:v>Occasional</x:v>
      </x:c>
      <x:c r="M13" s="19"/>
      <x:c r="N13" s="19"/>
      <x:c r="O13" s="12" t="str">
        <x:v>NO</x:v>
      </x:c>
      <x:c r="P13" s="12" t="str">
        <x:v>DO NOT PLOT</x:v>
      </x:c>
      <x:c r="Q13" s="12"/>
      <x:c r="R13" s="12"/>
      <x:c r="S13" s="12" t="str">
        <x:v>S2025-028</x:v>
      </x:c>
      <x:c r="T13" s="12"/>
      <x:c r="U13" s="12"/>
    </x:row>
    <x:row r="14">
      <x:c r="A14" s="12" t="str">
        <x:v>FLOC-0013</x:v>
      </x:c>
      <x:c r="B14" s="12" t="str">
        <x:v>Holiday Villa Johor Bahru City Centre</x:v>
      </x:c>
      <x:c r="C14" s="12" t="str">
        <x:v>FACILITY/POI</x:v>
      </x:c>
      <x:c r="D14" s="12" t="str">
        <x:v>JBLOC-0015</x:v>
      </x:c>
      <x:c r="E14" s="12" t="str">
        <x:v>2026</x:v>
      </x:c>
      <x:c r="F14" s="12" t="n">
        <x:v>2026</x:v>
      </x:c>
      <x:c r="G14" s="12" t="n">
        <x:v>2026</x:v>
      </x:c>
      <x:c r="H14" s="18" t="n">
        <x:v>46295</x:v>
      </x:c>
      <x:c r="I14" s="18" t="n">
        <x:v>46295</x:v>
      </x:c>
      <x:c r="J14" s="12" t="n">
        <x:f>COUNTIF('03_Independent_Episodes'!$A$2:$A$345,A14)</x:f>
        <x:v>1</x:v>
      </x:c>
      <x:c r="K14" s="12" t="str">
        <x:f>IF(J14=0,"0",IF(J14&lt;=3,"1-3",IF(J14&lt;=6,"4-6","&gt;=7")))</x:f>
        <x:v>1-3</x:v>
      </x:c>
      <x:c r="L14" s="12" t="str">
        <x:f>IF(J14=0,"Baseline-only",IF(J14&lt;=3,"Occasional",IF(J14&lt;=6,"Recurrent","High-frequency")))</x:f>
        <x:v>Occasional</x:v>
      </x:c>
      <x:c r="M14" s="19" t="n">
        <x:v>103.76168</x:v>
      </x:c>
      <x:c r="N14" s="19" t="n">
        <x:v>1.48698</x:v>
      </x:c>
      <x:c r="O14" s="12" t="str">
        <x:v>YES</x:v>
      </x:c>
      <x:c r="P14" s="12" t="str">
        <x:v>PLOT</x:v>
      </x:c>
      <x:c r="Q14" s="12"/>
      <x:c r="R14" s="12"/>
      <x:c r="S14" s="12" t="str">
        <x:v>S2026-016</x:v>
      </x:c>
      <x:c r="T14" s="12" t="str">
        <x:v>PLOT</x:v>
      </x:c>
      <x:c r="U14" s="12"/>
    </x:row>
    <x:row r="15">
      <x:c r="A15" s="12" t="str">
        <x:v>FLOC-0014</x:v>
      </x:c>
      <x:c r="B15" s="12" t="str">
        <x:v>Hospital Sultanah Aminah</x:v>
      </x:c>
      <x:c r="C15" s="12" t="str">
        <x:v>CRITICAL_FACILITY; Hospital campus / access area</x:v>
      </x:c>
      <x:c r="D15" s="12" t="str">
        <x:v>JBLOC-0016</x:v>
      </x:c>
      <x:c r="E15" s="12" t="str">
        <x:v>2016;2022</x:v>
      </x:c>
      <x:c r="F15" s="12" t="n">
        <x:v>2016</x:v>
      </x:c>
      <x:c r="G15" s="12" t="n">
        <x:v>2022</x:v>
      </x:c>
      <x:c r="H15" s="18" t="n">
        <x:v>42668</x:v>
      </x:c>
      <x:c r="I15" s="18" t="n">
        <x:v>44775</x:v>
      </x:c>
      <x:c r="J15" s="12" t="n">
        <x:f>COUNTIF('03_Independent_Episodes'!$A$2:$A$345,A15)</x:f>
        <x:v>3</x:v>
      </x:c>
      <x:c r="K15" s="12" t="str">
        <x:f>IF(J15=0,"0",IF(J15&lt;=3,"1-3",IF(J15&lt;=6,"4-6","&gt;=7")))</x:f>
        <x:v>1-3</x:v>
      </x:c>
      <x:c r="L15" s="12" t="str">
        <x:f>IF(J15=0,"Baseline-only",IF(J15&lt;=3,"Occasional",IF(J15&lt;=6,"Recurrent","High-frequency")))</x:f>
        <x:v>Occasional</x:v>
      </x:c>
      <x:c r="M15" s="19" t="n">
        <x:v>103.7466457</x:v>
      </x:c>
      <x:c r="N15" s="19" t="n">
        <x:v>1.4575013</x:v>
      </x:c>
      <x:c r="O15" s="12" t="str">
        <x:v>YES</x:v>
      </x:c>
      <x:c r="P15" s="12" t="str">
        <x:v>PLOT</x:v>
      </x:c>
      <x:c r="Q15" s="12" t="str">
        <x:v>PG2016-HSA-CAMPUS</x:v>
      </x:c>
      <x:c r="R15" s="12" t="str">
        <x:v>HF22</x:v>
      </x:c>
      <x:c r="S15" s="12" t="str">
        <x:v>LOC-JB-HSA; S2022-011</x:v>
      </x:c>
      <x:c r="T15" s="12" t="str">
        <x:v>Fixed45 baseline</x:v>
      </x:c>
      <x:c r="U15" s="12"/>
    </x:row>
    <x:row r="16">
      <x:c r="A16" s="12" t="str">
        <x:v>FLOC-0015</x:v>
      </x:c>
      <x:c r="B16" s="12" t="str">
        <x:v>Hutan Bandar MBJB</x:v>
      </x:c>
      <x:c r="C16" s="12" t="str">
        <x:v>URBAN PARK/AREA</x:v>
      </x:c>
      <x:c r="D16" s="12" t="str">
        <x:v>JBLOC-0017</x:v>
      </x:c>
      <x:c r="E16" s="12" t="str">
        <x:v>2023</x:v>
      </x:c>
      <x:c r="F16" s="12" t="n">
        <x:v>2023</x:v>
      </x:c>
      <x:c r="G16" s="12" t="n">
        <x:v>2023</x:v>
      </x:c>
      <x:c r="H16" s="18" t="n">
        <x:v>45266</x:v>
      </x:c>
      <x:c r="I16" s="18" t="n">
        <x:v>45266</x:v>
      </x:c>
      <x:c r="J16" s="12" t="n">
        <x:f>COUNTIF('03_Independent_Episodes'!$A$2:$A$345,A16)</x:f>
        <x:v>1</x:v>
      </x:c>
      <x:c r="K16" s="12" t="str">
        <x:f>IF(J16=0,"0",IF(J16&lt;=3,"1-3",IF(J16&lt;=6,"4-6","&gt;=7")))</x:f>
        <x:v>1-3</x:v>
      </x:c>
      <x:c r="L16" s="12" t="str">
        <x:f>IF(J16=0,"Baseline-only",IF(J16&lt;=3,"Occasional",IF(J16&lt;=6,"Recurrent","High-frequency")))</x:f>
        <x:v>Occasional</x:v>
      </x:c>
      <x:c r="M16" s="19" t="n">
        <x:v>103.74271</x:v>
      </x:c>
      <x:c r="N16" s="19" t="n">
        <x:v>1.479856</x:v>
      </x:c>
      <x:c r="O16" s="12" t="str">
        <x:v>YES</x:v>
      </x:c>
      <x:c r="P16" s="12" t="str">
        <x:v>PLOT</x:v>
      </x:c>
      <x:c r="Q16" s="12"/>
      <x:c r="R16" s="12"/>
      <x:c r="S16" s="12" t="str">
        <x:v>S2023-038</x:v>
      </x:c>
      <x:c r="T16" s="12" t="str">
        <x:v>PLOT</x:v>
      </x:c>
      <x:c r="U16" s="12"/>
    </x:row>
    <x:row r="17">
      <x:c r="A17" s="12" t="str">
        <x:v>FLOC-0016</x:v>
      </x:c>
      <x:c r="B17" s="12" t="str">
        <x:v>J105 Jalan Maju Jaya–Seelong Sec 5.0–5.5</x:v>
      </x:c>
      <x:c r="C17" s="12" t="str">
        <x:v>ROAD/ROAD SEGMENT</x:v>
      </x:c>
      <x:c r="D17" s="12" t="str">
        <x:v>JBLOC-0018</x:v>
      </x:c>
      <x:c r="E17" s="12" t="str">
        <x:v>2025</x:v>
      </x:c>
      <x:c r="F17" s="12" t="n">
        <x:v>2025</x:v>
      </x:c>
      <x:c r="G17" s="12" t="n">
        <x:v>2025</x:v>
      </x:c>
      <x:c r="H17" s="18" t="n">
        <x:v>45736</x:v>
      </x:c>
      <x:c r="I17" s="18" t="n">
        <x:v>45736</x:v>
      </x:c>
      <x:c r="J17" s="12" t="n">
        <x:f>COUNTIF('03_Independent_Episodes'!$A$2:$A$345,A17)</x:f>
        <x:v>1</x:v>
      </x:c>
      <x:c r="K17" s="12" t="str">
        <x:f>IF(J17=0,"0",IF(J17&lt;=3,"1-3",IF(J17&lt;=6,"4-6","&gt;=7")))</x:f>
        <x:v>1-3</x:v>
      </x:c>
      <x:c r="L17" s="12" t="str">
        <x:f>IF(J17=0,"Baseline-only",IF(J17&lt;=3,"Occasional",IF(J17&lt;=6,"Recurrent","High-frequency")))</x:f>
        <x:v>Occasional</x:v>
      </x:c>
      <x:c r="M17" s="19"/>
      <x:c r="N17" s="19"/>
      <x:c r="O17" s="12" t="str">
        <x:v>NO</x:v>
      </x:c>
      <x:c r="P17" s="12" t="str">
        <x:v>DO NOT PLOT</x:v>
      </x:c>
      <x:c r="Q17" s="12"/>
      <x:c r="R17" s="12"/>
      <x:c r="S17" s="12" t="str">
        <x:v>S2025-029</x:v>
      </x:c>
      <x:c r="T17" s="12"/>
      <x:c r="U17" s="12"/>
    </x:row>
    <x:row r="18">
      <x:c r="A18" s="12" t="str">
        <x:v>FLOC-0017</x:v>
      </x:c>
      <x:c r="B18" s="12" t="str">
        <x:v>J105 Jalan Maju Jaya–Seelong Sec 7.0–7.5</x:v>
      </x:c>
      <x:c r="C18" s="12" t="str">
        <x:v>ROAD/ROAD SEGMENT</x:v>
      </x:c>
      <x:c r="D18" s="12" t="str">
        <x:v>JBLOC-0019</x:v>
      </x:c>
      <x:c r="E18" s="12" t="str">
        <x:v>2025</x:v>
      </x:c>
      <x:c r="F18" s="12" t="n">
        <x:v>2025</x:v>
      </x:c>
      <x:c r="G18" s="12" t="n">
        <x:v>2025</x:v>
      </x:c>
      <x:c r="H18" s="18" t="n">
        <x:v>45736</x:v>
      </x:c>
      <x:c r="I18" s="18" t="n">
        <x:v>45736</x:v>
      </x:c>
      <x:c r="J18" s="12" t="n">
        <x:f>COUNTIF('03_Independent_Episodes'!$A$2:$A$345,A18)</x:f>
        <x:v>1</x:v>
      </x:c>
      <x:c r="K18" s="12" t="str">
        <x:f>IF(J18=0,"0",IF(J18&lt;=3,"1-3",IF(J18&lt;=6,"4-6","&gt;=7")))</x:f>
        <x:v>1-3</x:v>
      </x:c>
      <x:c r="L18" s="12" t="str">
        <x:f>IF(J18=0,"Baseline-only",IF(J18&lt;=3,"Occasional",IF(J18&lt;=6,"Recurrent","High-frequency")))</x:f>
        <x:v>Occasional</x:v>
      </x:c>
      <x:c r="M18" s="19"/>
      <x:c r="N18" s="19"/>
      <x:c r="O18" s="12" t="str">
        <x:v>NO</x:v>
      </x:c>
      <x:c r="P18" s="12" t="str">
        <x:v>DO NOT PLOT</x:v>
      </x:c>
      <x:c r="Q18" s="12"/>
      <x:c r="R18" s="12"/>
      <x:c r="S18" s="12" t="str">
        <x:v>S2025-030</x:v>
      </x:c>
      <x:c r="T18" s="12"/>
      <x:c r="U18" s="12"/>
    </x:row>
    <x:row r="19">
      <x:c r="A19" s="12" t="str">
        <x:v>FLOC-0018</x:v>
      </x:c>
      <x:c r="B19" s="12" t="str">
        <x:v>J46 Jalan Ulu Pulai Sec 2.0–2.3</x:v>
      </x:c>
      <x:c r="C19" s="12" t="str">
        <x:v>ROAD/ROAD SEGMENT</x:v>
      </x:c>
      <x:c r="D19" s="12" t="str">
        <x:v>JBLOC-0020</x:v>
      </x:c>
      <x:c r="E19" s="12" t="str">
        <x:v>2025</x:v>
      </x:c>
      <x:c r="F19" s="12" t="n">
        <x:v>2025</x:v>
      </x:c>
      <x:c r="G19" s="12" t="n">
        <x:v>2025</x:v>
      </x:c>
      <x:c r="H19" s="18" t="n">
        <x:v>45737</x:v>
      </x:c>
      <x:c r="I19" s="18" t="n">
        <x:v>45737</x:v>
      </x:c>
      <x:c r="J19" s="12" t="n">
        <x:f>COUNTIF('03_Independent_Episodes'!$A$2:$A$345,A19)</x:f>
        <x:v>1</x:v>
      </x:c>
      <x:c r="K19" s="12" t="str">
        <x:f>IF(J19=0,"0",IF(J19&lt;=3,"1-3",IF(J19&lt;=6,"4-6","&gt;=7")))</x:f>
        <x:v>1-3</x:v>
      </x:c>
      <x:c r="L19" s="12" t="str">
        <x:f>IF(J19=0,"Baseline-only",IF(J19&lt;=3,"Occasional",IF(J19&lt;=6,"Recurrent","High-frequency")))</x:f>
        <x:v>Occasional</x:v>
      </x:c>
      <x:c r="M19" s="19"/>
      <x:c r="N19" s="19"/>
      <x:c r="O19" s="12" t="str">
        <x:v>NO</x:v>
      </x:c>
      <x:c r="P19" s="12" t="str">
        <x:v>DO NOT PLOT</x:v>
      </x:c>
      <x:c r="Q19" s="12"/>
      <x:c r="R19" s="12"/>
      <x:c r="S19" s="12" t="str">
        <x:v>S2025-031</x:v>
      </x:c>
      <x:c r="T19" s="12"/>
      <x:c r="U19" s="12"/>
    </x:row>
    <x:row r="20">
      <x:c r="A20" s="12" t="str">
        <x:v>FLOC-0019</x:v>
      </x:c>
      <x:c r="B20" s="12" t="str">
        <x:v>Jalan Ayer Molek</x:v>
      </x:c>
      <x:c r="C20" s="12" t="str">
        <x:v>ROAD; ROAD/ROAD CONTEXT</x:v>
      </x:c>
      <x:c r="D20" s="12" t="str">
        <x:v>JBLOC-0021</x:v>
      </x:c>
      <x:c r="E20" s="12" t="str">
        <x:v>2022;2023;2026</x:v>
      </x:c>
      <x:c r="F20" s="12" t="n">
        <x:v>2022</x:v>
      </x:c>
      <x:c r="G20" s="12" t="n">
        <x:v>2026</x:v>
      </x:c>
      <x:c r="H20" s="18" t="n">
        <x:v>44775</x:v>
      </x:c>
      <x:c r="I20" s="18" t="n">
        <x:v>46295</x:v>
      </x:c>
      <x:c r="J20" s="12" t="n">
        <x:f>COUNTIF('03_Independent_Episodes'!$A$2:$A$345,A20)</x:f>
        <x:v>3</x:v>
      </x:c>
      <x:c r="K20" s="12" t="str">
        <x:f>IF(J20=0,"0",IF(J20&lt;=3,"1-3",IF(J20&lt;=6,"4-6","&gt;=7")))</x:f>
        <x:v>1-3</x:v>
      </x:c>
      <x:c r="L20" s="12" t="str">
        <x:f>IF(J20=0,"Baseline-only",IF(J20&lt;=3,"Occasional",IF(J20&lt;=6,"Recurrent","High-frequency")))</x:f>
        <x:v>Occasional</x:v>
      </x:c>
      <x:c r="M20" s="19" t="n">
        <x:v>103.7587117</x:v>
      </x:c>
      <x:c r="N20" s="19" t="n">
        <x:v>1.4594963</x:v>
      </x:c>
      <x:c r="O20" s="12" t="str">
        <x:v>YES</x:v>
      </x:c>
      <x:c r="P20" s="12" t="str">
        <x:v>PLOT</x:v>
      </x:c>
      <x:c r="Q20" s="12"/>
      <x:c r="R20" s="12" t="str">
        <x:v>HF01</x:v>
      </x:c>
      <x:c r="S20" s="12" t="str">
        <x:v>S2022-006; S2023-022; S2026-002</x:v>
      </x:c>
      <x:c r="T20" s="12" t="str">
        <x:v>Fixed45 baseline</x:v>
      </x:c>
      <x:c r="U20" s="12"/>
    </x:row>
    <x:row r="21">
      <x:c r="A21" s="12" t="str">
        <x:v>FLOC-0020</x:v>
      </x:c>
      <x:c r="B21" s="12" t="str">
        <x:v>Jalan Bilal Mahmood</x:v>
      </x:c>
      <x:c r="C21" s="12" t="str">
        <x:v>ROAD</x:v>
      </x:c>
      <x:c r="D21" s="12" t="str">
        <x:v>JBLOC-0022</x:v>
      </x:c>
      <x:c r="E21" s="12" t="str">
        <x:v>2023</x:v>
      </x:c>
      <x:c r="F21" s="12" t="n">
        <x:v>2023</x:v>
      </x:c>
      <x:c r="G21" s="12" t="n">
        <x:v>2023</x:v>
      </x:c>
      <x:c r="H21" s="18" t="n">
        <x:v>45266</x:v>
      </x:c>
      <x:c r="I21" s="18" t="n">
        <x:v>45266</x:v>
      </x:c>
      <x:c r="J21" s="12" t="n">
        <x:f>COUNTIF('03_Independent_Episodes'!$A$2:$A$345,A21)</x:f>
        <x:v>1</x:v>
      </x:c>
      <x:c r="K21" s="12" t="str">
        <x:f>IF(J21=0,"0",IF(J21&lt;=3,"1-3",IF(J21&lt;=6,"4-6","&gt;=7")))</x:f>
        <x:v>1-3</x:v>
      </x:c>
      <x:c r="L21" s="12" t="str">
        <x:f>IF(J21=0,"Baseline-only",IF(J21&lt;=3,"Occasional",IF(J21&lt;=6,"Recurrent","High-frequency")))</x:f>
        <x:v>Occasional</x:v>
      </x:c>
      <x:c r="M21" s="19" t="n">
        <x:v>103.7460468</x:v>
      </x:c>
      <x:c r="N21" s="19" t="n">
        <x:v>1.46528000000001</x:v>
      </x:c>
      <x:c r="O21" s="12" t="str">
        <x:v>YES</x:v>
      </x:c>
      <x:c r="P21" s="12" t="str">
        <x:v>PLOT</x:v>
      </x:c>
      <x:c r="Q21" s="12"/>
      <x:c r="R21" s="12" t="str">
        <x:v>HF23</x:v>
      </x:c>
      <x:c r="S21" s="12" t="str">
        <x:v>S2023-023</x:v>
      </x:c>
      <x:c r="T21" s="12" t="str">
        <x:v>Fixed45 baseline</x:v>
      </x:c>
      <x:c r="U21" s="12"/>
    </x:row>
    <x:row r="22">
      <x:c r="A22" s="12" t="str">
        <x:v>FLOC-0021</x:v>
      </x:c>
      <x:c r="B22" s="12" t="str">
        <x:v>Jalan Bukit Dagang</x:v>
      </x:c>
      <x:c r="C22" s="12" t="str">
        <x:v>Road</x:v>
      </x:c>
      <x:c r="D22" s="12" t="str">
        <x:v>JBLOC-0023</x:v>
      </x:c>
      <x:c r="E22" s="12" t="str">
        <x:v>2019</x:v>
      </x:c>
      <x:c r="F22" s="12" t="n">
        <x:v>2019</x:v>
      </x:c>
      <x:c r="G22" s="12" t="n">
        <x:v>2019</x:v>
      </x:c>
      <x:c r="H22" s="18" t="n">
        <x:v>43814</x:v>
      </x:c>
      <x:c r="I22" s="18" t="n">
        <x:v>43814</x:v>
      </x:c>
      <x:c r="J22" s="12" t="n">
        <x:f>COUNTIF('03_Independent_Episodes'!$A$2:$A$345,A22)</x:f>
        <x:v>1</x:v>
      </x:c>
      <x:c r="K22" s="12" t="str">
        <x:f>IF(J22=0,"0",IF(J22&lt;=3,"1-3",IF(J22&lt;=6,"4-6","&gt;=7")))</x:f>
        <x:v>1-3</x:v>
      </x:c>
      <x:c r="L22" s="12" t="str">
        <x:f>IF(J22=0,"Baseline-only",IF(J22&lt;=3,"Occasional",IF(J22&lt;=6,"Recurrent","High-frequency")))</x:f>
        <x:v>Occasional</x:v>
      </x:c>
      <x:c r="M22" s="19" t="n">
        <x:v>103.924811</x:v>
      </x:c>
      <x:c r="N22" s="19" t="n">
        <x:v>1.59376731</x:v>
      </x:c>
      <x:c r="O22" s="12" t="str">
        <x:v>NO</x:v>
      </x:c>
      <x:c r="P22" s="12" t="str">
        <x:v>DO NOT PLOT</x:v>
      </x:c>
      <x:c r="Q22" s="12"/>
      <x:c r="R22" s="12"/>
      <x:c r="S22" s="12" t="str">
        <x:v>LOC-JB-JLN-BUKIT-DAGANG</x:v>
      </x:c>
      <x:c r="T22" s="12" t="str">
        <x:v>2019 spatial baseline</x:v>
      </x:c>
      <x:c r="U22" s="12"/>
    </x:row>
    <x:row r="23">
      <x:c r="A23" s="12" t="str">
        <x:v>FLOC-0022</x:v>
      </x:c>
      <x:c r="B23" s="12" t="str">
        <x:v>Jalan Datin Halimah / Taman Merdeka vicinity</x:v>
      </x:c>
      <x:c r="C23" s="12" t="str">
        <x:v>ROAD</x:v>
      </x:c>
      <x:c r="D23" s="12" t="str">
        <x:v>JBLOC-0024</x:v>
      </x:c>
      <x:c r="E23" s="12" t="str">
        <x:v>2023</x:v>
      </x:c>
      <x:c r="F23" s="12" t="n">
        <x:v>2023</x:v>
      </x:c>
      <x:c r="G23" s="12" t="n">
        <x:v>2023</x:v>
      </x:c>
      <x:c r="H23" s="18" t="n">
        <x:v>45274</x:v>
      </x:c>
      <x:c r="I23" s="18" t="n">
        <x:v>45274</x:v>
      </x:c>
      <x:c r="J23" s="12" t="n">
        <x:f>COUNTIF('03_Independent_Episodes'!$A$2:$A$345,A23)</x:f>
        <x:v>1</x:v>
      </x:c>
      <x:c r="K23" s="12" t="str">
        <x:f>IF(J23=0,"0",IF(J23&lt;=3,"1-3",IF(J23&lt;=6,"4-6","&gt;=7")))</x:f>
        <x:v>1-3</x:v>
      </x:c>
      <x:c r="L23" s="12" t="str">
        <x:f>IF(J23=0,"Baseline-only",IF(J23&lt;=3,"Occasional",IF(J23&lt;=6,"Recurrent","High-frequency")))</x:f>
        <x:v>Occasional</x:v>
      </x:c>
      <x:c r="M23" s="19" t="n">
        <x:v>103.7359187</x:v>
      </x:c>
      <x:c r="N23" s="19" t="n">
        <x:v>1.4794199</x:v>
      </x:c>
      <x:c r="O23" s="12" t="str">
        <x:v>YES</x:v>
      </x:c>
      <x:c r="P23" s="12" t="str">
        <x:v>PLOT</x:v>
      </x:c>
      <x:c r="Q23" s="12"/>
      <x:c r="R23" s="12"/>
      <x:c r="S23" s="12" t="str">
        <x:v>S2023-053</x:v>
      </x:c>
      <x:c r="T23" s="12" t="str">
        <x:v>PLOT</x:v>
      </x:c>
      <x:c r="U23" s="12"/>
    </x:row>
    <x:row r="24">
      <x:c r="A24" s="12" t="str">
        <x:v>FLOC-0023</x:v>
      </x:c>
      <x:c r="B24" s="12" t="str">
        <x:v>Jalan Dato Sulaiman</x:v>
      </x:c>
      <x:c r="C24" s="12" t="str">
        <x:v>ROAD; Road</x:v>
      </x:c>
      <x:c r="D24" s="12" t="str">
        <x:v>JBLOC-0025</x:v>
      </x:c>
      <x:c r="E24" s="12" t="str">
        <x:v>2018;2023</x:v>
      </x:c>
      <x:c r="F24" s="12" t="n">
        <x:v>2018</x:v>
      </x:c>
      <x:c r="G24" s="12" t="n">
        <x:v>2023</x:v>
      </x:c>
      <x:c r="H24" s="18" t="n">
        <x:v>43383</x:v>
      </x:c>
      <x:c r="I24" s="18" t="n">
        <x:v>45274</x:v>
      </x:c>
      <x:c r="J24" s="12" t="n">
        <x:f>COUNTIF('03_Independent_Episodes'!$A$2:$A$345,A24)</x:f>
        <x:v>3</x:v>
      </x:c>
      <x:c r="K24" s="12" t="str">
        <x:f>IF(J24=0,"0",IF(J24&lt;=3,"1-3",IF(J24&lt;=6,"4-6","&gt;=7")))</x:f>
        <x:v>1-3</x:v>
      </x:c>
      <x:c r="L24" s="12" t="str">
        <x:f>IF(J24=0,"Baseline-only",IF(J24&lt;=3,"Occasional",IF(J24&lt;=6,"Recurrent","High-frequency")))</x:f>
        <x:v>Occasional</x:v>
      </x:c>
      <x:c r="M24" s="19" t="n">
        <x:v>103.7570514</x:v>
      </x:c>
      <x:c r="N24" s="19" t="n">
        <x:v>1.48073119999999</x:v>
      </x:c>
      <x:c r="O24" s="12" t="str">
        <x:v>YES</x:v>
      </x:c>
      <x:c r="P24" s="12" t="str">
        <x:v>PLOT</x:v>
      </x:c>
      <x:c r="Q24" s="12"/>
      <x:c r="R24" s="12" t="str">
        <x:v>HF24; HF25</x:v>
      </x:c>
      <x:c r="S24" s="12" t="str">
        <x:v>LOC-JB-JLN-DATO-SULAIMAN; S2023-024</x:v>
      </x:c>
      <x:c r="T24" s="12" t="str">
        <x:v>Fixed45 baseline</x:v>
      </x:c>
      <x:c r="U24" s="12"/>
    </x:row>
    <x:row r="25">
      <x:c r="A25" s="12" t="str">
        <x:v>FLOC-0024</x:v>
      </x:c>
      <x:c r="B25" s="12" t="str">
        <x:v>Jalan Denai Utama, Kempas</x:v>
      </x:c>
      <x:c r="C25" s="12" t="str">
        <x:v>Road</x:v>
      </x:c>
      <x:c r="D25" s="12" t="str">
        <x:v>JBLOC-0026</x:v>
      </x:c>
      <x:c r="E25" s="12" t="str">
        <x:v>2018</x:v>
      </x:c>
      <x:c r="F25" s="12" t="n">
        <x:v>2018</x:v>
      </x:c>
      <x:c r="G25" s="12" t="n">
        <x:v>2018</x:v>
      </x:c>
      <x:c r="H25" s="18" t="n">
        <x:v>43209</x:v>
      </x:c>
      <x:c r="I25" s="18" t="n">
        <x:v>43210</x:v>
      </x:c>
      <x:c r="J25" s="12" t="n">
        <x:f>COUNTIF('03_Independent_Episodes'!$A$2:$A$345,A25)</x:f>
        <x:v>2</x:v>
      </x:c>
      <x:c r="K25" s="12" t="str">
        <x:f>IF(J25=0,"0",IF(J25&lt;=3,"1-3",IF(J25&lt;=6,"4-6","&gt;=7")))</x:f>
        <x:v>1-3</x:v>
      </x:c>
      <x:c r="L25" s="12" t="str">
        <x:f>IF(J25=0,"Baseline-only",IF(J25&lt;=3,"Occasional",IF(J25&lt;=6,"Recurrent","High-frequency")))</x:f>
        <x:v>Occasional</x:v>
      </x:c>
      <x:c r="M25" s="19" t="n">
        <x:v>103.71851</x:v>
      </x:c>
      <x:c r="N25" s="19" t="n">
        <x:v>1.514607</x:v>
      </x:c>
      <x:c r="O25" s="12" t="str">
        <x:v>YES</x:v>
      </x:c>
      <x:c r="P25" s="12" t="str">
        <x:v>PLOT</x:v>
      </x:c>
      <x:c r="Q25" s="12"/>
      <x:c r="R25" s="12"/>
      <x:c r="S25" s="12" t="str">
        <x:v>LOC-JB-JLN-DENAI-UTAMA-KEMPAS</x:v>
      </x:c>
      <x:c r="T25" s="12" t="str">
        <x:v>SRC_GEO_2018_DENAI_UTAMA</x:v>
      </x:c>
      <x:c r="U25" s="12"/>
    </x:row>
    <x:row r="26">
      <x:c r="A26" s="12" t="str">
        <x:v>FLOC-0025</x:v>
      </x:c>
      <x:c r="B26" s="12" t="str">
        <x:v>Jalan Gelang Patah–Lima Kedai</x:v>
      </x:c>
      <x:c r="C26" s="12" t="str">
        <x:v>Road-area event reference</x:v>
      </x:c>
      <x:c r="D26" s="12" t="str">
        <x:v>JBLOC-0027</x:v>
      </x:c>
      <x:c r="E26" s="12" t="str">
        <x:v>2020</x:v>
      </x:c>
      <x:c r="F26" s="12" t="n">
        <x:v>2020</x:v>
      </x:c>
      <x:c r="G26" s="12" t="n">
        <x:v>2020</x:v>
      </x:c>
      <x:c r="H26" s="18" t="n">
        <x:v>44002</x:v>
      </x:c>
      <x:c r="I26" s="18" t="n">
        <x:v>44002</x:v>
      </x:c>
      <x:c r="J26" s="12" t="n">
        <x:f>COUNTIF('03_Independent_Episodes'!$A$2:$A$345,A26)</x:f>
        <x:v>1</x:v>
      </x:c>
      <x:c r="K26" s="12" t="str">
        <x:f>IF(J26=0,"0",IF(J26&lt;=3,"1-3",IF(J26&lt;=6,"4-6","&gt;=7")))</x:f>
        <x:v>1-3</x:v>
      </x:c>
      <x:c r="L26" s="12" t="str">
        <x:f>IF(J26=0,"Baseline-only",IF(J26&lt;=3,"Occasional",IF(J26&lt;=6,"Recurrent","High-frequency")))</x:f>
        <x:v>Occasional</x:v>
      </x:c>
      <x:c r="M26" s="19" t="n">
        <x:v>103.6189</x:v>
      </x:c>
      <x:c r="N26" s="19" t="n">
        <x:v>1.5011</x:v>
      </x:c>
      <x:c r="O26" s="12" t="str">
        <x:v>NO</x:v>
      </x:c>
      <x:c r="P26" s="12" t="str">
        <x:v>DO NOT PLOT</x:v>
      </x:c>
      <x:c r="Q26" s="12"/>
      <x:c r="R26" s="12"/>
      <x:c r="S26" s="12" t="str">
        <x:v>LOC-JB-JLN-GELANG-PATAH-LIMA-KEDAI</x:v>
      </x:c>
      <x:c r="T26" s="12" t="str">
        <x:v>SRC_R2020_JPS_2020_TABLE</x:v>
      </x:c>
      <x:c r="U26" s="12"/>
    </x:row>
    <x:row r="27">
      <x:c r="A27" s="12" t="str">
        <x:v>FLOC-0026</x:v>
      </x:c>
      <x:c r="B27" s="12" t="str">
        <x:v>Jalan Harmonium 24/1 area</x:v>
      </x:c>
      <x:c r="C27" s="12" t="str">
        <x:v>ROAD</x:v>
      </x:c>
      <x:c r="D27" s="12" t="str">
        <x:v>JBLOC-0028</x:v>
      </x:c>
      <x:c r="E27" s="12" t="str">
        <x:v>2023</x:v>
      </x:c>
      <x:c r="F27" s="12" t="n">
        <x:v>2023</x:v>
      </x:c>
      <x:c r="G27" s="12" t="n">
        <x:v>2023</x:v>
      </x:c>
      <x:c r="H27" s="18" t="n">
        <x:v>45274</x:v>
      </x:c>
      <x:c r="I27" s="18" t="n">
        <x:v>45274</x:v>
      </x:c>
      <x:c r="J27" s="12" t="n">
        <x:f>COUNTIF('03_Independent_Episodes'!$A$2:$A$345,A27)</x:f>
        <x:v>1</x:v>
      </x:c>
      <x:c r="K27" s="12" t="str">
        <x:f>IF(J27=0,"0",IF(J27&lt;=3,"1-3",IF(J27&lt;=6,"4-6","&gt;=7")))</x:f>
        <x:v>1-3</x:v>
      </x:c>
      <x:c r="L27" s="12" t="str">
        <x:f>IF(J27=0,"Baseline-only",IF(J27&lt;=3,"Occasional",IF(J27&lt;=6,"Recurrent","High-frequency")))</x:f>
        <x:v>Occasional</x:v>
      </x:c>
      <x:c r="M27" s="19" t="n">
        <x:v>103.79419</x:v>
      </x:c>
      <x:c r="N27" s="19" t="n">
        <x:v>1.55191</x:v>
      </x:c>
      <x:c r="O27" s="12" t="str">
        <x:v>YES</x:v>
      </x:c>
      <x:c r="P27" s="12" t="str">
        <x:v>PLOT</x:v>
      </x:c>
      <x:c r="Q27" s="12"/>
      <x:c r="R27" s="12"/>
      <x:c r="S27" s="12" t="str">
        <x:v>S2023-052</x:v>
      </x:c>
      <x:c r="T27" s="12" t="str">
        <x:v>PLOT</x:v>
      </x:c>
      <x:c r="U27" s="12"/>
    </x:row>
    <x:row r="28">
      <x:c r="A28" s="12" t="str">
        <x:v>FLOC-0027</x:v>
      </x:c>
      <x:c r="B28" s="12" t="str">
        <x:v>Jalan Ibrahim Sultan</x:v>
      </x:c>
      <x:c r="C28" s="12" t="str">
        <x:v>ROAD</x:v>
      </x:c>
      <x:c r="D28" s="12" t="str">
        <x:v>JBLOC-0029</x:v>
      </x:c>
      <x:c r="E28" s="12" t="str">
        <x:v>2023</x:v>
      </x:c>
      <x:c r="F28" s="12" t="n">
        <x:v>2023</x:v>
      </x:c>
      <x:c r="G28" s="12" t="n">
        <x:v>2023</x:v>
      </x:c>
      <x:c r="H28" s="18" t="n">
        <x:v>45266</x:v>
      </x:c>
      <x:c r="I28" s="18" t="n">
        <x:v>45266</x:v>
      </x:c>
      <x:c r="J28" s="12" t="n">
        <x:f>COUNTIF('03_Independent_Episodes'!$A$2:$A$345,A28)</x:f>
        <x:v>1</x:v>
      </x:c>
      <x:c r="K28" s="12" t="str">
        <x:f>IF(J28=0,"0",IF(J28&lt;=3,"1-3",IF(J28&lt;=6,"4-6","&gt;=7")))</x:f>
        <x:v>1-3</x:v>
      </x:c>
      <x:c r="L28" s="12" t="str">
        <x:f>IF(J28=0,"Baseline-only",IF(J28&lt;=3,"Occasional",IF(J28&lt;=6,"Recurrent","High-frequency")))</x:f>
        <x:v>Occasional</x:v>
      </x:c>
      <x:c r="M28" s="19" t="n">
        <x:v>103.7755173</x:v>
      </x:c>
      <x:c r="N28" s="19" t="n">
        <x:v>1.4644141</x:v>
      </x:c>
      <x:c r="O28" s="12" t="str">
        <x:v>YES</x:v>
      </x:c>
      <x:c r="P28" s="12" t="str">
        <x:v>PLOT</x:v>
      </x:c>
      <x:c r="Q28" s="12"/>
      <x:c r="R28" s="12" t="str">
        <x:v>HF26</x:v>
      </x:c>
      <x:c r="S28" s="12" t="str">
        <x:v>S2023-025</x:v>
      </x:c>
      <x:c r="T28" s="12" t="str">
        <x:v>Fixed45 baseline</x:v>
      </x:c>
      <x:c r="U28" s="12"/>
    </x:row>
    <x:row r="29">
      <x:c r="A29" s="12" t="str">
        <x:v>FLOC-0028</x:v>
      </x:c>
      <x:c r="B29" s="12" t="str">
        <x:v>Jalan Ismail Sultan</x:v>
      </x:c>
      <x:c r="C29" s="12" t="str">
        <x:v>ROAD</x:v>
      </x:c>
      <x:c r="D29" s="12" t="str">
        <x:v>JBLOC-0030</x:v>
      </x:c>
      <x:c r="E29" s="12" t="str">
        <x:v>2023</x:v>
      </x:c>
      <x:c r="F29" s="12" t="n">
        <x:v>2023</x:v>
      </x:c>
      <x:c r="G29" s="12" t="n">
        <x:v>2023</x:v>
      </x:c>
      <x:c r="H29" s="18" t="n">
        <x:v>45266</x:v>
      </x:c>
      <x:c r="I29" s="18" t="n">
        <x:v>45266</x:v>
      </x:c>
      <x:c r="J29" s="12" t="n">
        <x:f>COUNTIF('03_Independent_Episodes'!$A$2:$A$345,A29)</x:f>
        <x:v>1</x:v>
      </x:c>
      <x:c r="K29" s="12" t="str">
        <x:f>IF(J29=0,"0",IF(J29&lt;=3,"1-3",IF(J29&lt;=6,"4-6","&gt;=7")))</x:f>
        <x:v>1-3</x:v>
      </x:c>
      <x:c r="L29" s="12" t="str">
        <x:f>IF(J29=0,"Baseline-only",IF(J29&lt;=3,"Occasional",IF(J29&lt;=6,"Recurrent","High-frequency")))</x:f>
        <x:v>Occasional</x:v>
      </x:c>
      <x:c r="M29" s="19" t="n">
        <x:v>103.6763692</x:v>
      </x:c>
      <x:c r="N29" s="19" t="n">
        <x:v>1.47258519999999</x:v>
      </x:c>
      <x:c r="O29" s="12" t="str">
        <x:v>YES</x:v>
      </x:c>
      <x:c r="P29" s="12" t="str">
        <x:v>PLOT</x:v>
      </x:c>
      <x:c r="Q29" s="12"/>
      <x:c r="R29" s="12" t="str">
        <x:v>HF38</x:v>
      </x:c>
      <x:c r="S29" s="12" t="str">
        <x:v>S2023-026</x:v>
      </x:c>
      <x:c r="T29" s="12" t="str">
        <x:v>Fixed45 baseline</x:v>
      </x:c>
      <x:c r="U29" s="12"/>
    </x:row>
    <x:row r="30">
      <x:c r="A30" s="12" t="str">
        <x:v>FLOC-0029</x:v>
      </x:c>
      <x:c r="B30" s="12" t="str">
        <x:v>Jalan Johor Bahru–Ulu Tiram, Desa Cemerlang</x:v>
      </x:c>
      <x:c r="C30" s="12" t="str">
        <x:v>Road-area event reference</x:v>
      </x:c>
      <x:c r="D30" s="12" t="str">
        <x:v>JBLOC-0031</x:v>
      </x:c>
      <x:c r="E30" s="12" t="str">
        <x:v>2020</x:v>
      </x:c>
      <x:c r="F30" s="12" t="n">
        <x:v>2020</x:v>
      </x:c>
      <x:c r="G30" s="12" t="n">
        <x:v>2020</x:v>
      </x:c>
      <x:c r="H30" s="18" t="n">
        <x:v>43986</x:v>
      </x:c>
      <x:c r="I30" s="18" t="n">
        <x:v>43986</x:v>
      </x:c>
      <x:c r="J30" s="12" t="n">
        <x:f>COUNTIF('03_Independent_Episodes'!$A$2:$A$345,A30)</x:f>
        <x:v>1</x:v>
      </x:c>
      <x:c r="K30" s="12" t="str">
        <x:f>IF(J30=0,"0",IF(J30&lt;=3,"1-3",IF(J30&lt;=6,"4-6","&gt;=7")))</x:f>
        <x:v>1-3</x:v>
      </x:c>
      <x:c r="L30" s="12" t="str">
        <x:f>IF(J30=0,"Baseline-only",IF(J30&lt;=3,"Occasional",IF(J30&lt;=6,"Recurrent","High-frequency")))</x:f>
        <x:v>Occasional</x:v>
      </x:c>
      <x:c r="M30" s="19" t="n">
        <x:v>103.8009</x:v>
      </x:c>
      <x:c r="N30" s="19" t="n">
        <x:v>1.5513</x:v>
      </x:c>
      <x:c r="O30" s="12" t="str">
        <x:v>NO</x:v>
      </x:c>
      <x:c r="P30" s="12" t="str">
        <x:v>DO NOT PLOT</x:v>
      </x:c>
      <x:c r="Q30" s="12"/>
      <x:c r="R30" s="12"/>
      <x:c r="S30" s="12" t="str">
        <x:v>LOC-JB-JLN-JB-ULU-TIRAM-DESA-CEMERLANG</x:v>
      </x:c>
      <x:c r="T30" s="12" t="str">
        <x:v>SRC_R2020_JPS_2020_TABLE</x:v>
      </x:c>
      <x:c r="U30" s="12"/>
    </x:row>
    <x:row r="31">
      <x:c r="A31" s="12" t="str">
        <x:v>FLOC-0030</x:v>
      </x:c>
      <x:c r="B31" s="12" t="str">
        <x:v>Jalan Kampung Masjid, Masai</x:v>
      </x:c>
      <x:c r="C31" s="12" t="str">
        <x:v>ROAD</x:v>
      </x:c>
      <x:c r="D31" s="12" t="str">
        <x:v>JBLOC-0032</x:v>
      </x:c>
      <x:c r="E31" s="12" t="str">
        <x:v>2021</x:v>
      </x:c>
      <x:c r="F31" s="12" t="n">
        <x:v>2021</x:v>
      </x:c>
      <x:c r="G31" s="12" t="n">
        <x:v>2021</x:v>
      </x:c>
      <x:c r="H31" s="18" t="n">
        <x:v>44441</x:v>
      </x:c>
      <x:c r="I31" s="18" t="n">
        <x:v>44441</x:v>
      </x:c>
      <x:c r="J31" s="12" t="n">
        <x:f>COUNTIF('03_Independent_Episodes'!$A$2:$A$345,A31)</x:f>
        <x:v>1</x:v>
      </x:c>
      <x:c r="K31" s="12" t="str">
        <x:f>IF(J31=0,"0",IF(J31&lt;=3,"1-3",IF(J31&lt;=6,"4-6","&gt;=7")))</x:f>
        <x:v>1-3</x:v>
      </x:c>
      <x:c r="L31" s="12" t="str">
        <x:f>IF(J31=0,"Baseline-only",IF(J31&lt;=3,"Occasional",IF(J31&lt;=6,"Recurrent","High-frequency")))</x:f>
        <x:v>Occasional</x:v>
      </x:c>
      <x:c r="M31" s="19"/>
      <x:c r="N31" s="19"/>
      <x:c r="O31" s="12" t="str">
        <x:v>NO</x:v>
      </x:c>
      <x:c r="P31" s="12" t="str">
        <x:v>DO NOT PLOT</x:v>
      </x:c>
      <x:c r="Q31" s="12"/>
      <x:c r="R31" s="12"/>
      <x:c r="S31" s="12" t="str">
        <x:v>S2021-021</x:v>
      </x:c>
      <x:c r="T31" s="12"/>
      <x:c r="U31" s="12"/>
    </x:row>
    <x:row r="32">
      <x:c r="A32" s="12" t="str">
        <x:v>FLOC-0031</x:v>
      </x:c>
      <x:c r="B32" s="12" t="str">
        <x:v>Jalan Kampung Sentosa Damai 8</x:v>
      </x:c>
      <x:c r="C32" s="12" t="str">
        <x:v>ROAD</x:v>
      </x:c>
      <x:c r="D32" s="12" t="str">
        <x:v>JBLOC-0033</x:v>
      </x:c>
      <x:c r="E32" s="12" t="str">
        <x:v>2023</x:v>
      </x:c>
      <x:c r="F32" s="12" t="n">
        <x:v>2023</x:v>
      </x:c>
      <x:c r="G32" s="12" t="n">
        <x:v>2023</x:v>
      </x:c>
      <x:c r="H32" s="18" t="n">
        <x:v>45261</x:v>
      </x:c>
      <x:c r="I32" s="18" t="n">
        <x:v>45261</x:v>
      </x:c>
      <x:c r="J32" s="12" t="n">
        <x:f>COUNTIF('03_Independent_Episodes'!$A$2:$A$345,A32)</x:f>
        <x:v>1</x:v>
      </x:c>
      <x:c r="K32" s="12" t="str">
        <x:f>IF(J32=0,"0",IF(J32&lt;=3,"1-3",IF(J32&lt;=6,"4-6","&gt;=7")))</x:f>
        <x:v>1-3</x:v>
      </x:c>
      <x:c r="L32" s="12" t="str">
        <x:f>IF(J32=0,"Baseline-only",IF(J32&lt;=3,"Occasional",IF(J32&lt;=6,"Recurrent","High-frequency")))</x:f>
        <x:v>Occasional</x:v>
      </x:c>
      <x:c r="M32" s="19"/>
      <x:c r="N32" s="19"/>
      <x:c r="O32" s="12" t="str">
        <x:v>NO</x:v>
      </x:c>
      <x:c r="P32" s="12" t="str">
        <x:v>DO NOT PLOT</x:v>
      </x:c>
      <x:c r="Q32" s="12"/>
      <x:c r="R32" s="12"/>
      <x:c r="S32" s="12" t="str">
        <x:v>S2023-019</x:v>
      </x:c>
      <x:c r="T32" s="12"/>
      <x:c r="U32" s="12"/>
    </x:row>
    <x:row r="33">
      <x:c r="A33" s="12" t="str">
        <x:v>FLOC-0032</x:v>
      </x:c>
      <x:c r="B33" s="12" t="str">
        <x:v>Jalan Kangkar Tebrau</x:v>
      </x:c>
      <x:c r="C33" s="12" t="str">
        <x:v>ROAD</x:v>
      </x:c>
      <x:c r="D33" s="12" t="str">
        <x:v>JBLOC-0034</x:v>
      </x:c>
      <x:c r="E33" s="12" t="str">
        <x:v>2023;2024</x:v>
      </x:c>
      <x:c r="F33" s="12" t="n">
        <x:v>2023</x:v>
      </x:c>
      <x:c r="G33" s="12" t="n">
        <x:v>2024</x:v>
      </x:c>
      <x:c r="H33" s="18" t="n">
        <x:v>45261</x:v>
      </x:c>
      <x:c r="I33" s="18" t="n">
        <x:v>45300</x:v>
      </x:c>
      <x:c r="J33" s="12" t="n">
        <x:f>COUNTIF('03_Independent_Episodes'!$A$2:$A$345,A33)</x:f>
        <x:v>2</x:v>
      </x:c>
      <x:c r="K33" s="12" t="str">
        <x:f>IF(J33=0,"0",IF(J33&lt;=3,"1-3",IF(J33&lt;=6,"4-6","&gt;=7")))</x:f>
        <x:v>1-3</x:v>
      </x:c>
      <x:c r="L33" s="12" t="str">
        <x:f>IF(J33=0,"Baseline-only",IF(J33&lt;=3,"Occasional",IF(J33&lt;=6,"Recurrent","High-frequency")))</x:f>
        <x:v>Occasional</x:v>
      </x:c>
      <x:c r="M33" s="19" t="n">
        <x:v>103.7648053</x:v>
      </x:c>
      <x:c r="N33" s="19" t="n">
        <x:v>1.531945</x:v>
      </x:c>
      <x:c r="O33" s="12" t="str">
        <x:v>YES</x:v>
      </x:c>
      <x:c r="P33" s="12" t="str">
        <x:v>PLOT</x:v>
      </x:c>
      <x:c r="Q33" s="12"/>
      <x:c r="R33" s="12"/>
      <x:c r="S33" s="12" t="str">
        <x:v>S2023-017; S2024-013</x:v>
      </x:c>
      <x:c r="T33" s="12" t="str">
        <x:v>PLOT</x:v>
      </x:c>
      <x:c r="U33" s="12"/>
    </x:row>
    <x:row r="34">
      <x:c r="A34" s="12" t="str">
        <x:v>FLOC-0033</x:v>
      </x:c>
      <x:c r="B34" s="12" t="str">
        <x:v>Jalan Keris 2, Taman Sri Tebrau</x:v>
      </x:c>
      <x:c r="C34" s="12" t="str">
        <x:v>ROAD</x:v>
      </x:c>
      <x:c r="D34" s="12" t="str">
        <x:v>JBLOC-0035</x:v>
      </x:c>
      <x:c r="E34" s="12" t="str">
        <x:v>2022</x:v>
      </x:c>
      <x:c r="F34" s="12" t="n">
        <x:v>2022</x:v>
      </x:c>
      <x:c r="G34" s="12" t="n">
        <x:v>2022</x:v>
      </x:c>
      <x:c r="H34" s="18" t="n">
        <x:v>44872</x:v>
      </x:c>
      <x:c r="I34" s="18" t="n">
        <x:v>44872</x:v>
      </x:c>
      <x:c r="J34" s="12" t="n">
        <x:f>COUNTIF('03_Independent_Episodes'!$A$2:$A$345,A34)</x:f>
        <x:v>1</x:v>
      </x:c>
      <x:c r="K34" s="12" t="str">
        <x:f>IF(J34=0,"0",IF(J34&lt;=3,"1-3",IF(J34&lt;=6,"4-6","&gt;=7")))</x:f>
        <x:v>1-3</x:v>
      </x:c>
      <x:c r="L34" s="12" t="str">
        <x:f>IF(J34=0,"Baseline-only",IF(J34&lt;=3,"Occasional",IF(J34&lt;=6,"Recurrent","High-frequency")))</x:f>
        <x:v>Occasional</x:v>
      </x:c>
      <x:c r="M34" s="19" t="n">
        <x:v>103.7679</x:v>
      </x:c>
      <x:c r="N34" s="19" t="n">
        <x:v>1.4899</x:v>
      </x:c>
      <x:c r="O34" s="12" t="str">
        <x:v>YES</x:v>
      </x:c>
      <x:c r="P34" s="12" t="str">
        <x:v>PLOT</x:v>
      </x:c>
      <x:c r="Q34" s="12"/>
      <x:c r="R34" s="12"/>
      <x:c r="S34" s="12" t="str">
        <x:v>S2022-035</x:v>
      </x:c>
      <x:c r="T34" s="12" t="str">
        <x:v>7 Nov Astro Awani event evidence</x:v>
      </x:c>
      <x:c r="U34" s="12"/>
    </x:row>
    <x:row r="35">
      <x:c r="A35" s="12" t="str">
        <x:v>FLOC-0034</x:v>
      </x:c>
      <x:c r="B35" s="12" t="str">
        <x:v>Jalan Kijang</x:v>
      </x:c>
      <x:c r="C35" s="12" t="str">
        <x:v>Road</x:v>
      </x:c>
      <x:c r="D35" s="12" t="str">
        <x:v>JBLOC-0036</x:v>
      </x:c>
      <x:c r="E35" s="12" t="str">
        <x:v>2018</x:v>
      </x:c>
      <x:c r="F35" s="12" t="n">
        <x:v>2018</x:v>
      </x:c>
      <x:c r="G35" s="12" t="n">
        <x:v>2018</x:v>
      </x:c>
      <x:c r="H35" s="18" t="n">
        <x:v>43383</x:v>
      </x:c>
      <x:c r="I35" s="18" t="n">
        <x:v>43383</x:v>
      </x:c>
      <x:c r="J35" s="12" t="n">
        <x:f>COUNTIF('03_Independent_Episodes'!$A$2:$A$345,A35)</x:f>
        <x:v>1</x:v>
      </x:c>
      <x:c r="K35" s="12" t="str">
        <x:f>IF(J35=0,"0",IF(J35&lt;=3,"1-3",IF(J35&lt;=6,"4-6","&gt;=7")))</x:f>
        <x:v>1-3</x:v>
      </x:c>
      <x:c r="L35" s="12" t="str">
        <x:f>IF(J35=0,"Baseline-only",IF(J35&lt;=3,"Occasional",IF(J35&lt;=6,"Recurrent","High-frequency")))</x:f>
        <x:v>Occasional</x:v>
      </x:c>
      <x:c r="M35" s="19" t="n">
        <x:v>103.7625739</x:v>
      </x:c>
      <x:c r="N35" s="19" t="n">
        <x:v>1.4864896</x:v>
      </x:c>
      <x:c r="O35" s="12" t="str">
        <x:v>YES</x:v>
      </x:c>
      <x:c r="P35" s="12" t="str">
        <x:v>PLOT</x:v>
      </x:c>
      <x:c r="Q35" s="12"/>
      <x:c r="R35" s="12"/>
      <x:c r="S35" s="12" t="str">
        <x:v>LOC-JB-JLN-KIJANG</x:v>
      </x:c>
      <x:c r="T35" s="12" t="str">
        <x:v>SRC_GEO_2018_JALAN_KIJANG</x:v>
      </x:c>
      <x:c r="U35" s="12"/>
    </x:row>
    <x:row r="36">
      <x:c r="A36" s="12" t="str">
        <x:v>FLOC-0035</x:v>
      </x:c>
      <x:c r="B36" s="12" t="str">
        <x:v>Jalan Kolam Ayer</x:v>
      </x:c>
      <x:c r="C36" s="12" t="str">
        <x:v>ROAD; ROAD/ROAD SEGMENT; Road; ROAD/ROAD CONTEXT</x:v>
      </x:c>
      <x:c r="D36" s="12" t="str">
        <x:v>JBLOC-0037; JBLOC-0038</x:v>
      </x:c>
      <x:c r="E36" s="12" t="str">
        <x:v>2020;2022;2023;2025;2026</x:v>
      </x:c>
      <x:c r="F36" s="12" t="n">
        <x:v>2020</x:v>
      </x:c>
      <x:c r="G36" s="12" t="n">
        <x:v>2026</x:v>
      </x:c>
      <x:c r="H36" s="18" t="n">
        <x:v>44105</x:v>
      </x:c>
      <x:c r="I36" s="18" t="n">
        <x:v>46295</x:v>
      </x:c>
      <x:c r="J36" s="12" t="n">
        <x:f>COUNTIF('03_Independent_Episodes'!$A$2:$A$345,A36)</x:f>
        <x:v>5</x:v>
      </x:c>
      <x:c r="K36" s="12" t="str">
        <x:f>IF(J36=0,"0",IF(J36&lt;=3,"1-3",IF(J36&lt;=6,"4-6","&gt;=7")))</x:f>
        <x:v>4-6</x:v>
      </x:c>
      <x:c r="L36" s="12" t="str">
        <x:f>IF(J36=0,"Baseline-only",IF(J36&lt;=3,"Occasional",IF(J36&lt;=6,"Recurrent","High-frequency")))</x:f>
        <x:v>Recurrent</x:v>
      </x:c>
      <x:c r="M36" s="19" t="n">
        <x:v>103.7220526</x:v>
      </x:c>
      <x:c r="N36" s="19" t="n">
        <x:v>1.48238540000001</x:v>
      </x:c>
      <x:c r="O36" s="12" t="str">
        <x:v>YES</x:v>
      </x:c>
      <x:c r="P36" s="12" t="str">
        <x:v>PLOT</x:v>
      </x:c>
      <x:c r="Q36" s="12"/>
      <x:c r="R36" s="12" t="str">
        <x:v>HF02</x:v>
      </x:c>
      <x:c r="S36" s="12" t="str">
        <x:v>LOC-JB-JLN-KOLAM-AYER; S2022-009; S2023-021; S2025-034; S2026-001</x:v>
      </x:c>
      <x:c r="T36" s="12" t="str">
        <x:v>Fixed45 baseline; Frozen HF02 Jalan Kolam Ayer reference; Nong Chik context retained in label</x:v>
      </x:c>
      <x:c r="U36" s="12"/>
    </x:row>
    <x:row r="37">
      <x:c r="A37" s="12" t="str">
        <x:v>FLOC-0036</x:v>
      </x:c>
      <x:c r="B37" s="12" t="str">
        <x:v>Jalan Kota Tinggi / FT003</x:v>
      </x:c>
      <x:c r="C37" s="12" t="str">
        <x:v>ROAD</x:v>
      </x:c>
      <x:c r="D37" s="12" t="str">
        <x:v>JBLOC-0039</x:v>
      </x:c>
      <x:c r="E37" s="12" t="str">
        <x:v>2022</x:v>
      </x:c>
      <x:c r="F37" s="12" t="n">
        <x:v>2022</x:v>
      </x:c>
      <x:c r="G37" s="12" t="n">
        <x:v>2022</x:v>
      </x:c>
      <x:c r="H37" s="18" t="n">
        <x:v>44668</x:v>
      </x:c>
      <x:c r="I37" s="18" t="n">
        <x:v>44668</x:v>
      </x:c>
      <x:c r="J37" s="12" t="n">
        <x:f>COUNTIF('03_Independent_Episodes'!$A$2:$A$345,A37)</x:f>
        <x:v>1</x:v>
      </x:c>
      <x:c r="K37" s="12" t="str">
        <x:f>IF(J37=0,"0",IF(J37&lt;=3,"1-3",IF(J37&lt;=6,"4-6","&gt;=7")))</x:f>
        <x:v>1-3</x:v>
      </x:c>
      <x:c r="L37" s="12" t="str">
        <x:f>IF(J37=0,"Baseline-only",IF(J37&lt;=3,"Occasional",IF(J37&lt;=6,"Recurrent","High-frequency")))</x:f>
        <x:v>Occasional</x:v>
      </x:c>
      <x:c r="M37" s="19" t="n">
        <x:v>103.8012632</x:v>
      </x:c>
      <x:c r="N37" s="19" t="n">
        <x:v>1.5566538</x:v>
      </x:c>
      <x:c r="O37" s="12" t="str">
        <x:v>YES</x:v>
      </x:c>
      <x:c r="P37" s="12" t="str">
        <x:v>PLOT</x:v>
      </x:c>
      <x:c r="Q37" s="12"/>
      <x:c r="R37" s="12"/>
      <x:c r="S37" s="12" t="str">
        <x:v>S2022-004</x:v>
      </x:c>
      <x:c r="T37" s="12" t="str">
        <x:v>JPS 17 Apr event label</x:v>
      </x:c>
      <x:c r="U37" s="12"/>
    </x:row>
    <x:row r="38">
      <x:c r="A38" s="12" t="str">
        <x:v>FLOC-0037</x:v>
      </x:c>
      <x:c r="B38" s="12" t="str">
        <x:v>Jalan Lingkaran Dalam, Johor Bahru</x:v>
      </x:c>
      <x:c r="C38" s="12" t="str">
        <x:v>ROAD</x:v>
      </x:c>
      <x:c r="D38" s="12" t="str">
        <x:v>JBLOC-0040</x:v>
      </x:c>
      <x:c r="E38" s="12" t="str">
        <x:v>2017</x:v>
      </x:c>
      <x:c r="F38" s="12" t="n">
        <x:v>2017</x:v>
      </x:c>
      <x:c r="G38" s="12" t="n">
        <x:v>2017</x:v>
      </x:c>
      <x:c r="H38" s="18" t="n">
        <x:v>43094</x:v>
      </x:c>
      <x:c r="I38" s="18" t="n">
        <x:v>43094</x:v>
      </x:c>
      <x:c r="J38" s="12" t="n">
        <x:f>COUNTIF('03_Independent_Episodes'!$A$2:$A$345,A38)</x:f>
        <x:v>1</x:v>
      </x:c>
      <x:c r="K38" s="12" t="str">
        <x:f>IF(J38=0,"0",IF(J38&lt;=3,"1-3",IF(J38&lt;=6,"4-6","&gt;=7")))</x:f>
        <x:v>1-3</x:v>
      </x:c>
      <x:c r="L38" s="12" t="str">
        <x:f>IF(J38=0,"Baseline-only",IF(J38&lt;=3,"Occasional",IF(J38&lt;=6,"Recurrent","High-frequency")))</x:f>
        <x:v>Occasional</x:v>
      </x:c>
      <x:c r="M38" s="19" t="n">
        <x:v>103.749959</x:v>
      </x:c>
      <x:c r="N38" s="19" t="n">
        <x:v>1.4664595</x:v>
      </x:c>
      <x:c r="O38" s="12" t="str">
        <x:v>YES</x:v>
      </x:c>
      <x:c r="P38" s="12" t="str">
        <x:v>PLOT</x:v>
      </x:c>
      <x:c r="Q38" s="12"/>
      <x:c r="R38" s="12"/>
      <x:c r="S38" s="12" t="str">
        <x:v>LOC-JB-JLN-LINGKARAN-DALAM</x:v>
      </x:c>
      <x:c r="T38" s="12" t="str">
        <x:v>SRC_GEO_JALAN_LINGKARAN</x:v>
      </x:c>
      <x:c r="U38" s="12"/>
    </x:row>
    <x:row r="39">
      <x:c r="A39" s="12" t="str">
        <x:v>FLOC-0038</x:v>
      </x:c>
      <x:c r="B39" s="12" t="str">
        <x:v>Jalan Lurah 3</x:v>
      </x:c>
      <x:c r="C39" s="12" t="str">
        <x:v>ROAD</x:v>
      </x:c>
      <x:c r="D39" s="12" t="str">
        <x:v>JBLOC-0041</x:v>
      </x:c>
      <x:c r="E39" s="12" t="str">
        <x:v>2023</x:v>
      </x:c>
      <x:c r="F39" s="12" t="n">
        <x:v>2023</x:v>
      </x:c>
      <x:c r="G39" s="12" t="n">
        <x:v>2023</x:v>
      </x:c>
      <x:c r="H39" s="18" t="n">
        <x:v>45266</x:v>
      </x:c>
      <x:c r="I39" s="18" t="n">
        <x:v>45266</x:v>
      </x:c>
      <x:c r="J39" s="12" t="n">
        <x:f>COUNTIF('03_Independent_Episodes'!$A$2:$A$345,A39)</x:f>
        <x:v>1</x:v>
      </x:c>
      <x:c r="K39" s="12" t="str">
        <x:f>IF(J39=0,"0",IF(J39&lt;=3,"1-3",IF(J39&lt;=6,"4-6","&gt;=7")))</x:f>
        <x:v>1-3</x:v>
      </x:c>
      <x:c r="L39" s="12" t="str">
        <x:f>IF(J39=0,"Baseline-only",IF(J39&lt;=3,"Occasional",IF(J39&lt;=6,"Recurrent","High-frequency")))</x:f>
        <x:v>Occasional</x:v>
      </x:c>
      <x:c r="M39" s="19" t="n">
        <x:v>103.7155955</x:v>
      </x:c>
      <x:c r="N39" s="19" t="n">
        <x:v>1.5302594</x:v>
      </x:c>
      <x:c r="O39" s="12" t="str">
        <x:v>YES</x:v>
      </x:c>
      <x:c r="P39" s="12" t="str">
        <x:v>PLOT</x:v>
      </x:c>
      <x:c r="Q39" s="12"/>
      <x:c r="R39" s="12" t="str">
        <x:v>HF41</x:v>
      </x:c>
      <x:c r="S39" s="12" t="str">
        <x:v>S2023-027</x:v>
      </x:c>
      <x:c r="T39" s="12" t="str">
        <x:v>Fixed45 baseline</x:v>
      </x:c>
      <x:c r="U39" s="12"/>
    </x:row>
    <x:row r="40">
      <x:c r="A40" s="12" t="str">
        <x:v>FLOC-0039</x:v>
      </x:c>
      <x:c r="B40" s="12" t="str">
        <x:v>Jalan Mahmoodiah</x:v>
      </x:c>
      <x:c r="C40" s="12" t="str">
        <x:v>ROAD</x:v>
      </x:c>
      <x:c r="D40" s="12" t="str">
        <x:v>JBLOC-0042</x:v>
      </x:c>
      <x:c r="E40" s="12" t="str">
        <x:v>2022;2023</x:v>
      </x:c>
      <x:c r="F40" s="12" t="n">
        <x:v>2022</x:v>
      </x:c>
      <x:c r="G40" s="12" t="n">
        <x:v>2023</x:v>
      </x:c>
      <x:c r="H40" s="18" t="n">
        <x:v>44775</x:v>
      </x:c>
      <x:c r="I40" s="18" t="n">
        <x:v>45266</x:v>
      </x:c>
      <x:c r="J40" s="12" t="n">
        <x:f>COUNTIF('03_Independent_Episodes'!$A$2:$A$345,A40)</x:f>
        <x:v>2</x:v>
      </x:c>
      <x:c r="K40" s="12" t="str">
        <x:f>IF(J40=0,"0",IF(J40&lt;=3,"1-3",IF(J40&lt;=6,"4-6","&gt;=7")))</x:f>
        <x:v>1-3</x:v>
      </x:c>
      <x:c r="L40" s="12" t="str">
        <x:f>IF(J40=0,"Baseline-only",IF(J40&lt;=3,"Occasional",IF(J40&lt;=6,"Recurrent","High-frequency")))</x:f>
        <x:v>Occasional</x:v>
      </x:c>
      <x:c r="M40" s="19" t="n">
        <x:v>103.7482815</x:v>
      </x:c>
      <x:c r="N40" s="19" t="n">
        <x:v>1.4629658</x:v>
      </x:c>
      <x:c r="O40" s="12" t="str">
        <x:v>YES</x:v>
      </x:c>
      <x:c r="P40" s="12" t="str">
        <x:v>PLOT</x:v>
      </x:c>
      <x:c r="Q40" s="12"/>
      <x:c r="R40" s="12" t="str">
        <x:v>HF03</x:v>
      </x:c>
      <x:c r="S40" s="12" t="str">
        <x:v>S2022-015; S2023-028</x:v>
      </x:c>
      <x:c r="T40" s="12" t="str">
        <x:v>Fixed45 baseline</x:v>
      </x:c>
      <x:c r="U40" s="12"/>
    </x:row>
    <x:row r="41">
      <x:c r="A41" s="12" t="str">
        <x:v>FLOC-0040</x:v>
      </x:c>
      <x:c r="B41" s="12" t="str">
        <x:v>Jalan Mohd Amin</x:v>
      </x:c>
      <x:c r="C41" s="12" t="str">
        <x:v>ROAD</x:v>
      </x:c>
      <x:c r="D41" s="12" t="str">
        <x:v>JBLOC-0002</x:v>
      </x:c>
      <x:c r="E41" s="12"/>
      <x:c r="F41" s="12"/>
      <x:c r="G41" s="12"/>
      <x:c r="H41" s="18"/>
      <x:c r="I41" s="18"/>
      <x:c r="J41" s="12" t="n">
        <x:f>COUNTIF('03_Independent_Episodes'!$A$2:$A$345,A41)</x:f>
        <x:v>0</x:v>
      </x:c>
      <x:c r="K41" s="12" t="str">
        <x:f>IF(J41=0,"0",IF(J41&lt;=3,"1-3",IF(J41&lt;=6,"4-6","&gt;=7")))</x:f>
        <x:v>0</x:v>
      </x:c>
      <x:c r="L41" s="12" t="str">
        <x:f>IF(J41=0,"Baseline-only",IF(J41&lt;=3,"Occasional",IF(J41&lt;=6,"Recurrent","High-frequency")))</x:f>
        <x:v>Baseline-only</x:v>
      </x:c>
      <x:c r="M41" s="19" t="n">
        <x:v>103.7363992</x:v>
      </x:c>
      <x:c r="N41" s="19" t="n">
        <x:v>1.46757569999999</x:v>
      </x:c>
      <x:c r="O41" s="12" t="str">
        <x:v>YES</x:v>
      </x:c>
      <x:c r="P41" s="12" t="str">
        <x:v>BASELINE ONLY</x:v>
      </x:c>
      <x:c r="Q41" s="12"/>
      <x:c r="R41" s="12" t="str">
        <x:v>HF27</x:v>
      </x:c>
      <x:c r="S41" s="12"/>
      <x:c r="T41" s="12" t="str">
        <x:v>Fixed45 baseline</x:v>
      </x:c>
      <x:c r="U41" s="12" t="str">
        <x:v>Baseline-only fixed point; no annual object linked in current 2016–2026 event inventory.</x:v>
      </x:c>
    </x:row>
    <x:row r="42">
      <x:c r="A42" s="12" t="str">
        <x:v>FLOC-0041</x:v>
      </x:c>
      <x:c r="B42" s="12" t="str">
        <x:v>Jalan Mohd Amin 7</x:v>
      </x:c>
      <x:c r="C42" s="12" t="str">
        <x:v>ROAD</x:v>
      </x:c>
      <x:c r="D42" s="12" t="str">
        <x:v>JBLOC-0043</x:v>
      </x:c>
      <x:c r="E42" s="12" t="str">
        <x:v>2023</x:v>
      </x:c>
      <x:c r="F42" s="12" t="n">
        <x:v>2023</x:v>
      </x:c>
      <x:c r="G42" s="12" t="n">
        <x:v>2023</x:v>
      </x:c>
      <x:c r="H42" s="18" t="n">
        <x:v>45274</x:v>
      </x:c>
      <x:c r="I42" s="18" t="n">
        <x:v>45274</x:v>
      </x:c>
      <x:c r="J42" s="12" t="n">
        <x:f>COUNTIF('03_Independent_Episodes'!$A$2:$A$345,A42)</x:f>
        <x:v>1</x:v>
      </x:c>
      <x:c r="K42" s="12" t="str">
        <x:f>IF(J42=0,"0",IF(J42&lt;=3,"1-3",IF(J42&lt;=6,"4-6","&gt;=7")))</x:f>
        <x:v>1-3</x:v>
      </x:c>
      <x:c r="L42" s="12" t="str">
        <x:f>IF(J42=0,"Baseline-only",IF(J42&lt;=3,"Occasional",IF(J42&lt;=6,"Recurrent","High-frequency")))</x:f>
        <x:v>Occasional</x:v>
      </x:c>
      <x:c r="M42" s="19"/>
      <x:c r="N42" s="19"/>
      <x:c r="O42" s="12" t="str">
        <x:v>NO</x:v>
      </x:c>
      <x:c r="P42" s="12" t="str">
        <x:v>DO NOT PLOT</x:v>
      </x:c>
      <x:c r="Q42" s="12"/>
      <x:c r="R42" s="12"/>
      <x:c r="S42" s="12" t="str">
        <x:v>S2023-050</x:v>
      </x:c>
      <x:c r="T42" s="12"/>
      <x:c r="U42" s="12"/>
    </x:row>
    <x:row r="43">
      <x:c r="A43" s="12" t="str">
        <x:v>FLOC-0042</x:v>
      </x:c>
      <x:c r="B43" s="12" t="str">
        <x:v>Jalan Mutiara Emas Utama</x:v>
      </x:c>
      <x:c r="C43" s="12" t="str">
        <x:v>ROAD</x:v>
      </x:c>
      <x:c r="D43" s="12" t="str">
        <x:v>JBLOC-0044</x:v>
      </x:c>
      <x:c r="E43" s="12" t="str">
        <x:v>2023</x:v>
      </x:c>
      <x:c r="F43" s="12" t="n">
        <x:v>2023</x:v>
      </x:c>
      <x:c r="G43" s="12" t="n">
        <x:v>2023</x:v>
      </x:c>
      <x:c r="H43" s="18" t="n">
        <x:v>45274</x:v>
      </x:c>
      <x:c r="I43" s="18" t="n">
        <x:v>45274</x:v>
      </x:c>
      <x:c r="J43" s="12" t="n">
        <x:f>COUNTIF('03_Independent_Episodes'!$A$2:$A$345,A43)</x:f>
        <x:v>1</x:v>
      </x:c>
      <x:c r="K43" s="12" t="str">
        <x:f>IF(J43=0,"0",IF(J43&lt;=3,"1-3",IF(J43&lt;=6,"4-6","&gt;=7")))</x:f>
        <x:v>1-3</x:v>
      </x:c>
      <x:c r="L43" s="12" t="str">
        <x:f>IF(J43=0,"Baseline-only",IF(J43&lt;=3,"Occasional",IF(J43&lt;=6,"Recurrent","High-frequency")))</x:f>
        <x:v>Occasional</x:v>
      </x:c>
      <x:c r="M43" s="19" t="n">
        <x:v>103.7804</x:v>
      </x:c>
      <x:c r="N43" s="19" t="n">
        <x:v>1.5605</x:v>
      </x:c>
      <x:c r="O43" s="12" t="str">
        <x:v>YES</x:v>
      </x:c>
      <x:c r="P43" s="12" t="str">
        <x:v>PLOT</x:v>
      </x:c>
      <x:c r="Q43" s="12"/>
      <x:c r="R43" s="12"/>
      <x:c r="S43" s="12" t="str">
        <x:v>S2023-049</x:v>
      </x:c>
      <x:c r="T43" s="12" t="str">
        <x:v>PLOT</x:v>
      </x:c>
      <x:c r="U43" s="12"/>
    </x:row>
    <x:row r="44">
      <x:c r="A44" s="12" t="str">
        <x:v>FLOC-0043</x:v>
      </x:c>
      <x:c r="B44" s="12" t="str">
        <x:v>Jalan Padi Huma 10</x:v>
      </x:c>
      <x:c r="C44" s="12" t="str">
        <x:v>ROAD</x:v>
      </x:c>
      <x:c r="D44" s="12" t="str">
        <x:v>JBLOC-0045</x:v>
      </x:c>
      <x:c r="E44" s="12" t="str">
        <x:v>2023</x:v>
      </x:c>
      <x:c r="F44" s="12" t="n">
        <x:v>2023</x:v>
      </x:c>
      <x:c r="G44" s="12" t="n">
        <x:v>2023</x:v>
      </x:c>
      <x:c r="H44" s="18" t="n">
        <x:v>45266</x:v>
      </x:c>
      <x:c r="I44" s="18" t="n">
        <x:v>45266</x:v>
      </x:c>
      <x:c r="J44" s="12" t="n">
        <x:f>COUNTIF('03_Independent_Episodes'!$A$2:$A$345,A44)</x:f>
        <x:v>1</x:v>
      </x:c>
      <x:c r="K44" s="12" t="str">
        <x:f>IF(J44=0,"0",IF(J44&lt;=3,"1-3",IF(J44&lt;=6,"4-6","&gt;=7")))</x:f>
        <x:v>1-3</x:v>
      </x:c>
      <x:c r="L44" s="12" t="str">
        <x:f>IF(J44=0,"Baseline-only",IF(J44&lt;=3,"Occasional",IF(J44&lt;=6,"Recurrent","High-frequency")))</x:f>
        <x:v>Occasional</x:v>
      </x:c>
      <x:c r="M44" s="19" t="n">
        <x:v>103.7234744</x:v>
      </x:c>
      <x:c r="N44" s="19" t="n">
        <x:v>1.49891240000001</x:v>
      </x:c>
      <x:c r="O44" s="12" t="str">
        <x:v>YES</x:v>
      </x:c>
      <x:c r="P44" s="12" t="str">
        <x:v>PLOT</x:v>
      </x:c>
      <x:c r="Q44" s="12"/>
      <x:c r="R44" s="12" t="str">
        <x:v>HF28</x:v>
      </x:c>
      <x:c r="S44" s="12" t="str">
        <x:v>S2023-040</x:v>
      </x:c>
      <x:c r="T44" s="12" t="str">
        <x:v>Fixed45 baseline</x:v>
      </x:c>
      <x:c r="U44" s="12"/>
    </x:row>
    <x:row r="45">
      <x:c r="A45" s="12" t="str">
        <x:v>FLOC-0044</x:v>
      </x:c>
      <x:c r="B45" s="12" t="str">
        <x:v>Jalan Padi Huma 9</x:v>
      </x:c>
      <x:c r="C45" s="12" t="str">
        <x:v>ROAD</x:v>
      </x:c>
      <x:c r="D45" s="12" t="str">
        <x:v>JBLOC-0046</x:v>
      </x:c>
      <x:c r="E45" s="12" t="str">
        <x:v>2023</x:v>
      </x:c>
      <x:c r="F45" s="12" t="n">
        <x:v>2023</x:v>
      </x:c>
      <x:c r="G45" s="12" t="n">
        <x:v>2023</x:v>
      </x:c>
      <x:c r="H45" s="18" t="n">
        <x:v>45266</x:v>
      </x:c>
      <x:c r="I45" s="18" t="n">
        <x:v>45266</x:v>
      </x:c>
      <x:c r="J45" s="12" t="n">
        <x:f>COUNTIF('03_Independent_Episodes'!$A$2:$A$345,A45)</x:f>
        <x:v>1</x:v>
      </x:c>
      <x:c r="K45" s="12" t="str">
        <x:f>IF(J45=0,"0",IF(J45&lt;=3,"1-3",IF(J45&lt;=6,"4-6","&gt;=7")))</x:f>
        <x:v>1-3</x:v>
      </x:c>
      <x:c r="L45" s="12" t="str">
        <x:f>IF(J45=0,"Baseline-only",IF(J45&lt;=3,"Occasional",IF(J45&lt;=6,"Recurrent","High-frequency")))</x:f>
        <x:v>Occasional</x:v>
      </x:c>
      <x:c r="M45" s="19" t="n">
        <x:v>103.7237744</x:v>
      </x:c>
      <x:c r="N45" s="19" t="n">
        <x:v>1.4983831</x:v>
      </x:c>
      <x:c r="O45" s="12" t="str">
        <x:v>YES</x:v>
      </x:c>
      <x:c r="P45" s="12" t="str">
        <x:v>PLOT</x:v>
      </x:c>
      <x:c r="Q45" s="12"/>
      <x:c r="R45" s="12" t="str">
        <x:v>HF29</x:v>
      </x:c>
      <x:c r="S45" s="12" t="str">
        <x:v>S2023-039</x:v>
      </x:c>
      <x:c r="T45" s="12" t="str">
        <x:v>Fixed45 baseline</x:v>
      </x:c>
      <x:c r="U45" s="12"/>
    </x:row>
    <x:row r="46">
      <x:c r="A46" s="12" t="str">
        <x:v>FLOC-0045</x:v>
      </x:c>
      <x:c r="B46" s="12" t="str">
        <x:v>Jalan Padi Makmur</x:v>
      </x:c>
      <x:c r="C46" s="12" t="str">
        <x:v>ROAD</x:v>
      </x:c>
      <x:c r="D46" s="12" t="str">
        <x:v>JBLOC-0047</x:v>
      </x:c>
      <x:c r="E46" s="12" t="str">
        <x:v>2023</x:v>
      </x:c>
      <x:c r="F46" s="12" t="n">
        <x:v>2023</x:v>
      </x:c>
      <x:c r="G46" s="12" t="n">
        <x:v>2023</x:v>
      </x:c>
      <x:c r="H46" s="18" t="n">
        <x:v>45266</x:v>
      </x:c>
      <x:c r="I46" s="18" t="n">
        <x:v>45266</x:v>
      </x:c>
      <x:c r="J46" s="12" t="n">
        <x:f>COUNTIF('03_Independent_Episodes'!$A$2:$A$345,A46)</x:f>
        <x:v>1</x:v>
      </x:c>
      <x:c r="K46" s="12" t="str">
        <x:f>IF(J46=0,"0",IF(J46&lt;=3,"1-3",IF(J46&lt;=6,"4-6","&gt;=7")))</x:f>
        <x:v>1-3</x:v>
      </x:c>
      <x:c r="L46" s="12" t="str">
        <x:f>IF(J46=0,"Baseline-only",IF(J46&lt;=3,"Occasional",IF(J46&lt;=6,"Recurrent","High-frequency")))</x:f>
        <x:v>Occasional</x:v>
      </x:c>
      <x:c r="M46" s="19" t="n">
        <x:v>103.7208677</x:v>
      </x:c>
      <x:c r="N46" s="19" t="n">
        <x:v>1.4866099</x:v>
      </x:c>
      <x:c r="O46" s="12" t="str">
        <x:v>YES</x:v>
      </x:c>
      <x:c r="P46" s="12" t="str">
        <x:v>PLOT</x:v>
      </x:c>
      <x:c r="Q46" s="12"/>
      <x:c r="R46" s="12" t="str">
        <x:v>HF30</x:v>
      </x:c>
      <x:c r="S46" s="12" t="str">
        <x:v>S2023-030</x:v>
      </x:c>
      <x:c r="T46" s="12" t="str">
        <x:v>Fixed45 baseline</x:v>
      </x:c>
      <x:c r="U46" s="12"/>
    </x:row>
    <x:row r="47">
      <x:c r="A47" s="12" t="str">
        <x:v>FLOC-0046</x:v>
      </x:c>
      <x:c r="B47" s="12" t="str">
        <x:v>Jalan Pantai</x:v>
      </x:c>
      <x:c r="C47" s="12" t="str">
        <x:v>ROAD/ROAD CONTEXT</x:v>
      </x:c>
      <x:c r="D47" s="12" t="str">
        <x:v>JBLOC-0048</x:v>
      </x:c>
      <x:c r="E47" s="12" t="str">
        <x:v>2026</x:v>
      </x:c>
      <x:c r="F47" s="12" t="n">
        <x:v>2026</x:v>
      </x:c>
      <x:c r="G47" s="12" t="n">
        <x:v>2026</x:v>
      </x:c>
      <x:c r="H47" s="18" t="n">
        <x:v>46295</x:v>
      </x:c>
      <x:c r="I47" s="18" t="n">
        <x:v>46295</x:v>
      </x:c>
      <x:c r="J47" s="12" t="n">
        <x:f>COUNTIF('03_Independent_Episodes'!$A$2:$A$345,A47)</x:f>
        <x:v>1</x:v>
      </x:c>
      <x:c r="K47" s="12" t="str">
        <x:f>IF(J47=0,"0",IF(J47&lt;=3,"1-3",IF(J47&lt;=6,"4-6","&gt;=7")))</x:f>
        <x:v>1-3</x:v>
      </x:c>
      <x:c r="L47" s="12" t="str">
        <x:f>IF(J47=0,"Baseline-only",IF(J47&lt;=3,"Occasional",IF(J47&lt;=6,"Recurrent","High-frequency")))</x:f>
        <x:v>Occasional</x:v>
      </x:c>
      <x:c r="M47" s="19"/>
      <x:c r="N47" s="19"/>
      <x:c r="O47" s="12" t="str">
        <x:v>NO</x:v>
      </x:c>
      <x:c r="P47" s="12" t="str">
        <x:v>DO NOT PLOT</x:v>
      </x:c>
      <x:c r="Q47" s="12"/>
      <x:c r="R47" s="12"/>
      <x:c r="S47" s="12" t="str">
        <x:v>S2026-004</x:v>
      </x:c>
      <x:c r="T47" s="12"/>
      <x:c r="U47" s="12"/>
    </x:row>
    <x:row r="48">
      <x:c r="A48" s="12" t="str">
        <x:v>FLOC-0047</x:v>
      </x:c>
      <x:c r="B48" s="12" t="str">
        <x:v>Jalan Pantai Lido</x:v>
      </x:c>
      <x:c r="C48" s="12" t="str">
        <x:v>ROAD</x:v>
      </x:c>
      <x:c r="D48" s="12" t="str">
        <x:v>JBLOC-0049</x:v>
      </x:c>
      <x:c r="E48" s="12" t="str">
        <x:v>2022</x:v>
      </x:c>
      <x:c r="F48" s="12" t="n">
        <x:v>2022</x:v>
      </x:c>
      <x:c r="G48" s="12" t="n">
        <x:v>2022</x:v>
      </x:c>
      <x:c r="H48" s="18" t="n">
        <x:v>44775</x:v>
      </x:c>
      <x:c r="I48" s="18" t="n">
        <x:v>44775</x:v>
      </x:c>
      <x:c r="J48" s="12" t="n">
        <x:f>COUNTIF('03_Independent_Episodes'!$A$2:$A$345,A48)</x:f>
        <x:v>1</x:v>
      </x:c>
      <x:c r="K48" s="12" t="str">
        <x:f>IF(J48=0,"0",IF(J48&lt;=3,"1-3",IF(J48&lt;=6,"4-6","&gt;=7")))</x:f>
        <x:v>1-3</x:v>
      </x:c>
      <x:c r="L48" s="12" t="str">
        <x:f>IF(J48=0,"Baseline-only",IF(J48&lt;=3,"Occasional",IF(J48&lt;=6,"Recurrent","High-frequency")))</x:f>
        <x:v>Occasional</x:v>
      </x:c>
      <x:c r="M48" s="19" t="n">
        <x:v>103.74418</x:v>
      </x:c>
      <x:c r="N48" s="19" t="n">
        <x:v>1.4593</x:v>
      </x:c>
      <x:c r="O48" s="12" t="str">
        <x:v>YES</x:v>
      </x:c>
      <x:c r="P48" s="12" t="str">
        <x:v>PLOT</x:v>
      </x:c>
      <x:c r="Q48" s="12"/>
      <x:c r="R48" s="12"/>
      <x:c r="S48" s="12" t="str">
        <x:v>S2022-014</x:v>
      </x:c>
      <x:c r="T48" s="12" t="str">
        <x:v>Malay Mail 2 Aug event evidence</x:v>
      </x:c>
      <x:c r="U48" s="12"/>
    </x:row>
    <x:row r="49">
      <x:c r="A49" s="12" t="str">
        <x:v>FLOC-0048</x:v>
      </x:c>
      <x:c r="B49" s="12" t="str">
        <x:v>Jalan Permatang 6, Kempas</x:v>
      </x:c>
      <x:c r="C49" s="12" t="str">
        <x:v>Road</x:v>
      </x:c>
      <x:c r="D49" s="12" t="str">
        <x:v>JBLOC-0050</x:v>
      </x:c>
      <x:c r="E49" s="12" t="str">
        <x:v>2020</x:v>
      </x:c>
      <x:c r="F49" s="12" t="n">
        <x:v>2020</x:v>
      </x:c>
      <x:c r="G49" s="12" t="n">
        <x:v>2020</x:v>
      </x:c>
      <x:c r="H49" s="18" t="n">
        <x:v>43926</x:v>
      </x:c>
      <x:c r="I49" s="18" t="n">
        <x:v>43926</x:v>
      </x:c>
      <x:c r="J49" s="12" t="n">
        <x:f>COUNTIF('03_Independent_Episodes'!$A$2:$A$345,A49)</x:f>
        <x:v>1</x:v>
      </x:c>
      <x:c r="K49" s="12" t="str">
        <x:f>IF(J49=0,"0",IF(J49&lt;=3,"1-3",IF(J49&lt;=6,"4-6","&gt;=7")))</x:f>
        <x:v>1-3</x:v>
      </x:c>
      <x:c r="L49" s="12" t="str">
        <x:f>IF(J49=0,"Baseline-only",IF(J49&lt;=3,"Occasional",IF(J49&lt;=6,"Recurrent","High-frequency")))</x:f>
        <x:v>Occasional</x:v>
      </x:c>
      <x:c r="M49" s="19" t="n">
        <x:v>103.7232702</x:v>
      </x:c>
      <x:c r="N49" s="19" t="n">
        <x:v>1.5353449</x:v>
      </x:c>
      <x:c r="O49" s="12" t="str">
        <x:v>NO</x:v>
      </x:c>
      <x:c r="P49" s="12" t="str">
        <x:v>DO NOT PLOT</x:v>
      </x:c>
      <x:c r="Q49" s="12"/>
      <x:c r="R49" s="12"/>
      <x:c r="S49" s="12" t="str">
        <x:v>LOC-JB-JLN-PERMATANG-6-KEMPAS</x:v>
      </x:c>
      <x:c r="T49" s="12" t="str">
        <x:v>SRC_R2020_BERNAMA_20200405</x:v>
      </x:c>
      <x:c r="U49" s="12"/>
    </x:row>
    <x:row r="50">
      <x:c r="A50" s="12" t="str">
        <x:v>FLOC-0049</x:v>
      </x:c>
      <x:c r="B50" s="12" t="str">
        <x:v>Jalan Permatang Utama, Kampung Kempas Baru</x:v>
      </x:c>
      <x:c r="C50" s="12" t="str">
        <x:v>Flooded road segment / kampung</x:v>
      </x:c>
      <x:c r="D50" s="12" t="str">
        <x:v>JBLOC-0052</x:v>
      </x:c>
      <x:c r="E50" s="12" t="str">
        <x:v>2020</x:v>
      </x:c>
      <x:c r="F50" s="12" t="n">
        <x:v>2020</x:v>
      </x:c>
      <x:c r="G50" s="12" t="n">
        <x:v>2020</x:v>
      </x:c>
      <x:c r="H50" s="18" t="n">
        <x:v>44154</x:v>
      </x:c>
      <x:c r="I50" s="18" t="n">
        <x:v>44154</x:v>
      </x:c>
      <x:c r="J50" s="12" t="n">
        <x:f>COUNTIF('03_Independent_Episodes'!$A$2:$A$345,A50)</x:f>
        <x:v>1</x:v>
      </x:c>
      <x:c r="K50" s="12" t="str">
        <x:f>IF(J50=0,"0",IF(J50&lt;=3,"1-3",IF(J50&lt;=6,"4-6","&gt;=7")))</x:f>
        <x:v>1-3</x:v>
      </x:c>
      <x:c r="L50" s="12" t="str">
        <x:f>IF(J50=0,"Baseline-only",IF(J50&lt;=3,"Occasional",IF(J50&lt;=6,"Recurrent","High-frequency")))</x:f>
        <x:v>Occasional</x:v>
      </x:c>
      <x:c r="M50" s="19" t="n">
        <x:v>103.70542453</x:v>
      </x:c>
      <x:c r="N50" s="19" t="n">
        <x:v>1.5278641</x:v>
      </x:c>
      <x:c r="O50" s="12" t="str">
        <x:v>NO</x:v>
      </x:c>
      <x:c r="P50" s="12" t="str">
        <x:v>DO NOT PLOT</x:v>
      </x:c>
      <x:c r="Q50" s="12"/>
      <x:c r="R50" s="12"/>
      <x:c r="S50" s="12" t="str">
        <x:v>LOC-JB-JLN-PERMATANG-UTAMA-KEMPAS-BARU</x:v>
      </x:c>
      <x:c r="T50" s="12" t="str">
        <x:v>SRC_R2020_MMAIL_20201119</x:v>
      </x:c>
      <x:c r="U50" s="12"/>
    </x:row>
    <x:row r="51">
      <x:c r="A51" s="12" t="str">
        <x:v>FLOC-0050</x:v>
      </x:c>
      <x:c r="B51" s="12" t="str">
        <x:v>Jalan Permatang, Kempas</x:v>
      </x:c>
      <x:c r="C51" s="12" t="str">
        <x:v>Road</x:v>
      </x:c>
      <x:c r="D51" s="12" t="str">
        <x:v>JBLOC-0051</x:v>
      </x:c>
      <x:c r="E51" s="12" t="str">
        <x:v>2018</x:v>
      </x:c>
      <x:c r="F51" s="12" t="n">
        <x:v>2018</x:v>
      </x:c>
      <x:c r="G51" s="12" t="n">
        <x:v>2018</x:v>
      </x:c>
      <x:c r="H51" s="18" t="n">
        <x:v>43210</x:v>
      </x:c>
      <x:c r="I51" s="18" t="n">
        <x:v>43210</x:v>
      </x:c>
      <x:c r="J51" s="12" t="n">
        <x:f>COUNTIF('03_Independent_Episodes'!$A$2:$A$345,A51)</x:f>
        <x:v>1</x:v>
      </x:c>
      <x:c r="K51" s="12" t="str">
        <x:f>IF(J51=0,"0",IF(J51&lt;=3,"1-3",IF(J51&lt;=6,"4-6","&gt;=7")))</x:f>
        <x:v>1-3</x:v>
      </x:c>
      <x:c r="L51" s="12" t="str">
        <x:f>IF(J51=0,"Baseline-only",IF(J51&lt;=3,"Occasional",IF(J51&lt;=6,"Recurrent","High-frequency")))</x:f>
        <x:v>Occasional</x:v>
      </x:c>
      <x:c r="M51" s="19" t="n">
        <x:v>103.7232702328</x:v>
      </x:c>
      <x:c r="N51" s="19" t="n">
        <x:v>1.5353449124</x:v>
      </x:c>
      <x:c r="O51" s="12" t="str">
        <x:v>YES</x:v>
      </x:c>
      <x:c r="P51" s="12" t="str">
        <x:v>PLOT</x:v>
      </x:c>
      <x:c r="Q51" s="12"/>
      <x:c r="R51" s="12"/>
      <x:c r="S51" s="12" t="str">
        <x:v>LOC-JB-JLN-PERMATANG-KEMPAS</x:v>
      </x:c>
      <x:c r="T51" s="12" t="str">
        <x:v>SRC_GEO_2018_JALAN_PERMATANG_KTMB</x:v>
      </x:c>
      <x:c r="U51" s="12"/>
    </x:row>
    <x:row r="52">
      <x:c r="A52" s="12" t="str">
        <x:v>FLOC-0051</x:v>
      </x:c>
      <x:c r="B52" s="12" t="str">
        <x:v>Jalan Persiaran Molek Utama, Taman Molek</x:v>
      </x:c>
      <x:c r="C52" s="12" t="str">
        <x:v>ROAD</x:v>
      </x:c>
      <x:c r="D52" s="12" t="str">
        <x:v>JBLOC-0053</x:v>
      </x:c>
      <x:c r="E52" s="12" t="str">
        <x:v>2023</x:v>
      </x:c>
      <x:c r="F52" s="12" t="n">
        <x:v>2023</x:v>
      </x:c>
      <x:c r="G52" s="12" t="n">
        <x:v>2023</x:v>
      </x:c>
      <x:c r="H52" s="18" t="n">
        <x:v>45274</x:v>
      </x:c>
      <x:c r="I52" s="18" t="n">
        <x:v>45274</x:v>
      </x:c>
      <x:c r="J52" s="12" t="n">
        <x:f>COUNTIF('03_Independent_Episodes'!$A$2:$A$345,A52)</x:f>
        <x:v>1</x:v>
      </x:c>
      <x:c r="K52" s="12" t="str">
        <x:f>IF(J52=0,"0",IF(J52&lt;=3,"1-3",IF(J52&lt;=6,"4-6","&gt;=7")))</x:f>
        <x:v>1-3</x:v>
      </x:c>
      <x:c r="L52" s="12" t="str">
        <x:f>IF(J52=0,"Baseline-only",IF(J52&lt;=3,"Occasional",IF(J52&lt;=6,"Recurrent","High-frequency")))</x:f>
        <x:v>Occasional</x:v>
      </x:c>
      <x:c r="M52" s="19"/>
      <x:c r="N52" s="19"/>
      <x:c r="O52" s="12" t="str">
        <x:v>NO</x:v>
      </x:c>
      <x:c r="P52" s="12" t="str">
        <x:v>DO NOT PLOT</x:v>
      </x:c>
      <x:c r="Q52" s="12"/>
      <x:c r="R52" s="12"/>
      <x:c r="S52" s="12" t="str">
        <x:v>S2023-057</x:v>
      </x:c>
      <x:c r="T52" s="12"/>
      <x:c r="U52" s="12"/>
    </x:row>
    <x:row r="53">
      <x:c r="A53" s="12" t="str">
        <x:v>FLOC-0052</x:v>
      </x:c>
      <x:c r="B53" s="12" t="str">
        <x:v>Jalan Ros Merah</x:v>
      </x:c>
      <x:c r="C53" s="12" t="str">
        <x:v>ROAD; Road</x:v>
      </x:c>
      <x:c r="D53" s="12" t="str">
        <x:v>JBLOC-0054</x:v>
      </x:c>
      <x:c r="E53" s="12" t="str">
        <x:v>2017;2020</x:v>
      </x:c>
      <x:c r="F53" s="12" t="n">
        <x:v>2017</x:v>
      </x:c>
      <x:c r="G53" s="12" t="n">
        <x:v>2020</x:v>
      </x:c>
      <x:c r="H53" s="18" t="n">
        <x:v>42887</x:v>
      </x:c>
      <x:c r="I53" s="18" t="n">
        <x:v>43986</x:v>
      </x:c>
      <x:c r="J53" s="12" t="n">
        <x:f>COUNTIF('03_Independent_Episodes'!$A$2:$A$345,A53)</x:f>
        <x:v>2</x:v>
      </x:c>
      <x:c r="K53" s="12" t="str">
        <x:f>IF(J53=0,"0",IF(J53&lt;=3,"1-3",IF(J53&lt;=6,"4-6","&gt;=7")))</x:f>
        <x:v>1-3</x:v>
      </x:c>
      <x:c r="L53" s="12" t="str">
        <x:f>IF(J53=0,"Baseline-only",IF(J53&lt;=3,"Occasional",IF(J53&lt;=6,"Recurrent","High-frequency")))</x:f>
        <x:v>Occasional</x:v>
      </x:c>
      <x:c r="M53" s="19" t="n">
        <x:v>103.7947712</x:v>
      </x:c>
      <x:c r="N53" s="19" t="n">
        <x:v>1.534148</x:v>
      </x:c>
      <x:c r="O53" s="12" t="str">
        <x:v>YES</x:v>
      </x:c>
      <x:c r="P53" s="12" t="str">
        <x:v>PLOT</x:v>
      </x:c>
      <x:c r="Q53" s="12"/>
      <x:c r="R53" s="12"/>
      <x:c r="S53" s="12" t="str">
        <x:v>LOC-JB-JLN-ROS-MERAH</x:v>
      </x:c>
      <x:c r="T53" s="12" t="str">
        <x:v>SRC_GEO_JALAN_ROS_MERAH</x:v>
      </x:c>
      <x:c r="U53" s="12"/>
    </x:row>
    <x:row r="54">
      <x:c r="A54" s="12" t="str">
        <x:v>FLOC-0053</x:v>
      </x:c>
      <x:c r="B54" s="12" t="str">
        <x:v>Jalan Rosmerah Utama</x:v>
      </x:c>
      <x:c r="C54" s="12" t="str">
        <x:v>ROAD</x:v>
      </x:c>
      <x:c r="D54" s="12" t="str">
        <x:v>JBLOC-0055</x:v>
      </x:c>
      <x:c r="E54" s="12" t="str">
        <x:v>2023</x:v>
      </x:c>
      <x:c r="F54" s="12" t="n">
        <x:v>2023</x:v>
      </x:c>
      <x:c r="G54" s="12" t="n">
        <x:v>2023</x:v>
      </x:c>
      <x:c r="H54" s="18" t="n">
        <x:v>45274</x:v>
      </x:c>
      <x:c r="I54" s="18" t="n">
        <x:v>45274</x:v>
      </x:c>
      <x:c r="J54" s="12" t="n">
        <x:f>COUNTIF('03_Independent_Episodes'!$A$2:$A$345,A54)</x:f>
        <x:v>1</x:v>
      </x:c>
      <x:c r="K54" s="12" t="str">
        <x:f>IF(J54=0,"0",IF(J54&lt;=3,"1-3",IF(J54&lt;=6,"4-6","&gt;=7")))</x:f>
        <x:v>1-3</x:v>
      </x:c>
      <x:c r="L54" s="12" t="str">
        <x:f>IF(J54=0,"Baseline-only",IF(J54&lt;=3,"Occasional",IF(J54&lt;=6,"Recurrent","High-frequency")))</x:f>
        <x:v>Occasional</x:v>
      </x:c>
      <x:c r="M54" s="19"/>
      <x:c r="N54" s="19"/>
      <x:c r="O54" s="12" t="str">
        <x:v>NO</x:v>
      </x:c>
      <x:c r="P54" s="12" t="str">
        <x:v>DO NOT PLOT</x:v>
      </x:c>
      <x:c r="Q54" s="12"/>
      <x:c r="R54" s="12"/>
      <x:c r="S54" s="12" t="str">
        <x:v>S2023-047</x:v>
      </x:c>
      <x:c r="T54" s="12"/>
      <x:c r="U54" s="12"/>
    </x:row>
    <x:row r="55">
      <x:c r="A55" s="12" t="str">
        <x:v>FLOC-0054</x:v>
      </x:c>
      <x:c r="B55" s="12" t="str">
        <x:v>Jalan Seelong Jaya 2</x:v>
      </x:c>
      <x:c r="C55" s="12" t="str">
        <x:v>ROAD</x:v>
      </x:c>
      <x:c r="D55" s="12" t="str">
        <x:v>JBLOC-0056</x:v>
      </x:c>
      <x:c r="E55" s="12" t="str">
        <x:v>2022</x:v>
      </x:c>
      <x:c r="F55" s="12" t="n">
        <x:v>2022</x:v>
      </x:c>
      <x:c r="G55" s="12" t="n">
        <x:v>2022</x:v>
      </x:c>
      <x:c r="H55" s="18" t="n">
        <x:v>44793</x:v>
      </x:c>
      <x:c r="I55" s="18" t="n">
        <x:v>44793</x:v>
      </x:c>
      <x:c r="J55" s="12" t="n">
        <x:f>COUNTIF('03_Independent_Episodes'!$A$2:$A$345,A55)</x:f>
        <x:v>1</x:v>
      </x:c>
      <x:c r="K55" s="12" t="str">
        <x:f>IF(J55=0,"0",IF(J55&lt;=3,"1-3",IF(J55&lt;=6,"4-6","&gt;=7")))</x:f>
        <x:v>1-3</x:v>
      </x:c>
      <x:c r="L55" s="12" t="str">
        <x:f>IF(J55=0,"Baseline-only",IF(J55&lt;=3,"Occasional",IF(J55&lt;=6,"Recurrent","High-frequency")))</x:f>
        <x:v>Occasional</x:v>
      </x:c>
      <x:c r="M55" s="19"/>
      <x:c r="N55" s="19"/>
      <x:c r="O55" s="12" t="str">
        <x:v>NO</x:v>
      </x:c>
      <x:c r="P55" s="12" t="str">
        <x:v>DO NOT PLOT</x:v>
      </x:c>
      <x:c r="Q55" s="12"/>
      <x:c r="R55" s="12"/>
      <x:c r="S55" s="12" t="str">
        <x:v>S2022-019</x:v>
      </x:c>
      <x:c r="T55" s="12"/>
      <x:c r="U55" s="12"/>
    </x:row>
    <x:row r="56">
      <x:c r="A56" s="12" t="str">
        <x:v>FLOC-0055</x:v>
      </x:c>
      <x:c r="B56" s="12" t="str">
        <x:v>Jalan Seri Pelangi–Stulang Laut approach</x:v>
      </x:c>
      <x:c r="C56" s="12" t="str">
        <x:v>ROAD</x:v>
      </x:c>
      <x:c r="D56" s="12" t="str">
        <x:v>JBLOC-0057</x:v>
      </x:c>
      <x:c r="E56" s="12" t="str">
        <x:v>2022</x:v>
      </x:c>
      <x:c r="F56" s="12" t="n">
        <x:v>2022</x:v>
      </x:c>
      <x:c r="G56" s="12" t="n">
        <x:v>2022</x:v>
      </x:c>
      <x:c r="H56" s="18" t="n">
        <x:v>44775</x:v>
      </x:c>
      <x:c r="I56" s="18" t="n">
        <x:v>44775</x:v>
      </x:c>
      <x:c r="J56" s="12" t="n">
        <x:f>COUNTIF('03_Independent_Episodes'!$A$2:$A$345,A56)</x:f>
        <x:v>1</x:v>
      </x:c>
      <x:c r="K56" s="12" t="str">
        <x:f>IF(J56=0,"0",IF(J56&lt;=3,"1-3",IF(J56&lt;=6,"4-6","&gt;=7")))</x:f>
        <x:v>1-3</x:v>
      </x:c>
      <x:c r="L56" s="12" t="str">
        <x:f>IF(J56=0,"Baseline-only",IF(J56&lt;=3,"Occasional",IF(J56&lt;=6,"Recurrent","High-frequency")))</x:f>
        <x:v>Occasional</x:v>
      </x:c>
      <x:c r="M56" s="19"/>
      <x:c r="N56" s="19"/>
      <x:c r="O56" s="12" t="str">
        <x:v>NO</x:v>
      </x:c>
      <x:c r="P56" s="12" t="str">
        <x:v>DO NOT PLOT</x:v>
      </x:c>
      <x:c r="Q56" s="12"/>
      <x:c r="R56" s="12"/>
      <x:c r="S56" s="12" t="str">
        <x:v>S2022-016</x:v>
      </x:c>
      <x:c r="T56" s="12"/>
      <x:c r="U56" s="12"/>
    </x:row>
    <x:row r="57">
      <x:c r="A57" s="12" t="str">
        <x:v>FLOC-0056</x:v>
      </x:c>
      <x:c r="B57" s="12" t="str">
        <x:v>Jalan Serigala</x:v>
      </x:c>
      <x:c r="C57" s="12" t="str">
        <x:v>ROAD</x:v>
      </x:c>
      <x:c r="D57" s="12" t="str">
        <x:v>JBLOC-0058</x:v>
      </x:c>
      <x:c r="E57" s="12" t="str">
        <x:v>2023</x:v>
      </x:c>
      <x:c r="F57" s="12" t="n">
        <x:v>2023</x:v>
      </x:c>
      <x:c r="G57" s="12" t="n">
        <x:v>2023</x:v>
      </x:c>
      <x:c r="H57" s="18" t="n">
        <x:v>45266</x:v>
      </x:c>
      <x:c r="I57" s="18" t="n">
        <x:v>45266</x:v>
      </x:c>
      <x:c r="J57" s="12" t="n">
        <x:f>COUNTIF('03_Independent_Episodes'!$A$2:$A$345,A57)</x:f>
        <x:v>1</x:v>
      </x:c>
      <x:c r="K57" s="12" t="str">
        <x:f>IF(J57=0,"0",IF(J57&lt;=3,"1-3",IF(J57&lt;=6,"4-6","&gt;=7")))</x:f>
        <x:v>1-3</x:v>
      </x:c>
      <x:c r="L57" s="12" t="str">
        <x:f>IF(J57=0,"Baseline-only",IF(J57&lt;=3,"Occasional",IF(J57&lt;=6,"Recurrent","High-frequency")))</x:f>
        <x:v>Occasional</x:v>
      </x:c>
      <x:c r="M57" s="19" t="n">
        <x:v>103.760885</x:v>
      </x:c>
      <x:c r="N57" s="19" t="n">
        <x:v>1.48538309999999</x:v>
      </x:c>
      <x:c r="O57" s="12" t="str">
        <x:v>YES</x:v>
      </x:c>
      <x:c r="P57" s="12" t="str">
        <x:v>PLOT</x:v>
      </x:c>
      <x:c r="Q57" s="12"/>
      <x:c r="R57" s="12" t="str">
        <x:v>HF31</x:v>
      </x:c>
      <x:c r="S57" s="12" t="str">
        <x:v>S2023-031</x:v>
      </x:c>
      <x:c r="T57" s="12" t="str">
        <x:v>Fixed45 baseline</x:v>
      </x:c>
      <x:c r="U57" s="12"/>
    </x:row>
    <x:row r="58">
      <x:c r="A58" s="12" t="str">
        <x:v>FLOC-0057</x:v>
      </x:c>
      <x:c r="B58" s="12" t="str">
        <x:v>Jalan Setia 10, Setia Indah</x:v>
      </x:c>
      <x:c r="C58" s="12" t="str">
        <x:v>ROAD</x:v>
      </x:c>
      <x:c r="D58" s="12" t="str">
        <x:v>JBLOC-0059</x:v>
      </x:c>
      <x:c r="E58" s="12" t="str">
        <x:v>2023</x:v>
      </x:c>
      <x:c r="F58" s="12" t="n">
        <x:v>2023</x:v>
      </x:c>
      <x:c r="G58" s="12" t="n">
        <x:v>2023</x:v>
      </x:c>
      <x:c r="H58" s="18" t="n">
        <x:v>45274</x:v>
      </x:c>
      <x:c r="I58" s="18" t="n">
        <x:v>45274</x:v>
      </x:c>
      <x:c r="J58" s="12" t="n">
        <x:f>COUNTIF('03_Independent_Episodes'!$A$2:$A$345,A58)</x:f>
        <x:v>1</x:v>
      </x:c>
      <x:c r="K58" s="12" t="str">
        <x:f>IF(J58=0,"0",IF(J58&lt;=3,"1-3",IF(J58&lt;=6,"4-6","&gt;=7")))</x:f>
        <x:v>1-3</x:v>
      </x:c>
      <x:c r="L58" s="12" t="str">
        <x:f>IF(J58=0,"Baseline-only",IF(J58&lt;=3,"Occasional",IF(J58&lt;=6,"Recurrent","High-frequency")))</x:f>
        <x:v>Occasional</x:v>
      </x:c>
      <x:c r="M58" s="19"/>
      <x:c r="N58" s="19"/>
      <x:c r="O58" s="12" t="str">
        <x:v>NO</x:v>
      </x:c>
      <x:c r="P58" s="12" t="str">
        <x:v>DO NOT PLOT</x:v>
      </x:c>
      <x:c r="Q58" s="12"/>
      <x:c r="R58" s="12"/>
      <x:c r="S58" s="12" t="str">
        <x:v>S2023-048</x:v>
      </x:c>
      <x:c r="T58" s="12"/>
      <x:c r="U58" s="12"/>
    </x:row>
    <x:row r="59">
      <x:c r="A59" s="12" t="str">
        <x:v>FLOC-0058</x:v>
      </x:c>
      <x:c r="B59" s="12" t="str">
        <x:v>Jalan Setia 11, Setia Indah</x:v>
      </x:c>
      <x:c r="C59" s="12" t="str">
        <x:v>ROAD</x:v>
      </x:c>
      <x:c r="D59" s="12" t="str">
        <x:v>JBLOC-0060</x:v>
      </x:c>
      <x:c r="E59" s="12" t="str">
        <x:v>2023</x:v>
      </x:c>
      <x:c r="F59" s="12" t="n">
        <x:v>2023</x:v>
      </x:c>
      <x:c r="G59" s="12" t="n">
        <x:v>2023</x:v>
      </x:c>
      <x:c r="H59" s="18" t="n">
        <x:v>45274</x:v>
      </x:c>
      <x:c r="I59" s="18" t="n">
        <x:v>45274</x:v>
      </x:c>
      <x:c r="J59" s="12" t="n">
        <x:f>COUNTIF('03_Independent_Episodes'!$A$2:$A$345,A59)</x:f>
        <x:v>1</x:v>
      </x:c>
      <x:c r="K59" s="12" t="str">
        <x:f>IF(J59=0,"0",IF(J59&lt;=3,"1-3",IF(J59&lt;=6,"4-6","&gt;=7")))</x:f>
        <x:v>1-3</x:v>
      </x:c>
      <x:c r="L59" s="12" t="str">
        <x:f>IF(J59=0,"Baseline-only",IF(J59&lt;=3,"Occasional",IF(J59&lt;=6,"Recurrent","High-frequency")))</x:f>
        <x:v>Occasional</x:v>
      </x:c>
      <x:c r="M59" s="19"/>
      <x:c r="N59" s="19"/>
      <x:c r="O59" s="12" t="str">
        <x:v>NO</x:v>
      </x:c>
      <x:c r="P59" s="12" t="str">
        <x:v>DO NOT PLOT</x:v>
      </x:c>
      <x:c r="Q59" s="12"/>
      <x:c r="R59" s="12"/>
      <x:c r="S59" s="12" t="str">
        <x:v>S2023-051</x:v>
      </x:c>
      <x:c r="T59" s="12"/>
      <x:c r="U59" s="12"/>
    </x:row>
    <x:row r="60">
      <x:c r="A60" s="12" t="str">
        <x:v>FLOC-0059</x:v>
      </x:c>
      <x:c r="B60" s="12" t="str">
        <x:v>Jalan Skudai</x:v>
      </x:c>
      <x:c r="C60" s="12" t="str">
        <x:v>ROAD</x:v>
      </x:c>
      <x:c r="D60" s="12" t="str">
        <x:v>JBLOC-0061</x:v>
      </x:c>
      <x:c r="E60" s="12" t="str">
        <x:v>2023</x:v>
      </x:c>
      <x:c r="F60" s="12" t="n">
        <x:v>2023</x:v>
      </x:c>
      <x:c r="G60" s="12" t="n">
        <x:v>2023</x:v>
      </x:c>
      <x:c r="H60" s="18" t="n">
        <x:v>45274</x:v>
      </x:c>
      <x:c r="I60" s="18" t="n">
        <x:v>45274</x:v>
      </x:c>
      <x:c r="J60" s="12" t="n">
        <x:f>COUNTIF('03_Independent_Episodes'!$A$2:$A$345,A60)</x:f>
        <x:v>1</x:v>
      </x:c>
      <x:c r="K60" s="12" t="str">
        <x:f>IF(J60=0,"0",IF(J60&lt;=3,"1-3",IF(J60&lt;=6,"4-6","&gt;=7")))</x:f>
        <x:v>1-3</x:v>
      </x:c>
      <x:c r="L60" s="12" t="str">
        <x:f>IF(J60=0,"Baseline-only",IF(J60&lt;=3,"Occasional",IF(J60&lt;=6,"Recurrent","High-frequency")))</x:f>
        <x:v>Occasional</x:v>
      </x:c>
      <x:c r="M60" s="19" t="n">
        <x:v>103.7256712</x:v>
      </x:c>
      <x:c r="N60" s="19" t="n">
        <x:v>1.4714218</x:v>
      </x:c>
      <x:c r="O60" s="12" t="str">
        <x:v>YES</x:v>
      </x:c>
      <x:c r="P60" s="12" t="str">
        <x:v>PLOT</x:v>
      </x:c>
      <x:c r="Q60" s="12"/>
      <x:c r="R60" s="12"/>
      <x:c r="S60" s="12" t="str">
        <x:v>S2023-054</x:v>
      </x:c>
      <x:c r="T60" s="12" t="str">
        <x:v>PLOT</x:v>
      </x:c>
      <x:c r="U60" s="12"/>
    </x:row>
    <x:row r="61">
      <x:c r="A61" s="12" t="str">
        <x:v>FLOC-0060</x:v>
      </x:c>
      <x:c r="B61" s="12" t="str">
        <x:v>Jalan Stulang Darat</x:v>
      </x:c>
      <x:c r="C61" s="12" t="str">
        <x:v>ROAD</x:v>
      </x:c>
      <x:c r="D61" s="12" t="str">
        <x:v>JBLOC-0062</x:v>
      </x:c>
      <x:c r="E61" s="12" t="str">
        <x:v>2023</x:v>
      </x:c>
      <x:c r="F61" s="12" t="n">
        <x:v>2023</x:v>
      </x:c>
      <x:c r="G61" s="12" t="n">
        <x:v>2023</x:v>
      </x:c>
      <x:c r="H61" s="18" t="n">
        <x:v>45266</x:v>
      </x:c>
      <x:c r="I61" s="18" t="n">
        <x:v>45266</x:v>
      </x:c>
      <x:c r="J61" s="12" t="n">
        <x:f>COUNTIF('03_Independent_Episodes'!$A$2:$A$345,A61)</x:f>
        <x:v>1</x:v>
      </x:c>
      <x:c r="K61" s="12" t="str">
        <x:f>IF(J61=0,"0",IF(J61&lt;=3,"1-3",IF(J61&lt;=6,"4-6","&gt;=7")))</x:f>
        <x:v>1-3</x:v>
      </x:c>
      <x:c r="L61" s="12" t="str">
        <x:f>IF(J61=0,"Baseline-only",IF(J61&lt;=3,"Occasional",IF(J61&lt;=6,"Recurrent","High-frequency")))</x:f>
        <x:v>Occasional</x:v>
      </x:c>
      <x:c r="M61" s="19" t="n">
        <x:v>103.7773894</x:v>
      </x:c>
      <x:c r="N61" s="19" t="n">
        <x:v>1.47246319999999</x:v>
      </x:c>
      <x:c r="O61" s="12" t="str">
        <x:v>YES</x:v>
      </x:c>
      <x:c r="P61" s="12" t="str">
        <x:v>PLOT</x:v>
      </x:c>
      <x:c r="Q61" s="12"/>
      <x:c r="R61" s="12" t="str">
        <x:v>HF10</x:v>
      </x:c>
      <x:c r="S61" s="12" t="str">
        <x:v>S2023-032</x:v>
      </x:c>
      <x:c r="T61" s="12" t="str">
        <x:v>Fixed45 baseline</x:v>
      </x:c>
      <x:c r="U61" s="12"/>
    </x:row>
    <x:row r="62">
      <x:c r="A62" s="12" t="str">
        <x:v>FLOC-0061</x:v>
      </x:c>
      <x:c r="B62" s="12" t="str">
        <x:v>Jalan Sukun, Kampung Pasir</x:v>
      </x:c>
      <x:c r="C62" s="12" t="str">
        <x:v>ROAD/ROAD SEGMENT; Road within flood locality</x:v>
      </x:c>
      <x:c r="D62" s="12" t="str">
        <x:v>JBLOC-0063</x:v>
      </x:c>
      <x:c r="E62" s="12" t="str">
        <x:v>2018;2025</x:v>
      </x:c>
      <x:c r="F62" s="12" t="n">
        <x:v>2018</x:v>
      </x:c>
      <x:c r="G62" s="12" t="n">
        <x:v>2025</x:v>
      </x:c>
      <x:c r="H62" s="18" t="n">
        <x:v>43402</x:v>
      </x:c>
      <x:c r="I62" s="18" t="n">
        <x:v>45736</x:v>
      </x:c>
      <x:c r="J62" s="12" t="n">
        <x:f>COUNTIF('03_Independent_Episodes'!$A$2:$A$345,A62)</x:f>
        <x:v>2</x:v>
      </x:c>
      <x:c r="K62" s="12" t="str">
        <x:f>IF(J62=0,"0",IF(J62&lt;=3,"1-3",IF(J62&lt;=6,"4-6","&gt;=7")))</x:f>
        <x:v>1-3</x:v>
      </x:c>
      <x:c r="L62" s="12" t="str">
        <x:f>IF(J62=0,"Baseline-only",IF(J62&lt;=3,"Occasional",IF(J62&lt;=6,"Recurrent","High-frequency")))</x:f>
        <x:v>Occasional</x:v>
      </x:c>
      <x:c r="M62" s="19" t="n">
        <x:v>103.6963972</x:v>
      </x:c>
      <x:c r="N62" s="19" t="n">
        <x:v>1.4999611</x:v>
      </x:c>
      <x:c r="O62" s="12" t="str">
        <x:v>YES</x:v>
      </x:c>
      <x:c r="P62" s="12" t="str">
        <x:v>PLOT</x:v>
      </x:c>
      <x:c r="Q62" s="12"/>
      <x:c r="R62" s="12"/>
      <x:c r="S62" s="12" t="str">
        <x:v>LOC-JB-JLN-SUKUN-KG-PASIR; S2025-018</x:v>
      </x:c>
      <x:c r="T62" s="12" t="str">
        <x:v>SRC_GEO_2018_JALAN_SUKUN</x:v>
      </x:c>
      <x:c r="U62" s="12"/>
    </x:row>
    <x:row r="63">
      <x:c r="A63" s="12" t="str">
        <x:v>FLOC-0062</x:v>
      </x:c>
      <x:c r="B63" s="12" t="str">
        <x:v>Jalan Sungai Chat</x:v>
      </x:c>
      <x:c r="C63" s="12" t="str">
        <x:v>ROAD; ROAD/ROAD CONTEXT; ROAD/ROAD SEGMENT</x:v>
      </x:c>
      <x:c r="D63" s="12" t="str">
        <x:v>JBLOC-0064</x:v>
      </x:c>
      <x:c r="E63" s="12" t="str">
        <x:v>2023;2025;2026</x:v>
      </x:c>
      <x:c r="F63" s="12" t="n">
        <x:v>2023</x:v>
      </x:c>
      <x:c r="G63" s="12" t="n">
        <x:v>2026</x:v>
      </x:c>
      <x:c r="H63" s="18" t="n">
        <x:v>45266</x:v>
      </x:c>
      <x:c r="I63" s="18" t="n">
        <x:v>46295</x:v>
      </x:c>
      <x:c r="J63" s="12" t="n">
        <x:f>COUNTIF('03_Independent_Episodes'!$A$2:$A$345,A63)</x:f>
        <x:v>3</x:v>
      </x:c>
      <x:c r="K63" s="12" t="str">
        <x:f>IF(J63=0,"0",IF(J63&lt;=3,"1-3",IF(J63&lt;=6,"4-6","&gt;=7")))</x:f>
        <x:v>1-3</x:v>
      </x:c>
      <x:c r="L63" s="12" t="str">
        <x:f>IF(J63=0,"Baseline-only",IF(J63&lt;=3,"Occasional",IF(J63&lt;=6,"Recurrent","High-frequency")))</x:f>
        <x:v>Occasional</x:v>
      </x:c>
      <x:c r="M63" s="19" t="n">
        <x:v>103.7385575</x:v>
      </x:c>
      <x:c r="N63" s="19" t="n">
        <x:v>1.4609922</x:v>
      </x:c>
      <x:c r="O63" s="12" t="str">
        <x:v>YES</x:v>
      </x:c>
      <x:c r="P63" s="12" t="str">
        <x:v>PLOT</x:v>
      </x:c>
      <x:c r="Q63" s="12"/>
      <x:c r="R63" s="12" t="str">
        <x:v>HF04</x:v>
      </x:c>
      <x:c r="S63" s="12" t="str">
        <x:v>S2023-044; S2025-036; S2026-011</x:v>
      </x:c>
      <x:c r="T63" s="12" t="str">
        <x:v>Fixed45 baseline</x:v>
      </x:c>
      <x:c r="U63" s="12"/>
    </x:row>
    <x:row r="64">
      <x:c r="A64" s="12" t="str">
        <x:v>FLOC-0063</x:v>
      </x:c>
      <x:c r="B64" s="12" t="str">
        <x:v>Jalan Tampoi</x:v>
      </x:c>
      <x:c r="C64" s="12" t="str">
        <x:v>ROAD</x:v>
      </x:c>
      <x:c r="D64" s="12" t="str">
        <x:v>JBLOC-0065</x:v>
      </x:c>
      <x:c r="E64" s="12" t="str">
        <x:v>2023</x:v>
      </x:c>
      <x:c r="F64" s="12" t="n">
        <x:v>2023</x:v>
      </x:c>
      <x:c r="G64" s="12" t="n">
        <x:v>2023</x:v>
      </x:c>
      <x:c r="H64" s="18" t="n">
        <x:v>45274</x:v>
      </x:c>
      <x:c r="I64" s="18" t="n">
        <x:v>45274</x:v>
      </x:c>
      <x:c r="J64" s="12" t="n">
        <x:f>COUNTIF('03_Independent_Episodes'!$A$2:$A$345,A64)</x:f>
        <x:v>1</x:v>
      </x:c>
      <x:c r="K64" s="12" t="str">
        <x:f>IF(J64=0,"0",IF(J64&lt;=3,"1-3",IF(J64&lt;=6,"4-6","&gt;=7")))</x:f>
        <x:v>1-3</x:v>
      </x:c>
      <x:c r="L64" s="12" t="str">
        <x:f>IF(J64=0,"Baseline-only",IF(J64&lt;=3,"Occasional",IF(J64&lt;=6,"Recurrent","High-frequency")))</x:f>
        <x:v>Occasional</x:v>
      </x:c>
      <x:c r="M64" s="19" t="n">
        <x:v>103.708266</x:v>
      </x:c>
      <x:c r="N64" s="19" t="n">
        <x:v>1.500366</x:v>
      </x:c>
      <x:c r="O64" s="12" t="str">
        <x:v>YES</x:v>
      </x:c>
      <x:c r="P64" s="12" t="str">
        <x:v>PLOT</x:v>
      </x:c>
      <x:c r="Q64" s="12"/>
      <x:c r="R64" s="12"/>
      <x:c r="S64" s="12" t="str">
        <x:v>S2023-055</x:v>
      </x:c>
      <x:c r="T64" s="12" t="str">
        <x:v>PLOT</x:v>
      </x:c>
      <x:c r="U64" s="12"/>
    </x:row>
    <x:row r="65">
      <x:c r="A65" s="12" t="str">
        <x:v>FLOC-0064</x:v>
      </x:c>
      <x:c r="B65" s="12" t="str">
        <x:v>Jalan Tawakal, Kampung Melayu Kangkar Pulai</x:v>
      </x:c>
      <x:c r="C65" s="12" t="str">
        <x:v>Road within residential community</x:v>
      </x:c>
      <x:c r="D65" s="12" t="str">
        <x:v>JBLOC-0066</x:v>
      </x:c>
      <x:c r="E65" s="12" t="str">
        <x:v>2020</x:v>
      </x:c>
      <x:c r="F65" s="12" t="n">
        <x:v>2020</x:v>
      </x:c>
      <x:c r="G65" s="12" t="n">
        <x:v>2020</x:v>
      </x:c>
      <x:c r="H65" s="18" t="n">
        <x:v>43964</x:v>
      </x:c>
      <x:c r="I65" s="18" t="n">
        <x:v>43964</x:v>
      </x:c>
      <x:c r="J65" s="12" t="n">
        <x:f>COUNTIF('03_Independent_Episodes'!$A$2:$A$345,A65)</x:f>
        <x:v>1</x:v>
      </x:c>
      <x:c r="K65" s="12" t="str">
        <x:f>IF(J65=0,"0",IF(J65&lt;=3,"1-3",IF(J65&lt;=6,"4-6","&gt;=7")))</x:f>
        <x:v>1-3</x:v>
      </x:c>
      <x:c r="L65" s="12" t="str">
        <x:f>IF(J65=0,"Baseline-only",IF(J65&lt;=3,"Occasional",IF(J65&lt;=6,"Recurrent","High-frequency")))</x:f>
        <x:v>Occasional</x:v>
      </x:c>
      <x:c r="M65" s="19" t="n">
        <x:v>103.58622188</x:v>
      </x:c>
      <x:c r="N65" s="19" t="n">
        <x:v>1.55797471</x:v>
      </x:c>
      <x:c r="O65" s="12" t="str">
        <x:v>YES</x:v>
      </x:c>
      <x:c r="P65" s="12" t="str">
        <x:v>PLOT</x:v>
      </x:c>
      <x:c r="Q65" s="12" t="str">
        <x:v>PG2020-KG-MELAYU-KANGKAR-PULAI</x:v>
      </x:c>
      <x:c r="R65" s="12"/>
      <x:c r="S65" s="12" t="str">
        <x:v>LOC-JB-JLN-TAWAKAL-KG-MELAYU-KANGKAR-PULAI</x:v>
      </x:c>
      <x:c r="T65" s="12" t="str">
        <x:v>SRC_R2020_JPS_2020_TABLE</x:v>
      </x:c>
      <x:c r="U65" s="12"/>
    </x:row>
    <x:row r="66">
      <x:c r="A66" s="12" t="str">
        <x:v>FLOC-0065</x:v>
      </x:c>
      <x:c r="B66" s="12" t="str">
        <x:v>Jalan Tebrau</x:v>
      </x:c>
      <x:c r="C66" s="12" t="str">
        <x:v>ROAD</x:v>
      </x:c>
      <x:c r="D66" s="12" t="str">
        <x:v>JBLOC-0067</x:v>
      </x:c>
      <x:c r="E66" s="12" t="str">
        <x:v>2023</x:v>
      </x:c>
      <x:c r="F66" s="12" t="n">
        <x:v>2023</x:v>
      </x:c>
      <x:c r="G66" s="12" t="n">
        <x:v>2023</x:v>
      </x:c>
      <x:c r="H66" s="18" t="n">
        <x:v>45266</x:v>
      </x:c>
      <x:c r="I66" s="18" t="n">
        <x:v>45266</x:v>
      </x:c>
      <x:c r="J66" s="12" t="n">
        <x:f>COUNTIF('03_Independent_Episodes'!$A$2:$A$345,A66)</x:f>
        <x:v>1</x:v>
      </x:c>
      <x:c r="K66" s="12" t="str">
        <x:f>IF(J66=0,"0",IF(J66&lt;=3,"1-3",IF(J66&lt;=6,"4-6","&gt;=7")))</x:f>
        <x:v>1-3</x:v>
      </x:c>
      <x:c r="L66" s="12" t="str">
        <x:f>IF(J66=0,"Baseline-only",IF(J66&lt;=3,"Occasional",IF(J66&lt;=6,"Recurrent","High-frequency")))</x:f>
        <x:v>Occasional</x:v>
      </x:c>
      <x:c r="M66" s="19" t="n">
        <x:v>103.762918</x:v>
      </x:c>
      <x:c r="N66" s="19" t="n">
        <x:v>1.47486940000001</x:v>
      </x:c>
      <x:c r="O66" s="12" t="str">
        <x:v>YES</x:v>
      </x:c>
      <x:c r="P66" s="12" t="str">
        <x:v>PLOT</x:v>
      </x:c>
      <x:c r="Q66" s="12"/>
      <x:c r="R66" s="12" t="str">
        <x:v>HF05</x:v>
      </x:c>
      <x:c r="S66" s="12" t="str">
        <x:v>S2023-033</x:v>
      </x:c>
      <x:c r="T66" s="12" t="str">
        <x:v>Fixed45 baseline</x:v>
      </x:c>
      <x:c r="U66" s="12"/>
    </x:row>
    <x:row r="67">
      <x:c r="A67" s="12" t="str">
        <x:v>FLOC-0066</x:v>
      </x:c>
      <x:c r="B67" s="12" t="str">
        <x:v>Jalan Tebrau near Wisma Daiman</x:v>
      </x:c>
      <x:c r="C67" s="12" t="str">
        <x:v>ROAD</x:v>
      </x:c>
      <x:c r="D67" s="12" t="str">
        <x:v>JBLOC-0068</x:v>
      </x:c>
      <x:c r="E67" s="12" t="str">
        <x:v>2017</x:v>
      </x:c>
      <x:c r="F67" s="12" t="n">
        <x:v>2017</x:v>
      </x:c>
      <x:c r="G67" s="12" t="n">
        <x:v>2017</x:v>
      </x:c>
      <x:c r="H67" s="18" t="n">
        <x:v>42737</x:v>
      </x:c>
      <x:c r="I67" s="18" t="n">
        <x:v>42737</x:v>
      </x:c>
      <x:c r="J67" s="12" t="n">
        <x:f>COUNTIF('03_Independent_Episodes'!$A$2:$A$345,A67)</x:f>
        <x:v>1</x:v>
      </x:c>
      <x:c r="K67" s="12" t="str">
        <x:f>IF(J67=0,"0",IF(J67&lt;=3,"1-3",IF(J67&lt;=6,"4-6","&gt;=7")))</x:f>
        <x:v>1-3</x:v>
      </x:c>
      <x:c r="L67" s="12" t="str">
        <x:f>IF(J67=0,"Baseline-only",IF(J67&lt;=3,"Occasional",IF(J67&lt;=6,"Recurrent","High-frequency")))</x:f>
        <x:v>Occasional</x:v>
      </x:c>
      <x:c r="M67" s="19" t="n">
        <x:v>103.76676</x:v>
      </x:c>
      <x:c r="N67" s="19" t="n">
        <x:v>1.49464</x:v>
      </x:c>
      <x:c r="O67" s="12" t="str">
        <x:v>YES</x:v>
      </x:c>
      <x:c r="P67" s="12" t="str">
        <x:v>PLOT</x:v>
      </x:c>
      <x:c r="Q67" s="12" t="str">
        <x:v>PG2017-WISMA-DAIMAN-ANCHOR</x:v>
      </x:c>
      <x:c r="R67" s="12"/>
      <x:c r="S67" s="12" t="str">
        <x:v>LOC-JB-JLN-TEBRAU-WISMA-DAIMAN</x:v>
      </x:c>
      <x:c r="T67" s="12" t="str">
        <x:v>SRC_GEO_WISMA_DAIMAN_OSM</x:v>
      </x:c>
      <x:c r="U67" s="12"/>
    </x:row>
    <x:row r="68">
      <x:c r="A68" s="12" t="str">
        <x:v>FLOC-0067</x:v>
      </x:c>
      <x:c r="B68" s="12" t="str">
        <x:v>Jalan Tebrau, Taman Sentosa</x:v>
      </x:c>
      <x:c r="C68" s="12" t="str">
        <x:v>Road-area event reference</x:v>
      </x:c>
      <x:c r="D68" s="12" t="str">
        <x:v>JBLOC-0069</x:v>
      </x:c>
      <x:c r="E68" s="12" t="str">
        <x:v>2018</x:v>
      </x:c>
      <x:c r="F68" s="12" t="n">
        <x:v>2018</x:v>
      </x:c>
      <x:c r="G68" s="12" t="n">
        <x:v>2018</x:v>
      </x:c>
      <x:c r="H68" s="18" t="n">
        <x:v>43383</x:v>
      </x:c>
      <x:c r="I68" s="18" t="n">
        <x:v>43383</x:v>
      </x:c>
      <x:c r="J68" s="12" t="n">
        <x:f>COUNTIF('03_Independent_Episodes'!$A$2:$A$345,A68)</x:f>
        <x:v>1</x:v>
      </x:c>
      <x:c r="K68" s="12" t="str">
        <x:f>IF(J68=0,"0",IF(J68&lt;=3,"1-3",IF(J68&lt;=6,"4-6","&gt;=7")))</x:f>
        <x:v>1-3</x:v>
      </x:c>
      <x:c r="L68" s="12" t="str">
        <x:f>IF(J68=0,"Baseline-only",IF(J68&lt;=3,"Occasional",IF(J68&lt;=6,"Recurrent","High-frequency")))</x:f>
        <x:v>Occasional</x:v>
      </x:c>
      <x:c r="M68" s="19" t="n">
        <x:v>103.7773</x:v>
      </x:c>
      <x:c r="N68" s="19" t="n">
        <x:v>1.4942</x:v>
      </x:c>
      <x:c r="O68" s="12" t="str">
        <x:v>YES</x:v>
      </x:c>
      <x:c r="P68" s="12" t="str">
        <x:v>PLOT</x:v>
      </x:c>
      <x:c r="Q68" s="12"/>
      <x:c r="R68" s="12"/>
      <x:c r="S68" s="12" t="str">
        <x:v>LOC-JB-JLN-TEBRAU-TAMAN-SENTOSA</x:v>
      </x:c>
      <x:c r="T68" s="12" t="str">
        <x:v>SRC_R2018_MMAIL_20181010</x:v>
      </x:c>
      <x:c r="U68" s="12"/>
    </x:row>
    <x:row r="69">
      <x:c r="A69" s="12" t="str">
        <x:v>FLOC-0068</x:v>
      </x:c>
      <x:c r="B69" s="12" t="str">
        <x:v>Jalan Tun Abdul Razak</x:v>
      </x:c>
      <x:c r="C69" s="12" t="str">
        <x:v>ROAD; ROAD/ROAD SEGMENT</x:v>
      </x:c>
      <x:c r="D69" s="12" t="str">
        <x:v>JBLOC-0070</x:v>
      </x:c>
      <x:c r="E69" s="12" t="str">
        <x:v>2022;2023;2025</x:v>
      </x:c>
      <x:c r="F69" s="12" t="n">
        <x:v>2022</x:v>
      </x:c>
      <x:c r="G69" s="12" t="n">
        <x:v>2025</x:v>
      </x:c>
      <x:c r="H69" s="18" t="n">
        <x:v>44775</x:v>
      </x:c>
      <x:c r="I69" s="18" t="n">
        <x:v>46003</x:v>
      </x:c>
      <x:c r="J69" s="12" t="n">
        <x:f>COUNTIF('03_Independent_Episodes'!$A$2:$A$345,A69)</x:f>
        <x:v>3</x:v>
      </x:c>
      <x:c r="K69" s="12" t="str">
        <x:f>IF(J69=0,"0",IF(J69&lt;=3,"1-3",IF(J69&lt;=6,"4-6","&gt;=7")))</x:f>
        <x:v>1-3</x:v>
      </x:c>
      <x:c r="L69" s="12" t="str">
        <x:f>IF(J69=0,"Baseline-only",IF(J69&lt;=3,"Occasional",IF(J69&lt;=6,"Recurrent","High-frequency")))</x:f>
        <x:v>Occasional</x:v>
      </x:c>
      <x:c r="M69" s="19" t="n">
        <x:v>103.7527329</x:v>
      </x:c>
      <x:c r="N69" s="19" t="n">
        <x:v>1.48037910000001</x:v>
      </x:c>
      <x:c r="O69" s="12" t="str">
        <x:v>YES</x:v>
      </x:c>
      <x:c r="P69" s="12" t="str">
        <x:v>PLOT</x:v>
      </x:c>
      <x:c r="Q69" s="12"/>
      <x:c r="R69" s="12" t="str">
        <x:v>HF06</x:v>
      </x:c>
      <x:c r="S69" s="12" t="str">
        <x:v>S2022-008; S2023-034; S2023-035; S2023-036; S2025-040</x:v>
      </x:c>
      <x:c r="T69" s="12" t="str">
        <x:v>Fixed45 baseline</x:v>
      </x:c>
      <x:c r="U69" s="12"/>
    </x:row>
    <x:row r="70">
      <x:c r="A70" s="12" t="str">
        <x:v>FLOC-0069</x:v>
      </x:c>
      <x:c r="B70" s="12" t="str">
        <x:v>Jalan Wong Ah Fook</x:v>
      </x:c>
      <x:c r="C70" s="12" t="str">
        <x:v>ROAD/ROAD CONTEXT; ROAD/ROAD SEGMENT</x:v>
      </x:c>
      <x:c r="D70" s="12" t="str">
        <x:v>JBLOC-0071</x:v>
      </x:c>
      <x:c r="E70" s="12" t="str">
        <x:v>2025;2026</x:v>
      </x:c>
      <x:c r="F70" s="12" t="n">
        <x:v>2025</x:v>
      </x:c>
      <x:c r="G70" s="12" t="n">
        <x:v>2026</x:v>
      </x:c>
      <x:c r="H70" s="18" t="n">
        <x:v>46003</x:v>
      </x:c>
      <x:c r="I70" s="18" t="n">
        <x:v>46295</x:v>
      </x:c>
      <x:c r="J70" s="12" t="n">
        <x:f>COUNTIF('03_Independent_Episodes'!$A$2:$A$345,A70)</x:f>
        <x:v>2</x:v>
      </x:c>
      <x:c r="K70" s="12" t="str">
        <x:f>IF(J70=0,"0",IF(J70&lt;=3,"1-3",IF(J70&lt;=6,"4-6","&gt;=7")))</x:f>
        <x:v>1-3</x:v>
      </x:c>
      <x:c r="L70" s="12" t="str">
        <x:f>IF(J70=0,"Baseline-only",IF(J70&lt;=3,"Occasional",IF(J70&lt;=6,"Recurrent","High-frequency")))</x:f>
        <x:v>Occasional</x:v>
      </x:c>
      <x:c r="M70" s="19" t="n">
        <x:v>103.7656178</x:v>
      </x:c>
      <x:c r="N70" s="19" t="n">
        <x:v>1.4576093</x:v>
      </x:c>
      <x:c r="O70" s="12" t="str">
        <x:v>YES</x:v>
      </x:c>
      <x:c r="P70" s="12" t="str">
        <x:v>PLOT</x:v>
      </x:c>
      <x:c r="Q70" s="12"/>
      <x:c r="R70" s="12" t="str">
        <x:v>HF32</x:v>
      </x:c>
      <x:c r="S70" s="12" t="str">
        <x:v>S2025-039; S2026-005</x:v>
      </x:c>
      <x:c r="T70" s="12" t="str">
        <x:v>Fixed45 baseline</x:v>
      </x:c>
      <x:c r="U70" s="12"/>
    </x:row>
    <x:row r="71">
      <x:c r="A71" s="12" t="str">
        <x:v>FLOC-0070</x:v>
      </x:c>
      <x:c r="B71" s="12" t="str">
        <x:v>Jalan Wong Ah Fook / Sungai Segget Project Area</x:v>
      </x:c>
      <x:c r="C71" s="12" t="str">
        <x:v>ROAD; ROAD/CORRIDOR; Urban road-river/project corridor</x:v>
      </x:c>
      <x:c r="D71" s="12" t="str">
        <x:v>JBLOC-0072</x:v>
      </x:c>
      <x:c r="E71" s="12" t="str">
        <x:v>2016;2017;2022</x:v>
      </x:c>
      <x:c r="F71" s="12" t="n">
        <x:v>2016</x:v>
      </x:c>
      <x:c r="G71" s="12" t="n">
        <x:v>2022</x:v>
      </x:c>
      <x:c r="H71" s="18" t="n">
        <x:v>42386</x:v>
      </x:c>
      <x:c r="I71" s="18" t="n">
        <x:v>44775</x:v>
      </x:c>
      <x:c r="J71" s="12" t="n">
        <x:f>COUNTIF('03_Independent_Episodes'!$A$2:$A$345,A71)</x:f>
        <x:v>3</x:v>
      </x:c>
      <x:c r="K71" s="12" t="str">
        <x:f>IF(J71=0,"0",IF(J71&lt;=3,"1-3",IF(J71&lt;=6,"4-6","&gt;=7")))</x:f>
        <x:v>1-3</x:v>
      </x:c>
      <x:c r="L71" s="12" t="str">
        <x:f>IF(J71=0,"Baseline-only",IF(J71&lt;=3,"Occasional",IF(J71&lt;=6,"Recurrent","High-frequency")))</x:f>
        <x:v>Occasional</x:v>
      </x:c>
      <x:c r="M71" s="19" t="n">
        <x:v>103.76189</x:v>
      </x:c>
      <x:c r="N71" s="19" t="n">
        <x:v>1.46395</x:v>
      </x:c>
      <x:c r="O71" s="12" t="str">
        <x:v>YES</x:v>
      </x:c>
      <x:c r="P71" s="12" t="str">
        <x:v>PLOT</x:v>
      </x:c>
      <x:c r="Q71" s="12" t="str">
        <x:v>PG2016-CBD-SEGGET</x:v>
      </x:c>
      <x:c r="R71" s="12"/>
      <x:c r="S71" s="12" t="str">
        <x:v>LOC-JB-CBD-WAF-SEGGET; S2022-007</x:v>
      </x:c>
      <x:c r="T71" s="12" t="str">
        <x:v>SRC_GEO_WAF_HOTEL_OSM</x:v>
      </x:c>
      <x:c r="U71" s="12"/>
    </x:row>
    <x:row r="72">
      <x:c r="A72" s="12" t="str">
        <x:v>FLOC-0071</x:v>
      </x:c>
      <x:c r="B72" s="12" t="str">
        <x:v>Jalan Yahya Awal</x:v>
      </x:c>
      <x:c r="C72" s="12" t="str">
        <x:v>ROAD; ROAD/ROAD CONTEXT</x:v>
      </x:c>
      <x:c r="D72" s="12" t="str">
        <x:v>JBLOC-0073</x:v>
      </x:c>
      <x:c r="E72" s="12" t="str">
        <x:v>2022;2023;2026</x:v>
      </x:c>
      <x:c r="F72" s="12" t="n">
        <x:v>2022</x:v>
      </x:c>
      <x:c r="G72" s="12" t="n">
        <x:v>2026</x:v>
      </x:c>
      <x:c r="H72" s="18" t="n">
        <x:v>44775</x:v>
      </x:c>
      <x:c r="I72" s="18" t="n">
        <x:v>46295</x:v>
      </x:c>
      <x:c r="J72" s="12" t="n">
        <x:f>COUNTIF('03_Independent_Episodes'!$A$2:$A$345,A72)</x:f>
        <x:v>3</x:v>
      </x:c>
      <x:c r="K72" s="12" t="str">
        <x:f>IF(J72=0,"0",IF(J72&lt;=3,"1-3",IF(J72&lt;=6,"4-6","&gt;=7")))</x:f>
        <x:v>1-3</x:v>
      </x:c>
      <x:c r="L72" s="12" t="str">
        <x:f>IF(J72=0,"Baseline-only",IF(J72&lt;=3,"Occasional",IF(J72&lt;=6,"Recurrent","High-frequency")))</x:f>
        <x:v>Occasional</x:v>
      </x:c>
      <x:c r="M72" s="19" t="n">
        <x:v>103.7553464</x:v>
      </x:c>
      <x:c r="N72" s="19" t="n">
        <x:v>1.46337250000001</x:v>
      </x:c>
      <x:c r="O72" s="12" t="str">
        <x:v>YES</x:v>
      </x:c>
      <x:c r="P72" s="12" t="str">
        <x:v>PLOT</x:v>
      </x:c>
      <x:c r="Q72" s="12"/>
      <x:c r="R72" s="12" t="str">
        <x:v>HF07</x:v>
      </x:c>
      <x:c r="S72" s="12" t="str">
        <x:v>S2022-010; S2023-037; S2026-003</x:v>
      </x:c>
      <x:c r="T72" s="12" t="str">
        <x:v>Fixed45 baseline</x:v>
      </x:c>
      <x:c r="U72" s="12"/>
    </x:row>
    <x:row r="73">
      <x:c r="A73" s="12" t="str">
        <x:v>FLOC-0072</x:v>
      </x:c>
      <x:c r="B73" s="12" t="str">
        <x:v>Kampung Aman</x:v>
      </x:c>
      <x:c r="C73" s="12" t="str">
        <x:v>COMMUNITY/AREA</x:v>
      </x:c>
      <x:c r="D73" s="12" t="str">
        <x:v>JBLOC-0074</x:v>
      </x:c>
      <x:c r="E73" s="12" t="str">
        <x:v>2023</x:v>
      </x:c>
      <x:c r="F73" s="12" t="n">
        <x:v>2023</x:v>
      </x:c>
      <x:c r="G73" s="12" t="n">
        <x:v>2023</x:v>
      </x:c>
      <x:c r="H73" s="18" t="n">
        <x:v>44971</x:v>
      </x:c>
      <x:c r="I73" s="18" t="n">
        <x:v>44971</x:v>
      </x:c>
      <x:c r="J73" s="12" t="n">
        <x:f>COUNTIF('03_Independent_Episodes'!$A$2:$A$345,A73)</x:f>
        <x:v>1</x:v>
      </x:c>
      <x:c r="K73" s="12" t="str">
        <x:f>IF(J73=0,"0",IF(J73&lt;=3,"1-3",IF(J73&lt;=6,"4-6","&gt;=7")))</x:f>
        <x:v>1-3</x:v>
      </x:c>
      <x:c r="L73" s="12" t="str">
        <x:f>IF(J73=0,"Baseline-only",IF(J73&lt;=3,"Occasional",IF(J73&lt;=6,"Recurrent","High-frequency")))</x:f>
        <x:v>Occasional</x:v>
      </x:c>
      <x:c r="M73" s="19" t="n">
        <x:v>103.7368</x:v>
      </x:c>
      <x:c r="N73" s="19" t="n">
        <x:v>1.50516</x:v>
      </x:c>
      <x:c r="O73" s="12" t="str">
        <x:v>YES</x:v>
      </x:c>
      <x:c r="P73" s="12" t="str">
        <x:v>PLOT</x:v>
      </x:c>
      <x:c r="Q73" s="12"/>
      <x:c r="R73" s="12"/>
      <x:c r="S73" s="12" t="str">
        <x:v>S2023-002</x:v>
      </x:c>
      <x:c r="T73" s="12" t="str">
        <x:v>PLOT</x:v>
      </x:c>
      <x:c r="U73" s="12"/>
    </x:row>
    <x:row r="74">
      <x:c r="A74" s="12" t="str">
        <x:v>FLOC-0073</x:v>
      </x:c>
      <x:c r="B74" s="12" t="str">
        <x:v>Kampung Bakar Batu</x:v>
      </x:c>
      <x:c r="C74" s="12" t="str">
        <x:v>COMMUNITY/AREA</x:v>
      </x:c>
      <x:c r="D74" s="12" t="str">
        <x:v>JBLOC-0075</x:v>
      </x:c>
      <x:c r="E74" s="12" t="str">
        <x:v>2017</x:v>
      </x:c>
      <x:c r="F74" s="12" t="n">
        <x:v>2017</x:v>
      </x:c>
      <x:c r="G74" s="12" t="n">
        <x:v>2017</x:v>
      </x:c>
      <x:c r="H74" s="18" t="n">
        <x:v>42737</x:v>
      </x:c>
      <x:c r="I74" s="18" t="n">
        <x:v>42737</x:v>
      </x:c>
      <x:c r="J74" s="12" t="n">
        <x:f>COUNTIF('03_Independent_Episodes'!$A$2:$A$345,A74)</x:f>
        <x:v>1</x:v>
      </x:c>
      <x:c r="K74" s="12" t="str">
        <x:f>IF(J74=0,"0",IF(J74&lt;=3,"1-3",IF(J74&lt;=6,"4-6","&gt;=7")))</x:f>
        <x:v>1-3</x:v>
      </x:c>
      <x:c r="L74" s="12" t="str">
        <x:f>IF(J74=0,"Baseline-only",IF(J74&lt;=3,"Occasional",IF(J74&lt;=6,"Recurrent","High-frequency")))</x:f>
        <x:v>Occasional</x:v>
      </x:c>
      <x:c r="M74" s="19" t="n">
        <x:v>103.708604</x:v>
      </x:c>
      <x:c r="N74" s="19" t="n">
        <x:v>1.473954</x:v>
      </x:c>
      <x:c r="O74" s="12" t="str">
        <x:v>YES</x:v>
      </x:c>
      <x:c r="P74" s="12" t="str">
        <x:v>PLOT</x:v>
      </x:c>
      <x:c r="Q74" s="12"/>
      <x:c r="R74" s="12"/>
      <x:c r="S74" s="12" t="str">
        <x:v>LOC-JB-KG-BAKAR-BATU</x:v>
      </x:c>
      <x:c r="T74" s="12" t="str">
        <x:v>SRC_GEO_MYGEONAME_JOHOR</x:v>
      </x:c>
      <x:c r="U74" s="12"/>
    </x:row>
    <x:row r="75">
      <x:c r="A75" s="12" t="str">
        <x:v>FLOC-0074</x:v>
      </x:c>
      <x:c r="B75" s="12" t="str">
        <x:v>Kampung Baru Muafakat, Gelang Patah</x:v>
      </x:c>
      <x:c r="C75" s="12" t="str">
        <x:v>COMMUNITY; Residential kampung</x:v>
      </x:c>
      <x:c r="D75" s="12" t="str">
        <x:v>JBLOC-0076; JBLOC-0077</x:v>
      </x:c>
      <x:c r="E75" s="12" t="str">
        <x:v>2020;2022</x:v>
      </x:c>
      <x:c r="F75" s="12" t="n">
        <x:v>2020</x:v>
      </x:c>
      <x:c r="G75" s="12" t="n">
        <x:v>2022</x:v>
      </x:c>
      <x:c r="H75" s="18" t="n">
        <x:v>44002</x:v>
      </x:c>
      <x:c r="I75" s="18" t="n">
        <x:v>44829</x:v>
      </x:c>
      <x:c r="J75" s="12" t="n">
        <x:f>COUNTIF('03_Independent_Episodes'!$A$2:$A$345,A75)</x:f>
        <x:v>4</x:v>
      </x:c>
      <x:c r="K75" s="12" t="str">
        <x:f>IF(J75=0,"0",IF(J75&lt;=3,"1-3",IF(J75&lt;=6,"4-6","&gt;=7")))</x:f>
        <x:v>4-6</x:v>
      </x:c>
      <x:c r="L75" s="12" t="str">
        <x:f>IF(J75=0,"Baseline-only",IF(J75&lt;=3,"Occasional",IF(J75&lt;=6,"Recurrent","High-frequency")))</x:f>
        <x:v>Recurrent</x:v>
      </x:c>
      <x:c r="M75" s="19" t="n">
        <x:v>103.5947457</x:v>
      </x:c>
      <x:c r="N75" s="19" t="n">
        <x:v>1.4430619</x:v>
      </x:c>
      <x:c r="O75" s="12" t="str">
        <x:v>YES</x:v>
      </x:c>
      <x:c r="P75" s="12" t="str">
        <x:v>PLOT</x:v>
      </x:c>
      <x:c r="Q75" s="12" t="str">
        <x:v>PG2020-KG-BARU-MUAFAKAT</x:v>
      </x:c>
      <x:c r="R75" s="12"/>
      <x:c r="S75" s="12" t="str">
        <x:v>S2022-002; LOC-JB-KG-BARU-MUAFAKAT-GP</x:v>
      </x:c>
      <x:c r="T75" s="12" t="str">
        <x:v>R012 frozen polygon centroid / OSM way 468638324; SRC_R2020_JPS_2020_TABLE</x:v>
      </x:c>
      <x:c r="U75" s="12"/>
    </x:row>
    <x:row r="76">
      <x:c r="A76" s="12" t="str">
        <x:v>FLOC-0075</x:v>
      </x:c>
      <x:c r="B76" s="12" t="str">
        <x:v>Kampung Batu 8 1/2, TUTA</x:v>
      </x:c>
      <x:c r="C76" s="12" t="str">
        <x:v>Kampung</x:v>
      </x:c>
      <x:c r="D76" s="12" t="str">
        <x:v>JBLOC-0078</x:v>
      </x:c>
      <x:c r="E76" s="12" t="str">
        <x:v>2019</x:v>
      </x:c>
      <x:c r="F76" s="12" t="n">
        <x:v>2019</x:v>
      </x:c>
      <x:c r="G76" s="12" t="n">
        <x:v>2019</x:v>
      </x:c>
      <x:c r="H76" s="18" t="n">
        <x:v>43814</x:v>
      </x:c>
      <x:c r="I76" s="18" t="n">
        <x:v>43814</x:v>
      </x:c>
      <x:c r="J76" s="12" t="n">
        <x:f>COUNTIF('03_Independent_Episodes'!$A$2:$A$345,A76)</x:f>
        <x:v>1</x:v>
      </x:c>
      <x:c r="K76" s="12" t="str">
        <x:f>IF(J76=0,"0",IF(J76&lt;=3,"1-3",IF(J76&lt;=6,"4-6","&gt;=7")))</x:f>
        <x:v>1-3</x:v>
      </x:c>
      <x:c r="L76" s="12" t="str">
        <x:f>IF(J76=0,"Baseline-only",IF(J76&lt;=3,"Occasional",IF(J76&lt;=6,"Recurrent","High-frequency")))</x:f>
        <x:v>Occasional</x:v>
      </x:c>
      <x:c r="M76" s="19" t="n">
        <x:v>103.67230887</x:v>
      </x:c>
      <x:c r="N76" s="19" t="n">
        <x:v>1.52340697</x:v>
      </x:c>
      <x:c r="O76" s="12" t="str">
        <x:v>YES</x:v>
      </x:c>
      <x:c r="P76" s="12" t="str">
        <x:v>PLOT</x:v>
      </x:c>
      <x:c r="Q76" s="12"/>
      <x:c r="R76" s="12"/>
      <x:c r="S76" s="12" t="str">
        <x:v>LOC-JB-KG-BATU-8-5-TUTA</x:v>
      </x:c>
      <x:c r="T76" s="12" t="str">
        <x:v>2019 spatial baseline</x:v>
      </x:c>
      <x:c r="U76" s="12"/>
    </x:row>
    <x:row r="77">
      <x:c r="A77" s="12" t="str">
        <x:v>FLOC-0076</x:v>
      </x:c>
      <x:c r="B77" s="12" t="str">
        <x:v>Kampung Belantik</x:v>
      </x:c>
      <x:c r="C77" s="12" t="str">
        <x:v>COMMUNITY/AREA; Kampung</x:v>
      </x:c>
      <x:c r="D77" s="12" t="str">
        <x:v>JBLOC-0079</x:v>
      </x:c>
      <x:c r="E77" s="12" t="str">
        <x:v>2018;2025</x:v>
      </x:c>
      <x:c r="F77" s="12" t="n">
        <x:v>2018</x:v>
      </x:c>
      <x:c r="G77" s="12" t="n">
        <x:v>2025</x:v>
      </x:c>
      <x:c r="H77" s="18" t="n">
        <x:v>43383</x:v>
      </x:c>
      <x:c r="I77" s="18" t="n">
        <x:v>45736</x:v>
      </x:c>
      <x:c r="J77" s="12" t="n">
        <x:f>COUNTIF('03_Independent_Episodes'!$A$2:$A$345,A77)</x:f>
        <x:v>2</x:v>
      </x:c>
      <x:c r="K77" s="12" t="str">
        <x:f>IF(J77=0,"0",IF(J77&lt;=3,"1-3",IF(J77&lt;=6,"4-6","&gt;=7")))</x:f>
        <x:v>1-3</x:v>
      </x:c>
      <x:c r="L77" s="12" t="str">
        <x:f>IF(J77=0,"Baseline-only",IF(J77&lt;=3,"Occasional",IF(J77&lt;=6,"Recurrent","High-frequency")))</x:f>
        <x:v>Occasional</x:v>
      </x:c>
      <x:c r="M77" s="19" t="n">
        <x:v>103.76650814</x:v>
      </x:c>
      <x:c r="N77" s="19" t="n">
        <x:v>1.51378258</x:v>
      </x:c>
      <x:c r="O77" s="12" t="str">
        <x:v>YES</x:v>
      </x:c>
      <x:c r="P77" s="12" t="str">
        <x:v>PLOT</x:v>
      </x:c>
      <x:c r="Q77" s="12"/>
      <x:c r="R77" s="12"/>
      <x:c r="S77" s="12" t="str">
        <x:v>LOC-JB-KG-BELANTIK; S2025-015</x:v>
      </x:c>
      <x:c r="T77" s="12" t="str">
        <x:v>PLOT</x:v>
      </x:c>
      <x:c r="U77" s="12"/>
    </x:row>
    <x:row r="78">
      <x:c r="A78" s="12" t="str">
        <x:v>FLOC-0077</x:v>
      </x:c>
      <x:c r="B78" s="12" t="str">
        <x:v>Kampung Bendahara</x:v>
      </x:c>
      <x:c r="C78" s="12" t="str">
        <x:v>Kampung</x:v>
      </x:c>
      <x:c r="D78" s="12" t="str">
        <x:v>JBLOC-0080</x:v>
      </x:c>
      <x:c r="E78" s="12" t="str">
        <x:v>2018</x:v>
      </x:c>
      <x:c r="F78" s="12" t="n">
        <x:v>2018</x:v>
      </x:c>
      <x:c r="G78" s="12" t="n">
        <x:v>2018</x:v>
      </x:c>
      <x:c r="H78" s="18" t="n">
        <x:v>43383</x:v>
      </x:c>
      <x:c r="I78" s="18" t="n">
        <x:v>43383</x:v>
      </x:c>
      <x:c r="J78" s="12" t="n">
        <x:f>COUNTIF('03_Independent_Episodes'!$A$2:$A$345,A78)</x:f>
        <x:v>1</x:v>
      </x:c>
      <x:c r="K78" s="12" t="str">
        <x:f>IF(J78=0,"0",IF(J78&lt;=3,"1-3",IF(J78&lt;=6,"4-6","&gt;=7")))</x:f>
        <x:v>1-3</x:v>
      </x:c>
      <x:c r="L78" s="12" t="str">
        <x:f>IF(J78=0,"Baseline-only",IF(J78&lt;=3,"Occasional",IF(J78&lt;=6,"Recurrent","High-frequency")))</x:f>
        <x:v>Occasional</x:v>
      </x:c>
      <x:c r="M78" s="19" t="n">
        <x:v>103.7627931</x:v>
      </x:c>
      <x:c r="N78" s="19" t="n">
        <x:v>1.512616</x:v>
      </x:c>
      <x:c r="O78" s="12" t="str">
        <x:v>YES</x:v>
      </x:c>
      <x:c r="P78" s="12" t="str">
        <x:v>PLOT</x:v>
      </x:c>
      <x:c r="Q78" s="12"/>
      <x:c r="R78" s="12" t="str">
        <x:v>HF11</x:v>
      </x:c>
      <x:c r="S78" s="12" t="str">
        <x:v>LOC-JB-KG-BENDAHARA</x:v>
      </x:c>
      <x:c r="T78" s="12" t="str">
        <x:v>Fixed45 baseline</x:v>
      </x:c>
      <x:c r="U78" s="12"/>
    </x:row>
    <x:row r="79">
      <x:c r="A79" s="12" t="str">
        <x:v>FLOC-0078</x:v>
      </x:c>
      <x:c r="B79" s="12" t="str">
        <x:v>Kampung Bukit Berangan</x:v>
      </x:c>
      <x:c r="C79" s="12" t="str">
        <x:v>COMMUNITY/AREA</x:v>
      </x:c>
      <x:c r="D79" s="12" t="str">
        <x:v>JBLOC-0081</x:v>
      </x:c>
      <x:c r="E79" s="12" t="str">
        <x:v>2017</x:v>
      </x:c>
      <x:c r="F79" s="12" t="n">
        <x:v>2017</x:v>
      </x:c>
      <x:c r="G79" s="12" t="n">
        <x:v>2017</x:v>
      </x:c>
      <x:c r="H79" s="18" t="n">
        <x:v>42759</x:v>
      </x:c>
      <x:c r="I79" s="18" t="n">
        <x:v>42759</x:v>
      </x:c>
      <x:c r="J79" s="12" t="n">
        <x:f>COUNTIF('03_Independent_Episodes'!$A$2:$A$345,A79)</x:f>
        <x:v>1</x:v>
      </x:c>
      <x:c r="K79" s="12" t="str">
        <x:f>IF(J79=0,"0",IF(J79&lt;=3,"1-3",IF(J79&lt;=6,"4-6","&gt;=7")))</x:f>
        <x:v>1-3</x:v>
      </x:c>
      <x:c r="L79" s="12" t="str">
        <x:f>IF(J79=0,"Baseline-only",IF(J79&lt;=3,"Occasional",IF(J79&lt;=6,"Recurrent","High-frequency")))</x:f>
        <x:v>Occasional</x:v>
      </x:c>
      <x:c r="M79" s="19" t="n">
        <x:v>103.9223</x:v>
      </x:c>
      <x:c r="N79" s="19" t="n">
        <x:v>1.6692</x:v>
      </x:c>
      <x:c r="O79" s="12" t="str">
        <x:v>YES</x:v>
      </x:c>
      <x:c r="P79" s="12" t="str">
        <x:v>PLOT</x:v>
      </x:c>
      <x:c r="Q79" s="12"/>
      <x:c r="R79" s="12"/>
      <x:c r="S79" s="12" t="str">
        <x:v>LOC-JB-KG-BUKIT-BERANGAN-2017</x:v>
      </x:c>
      <x:c r="T79" s="12" t="str">
        <x:v>2017 spatial baseline</x:v>
      </x:c>
      <x:c r="U79" s="12"/>
    </x:row>
    <x:row r="80">
      <x:c r="A80" s="12" t="str">
        <x:v>FLOC-0079</x:v>
      </x:c>
      <x:c r="B80" s="12" t="str">
        <x:v>Kampung Bukit Dagang</x:v>
      </x:c>
      <x:c r="C80" s="12" t="str">
        <x:v>COMMUNITY/AREA; Kampung</x:v>
      </x:c>
      <x:c r="D80" s="12" t="str">
        <x:v>JBLOC-0082</x:v>
      </x:c>
      <x:c r="E80" s="12" t="str">
        <x:v>2019;2024</x:v>
      </x:c>
      <x:c r="F80" s="12" t="n">
        <x:v>2019</x:v>
      </x:c>
      <x:c r="G80" s="12" t="n">
        <x:v>2024</x:v>
      </x:c>
      <x:c r="H80" s="18" t="n">
        <x:v>43814</x:v>
      </x:c>
      <x:c r="I80" s="18" t="n">
        <x:v>45298</x:v>
      </x:c>
      <x:c r="J80" s="12" t="n">
        <x:f>COUNTIF('03_Independent_Episodes'!$A$2:$A$345,A80)</x:f>
        <x:v>2</x:v>
      </x:c>
      <x:c r="K80" s="12" t="str">
        <x:f>IF(J80=0,"0",IF(J80&lt;=3,"1-3",IF(J80&lt;=6,"4-6","&gt;=7")))</x:f>
        <x:v>1-3</x:v>
      </x:c>
      <x:c r="L80" s="12" t="str">
        <x:f>IF(J80=0,"Baseline-only",IF(J80&lt;=3,"Occasional",IF(J80&lt;=6,"Recurrent","High-frequency")))</x:f>
        <x:v>Occasional</x:v>
      </x:c>
      <x:c r="M80" s="19" t="n">
        <x:v>103.924811</x:v>
      </x:c>
      <x:c r="N80" s="19" t="n">
        <x:v>1.59376731</x:v>
      </x:c>
      <x:c r="O80" s="12" t="str">
        <x:v>YES</x:v>
      </x:c>
      <x:c r="P80" s="12" t="str">
        <x:v>PLOT</x:v>
      </x:c>
      <x:c r="Q80" s="12"/>
      <x:c r="R80" s="12"/>
      <x:c r="S80" s="12" t="str">
        <x:v>LOC-JB-KG-BUKIT-DAGANG; S2024-007</x:v>
      </x:c>
      <x:c r="T80" s="12" t="str">
        <x:v>2019 spatial baseline</x:v>
      </x:c>
      <x:c r="U80" s="12"/>
    </x:row>
    <x:row r="81">
      <x:c r="A81" s="12" t="str">
        <x:v>FLOC-0080</x:v>
      </x:c>
      <x:c r="B81" s="12" t="str">
        <x:v>Kampung Bunga Ros</x:v>
      </x:c>
      <x:c r="C81" s="12" t="str">
        <x:v>COMMUNITY; COMMUNITY/AREA; Kampung</x:v>
      </x:c>
      <x:c r="D81" s="12" t="str">
        <x:v>JBLOC-0083</x:v>
      </x:c>
      <x:c r="E81" s="12" t="str">
        <x:v>2019;2022;2025</x:v>
      </x:c>
      <x:c r="F81" s="12" t="n">
        <x:v>2019</x:v>
      </x:c>
      <x:c r="G81" s="12" t="n">
        <x:v>2025</x:v>
      </x:c>
      <x:c r="H81" s="18" t="n">
        <x:v>43814</x:v>
      </x:c>
      <x:c r="I81" s="18" t="n">
        <x:v>45735</x:v>
      </x:c>
      <x:c r="J81" s="12" t="n">
        <x:f>COUNTIF('03_Independent_Episodes'!$A$2:$A$345,A81)</x:f>
        <x:v>3</x:v>
      </x:c>
      <x:c r="K81" s="12" t="str">
        <x:f>IF(J81=0,"0",IF(J81&lt;=3,"1-3",IF(J81&lt;=6,"4-6","&gt;=7")))</x:f>
        <x:v>1-3</x:v>
      </x:c>
      <x:c r="L81" s="12" t="str">
        <x:f>IF(J81=0,"Baseline-only",IF(J81&lt;=3,"Occasional",IF(J81&lt;=6,"Recurrent","High-frequency")))</x:f>
        <x:v>Occasional</x:v>
      </x:c>
      <x:c r="M81" s="19" t="n">
        <x:v>103.75965347</x:v>
      </x:c>
      <x:c r="N81" s="19" t="n">
        <x:v>1.53411714</x:v>
      </x:c>
      <x:c r="O81" s="12" t="str">
        <x:v>YES</x:v>
      </x:c>
      <x:c r="P81" s="12" t="str">
        <x:v>PLOT</x:v>
      </x:c>
      <x:c r="Q81" s="12"/>
      <x:c r="R81" s="12"/>
      <x:c r="S81" s="12" t="str">
        <x:v>LOC-JB-KG-BUNGA-ROS; S2022-023; S2025-007</x:v>
      </x:c>
      <x:c r="T81" s="12" t="str">
        <x:v>2019 spatial baseline</x:v>
      </x:c>
      <x:c r="U81" s="12"/>
    </x:row>
    <x:row r="82">
      <x:c r="A82" s="12" t="str">
        <x:v>FLOC-0081</x:v>
      </x:c>
      <x:c r="B82" s="12" t="str">
        <x:v>Kampung Dagang, Sungai Tiram context</x:v>
      </x:c>
      <x:c r="C82" s="12" t="str">
        <x:v>Kampung</x:v>
      </x:c>
      <x:c r="D82" s="12" t="str">
        <x:v>JBLOC-0084</x:v>
      </x:c>
      <x:c r="E82" s="12" t="str">
        <x:v>2019</x:v>
      </x:c>
      <x:c r="F82" s="12" t="n">
        <x:v>2019</x:v>
      </x:c>
      <x:c r="G82" s="12" t="n">
        <x:v>2019</x:v>
      </x:c>
      <x:c r="H82" s="18" t="n">
        <x:v>43483</x:v>
      </x:c>
      <x:c r="I82" s="18" t="n">
        <x:v>43483</x:v>
      </x:c>
      <x:c r="J82" s="12" t="n">
        <x:f>COUNTIF('03_Independent_Episodes'!$A$2:$A$345,A82)</x:f>
        <x:v>1</x:v>
      </x:c>
      <x:c r="K82" s="12" t="str">
        <x:f>IF(J82=0,"0",IF(J82&lt;=3,"1-3",IF(J82&lt;=6,"4-6","&gt;=7")))</x:f>
        <x:v>1-3</x:v>
      </x:c>
      <x:c r="L82" s="12" t="str">
        <x:f>IF(J82=0,"Baseline-only",IF(J82&lt;=3,"Occasional",IF(J82&lt;=6,"Recurrent","High-frequency")))</x:f>
        <x:v>Occasional</x:v>
      </x:c>
      <x:c r="M82" s="19"/>
      <x:c r="N82" s="19"/>
      <x:c r="O82" s="12" t="str">
        <x:v>NO</x:v>
      </x:c>
      <x:c r="P82" s="12" t="str">
        <x:v>DO NOT PLOT</x:v>
      </x:c>
      <x:c r="Q82" s="12"/>
      <x:c r="R82" s="12"/>
      <x:c r="S82" s="12" t="str">
        <x:v>LOC-CAND-JB-KG-DAGANG-2019</x:v>
      </x:c>
      <x:c r="T82" s="12"/>
      <x:c r="U82" s="12"/>
    </x:row>
    <x:row r="83">
      <x:c r="A83" s="12" t="str">
        <x:v>FLOC-0082</x:v>
      </x:c>
      <x:c r="B83" s="12" t="str">
        <x:v>Kampung Dato Sulaiman Menteri</x:v>
      </x:c>
      <x:c r="C83" s="12" t="str">
        <x:v>COMMUNITY; Kampung</x:v>
      </x:c>
      <x:c r="D83" s="12" t="str">
        <x:v>JBLOC-0087</x:v>
      </x:c>
      <x:c r="E83" s="12" t="str">
        <x:v>2018;2022</x:v>
      </x:c>
      <x:c r="F83" s="12" t="n">
        <x:v>2018</x:v>
      </x:c>
      <x:c r="G83" s="12" t="n">
        <x:v>2022</x:v>
      </x:c>
      <x:c r="H83" s="18" t="n">
        <x:v>43383</x:v>
      </x:c>
      <x:c r="I83" s="18" t="n">
        <x:v>44829</x:v>
      </x:c>
      <x:c r="J83" s="12" t="n">
        <x:f>COUNTIF('03_Independent_Episodes'!$A$2:$A$345,A83)</x:f>
        <x:v>2</x:v>
      </x:c>
      <x:c r="K83" s="12" t="str">
        <x:f>IF(J83=0,"0",IF(J83&lt;=3,"1-3",IF(J83&lt;=6,"4-6","&gt;=7")))</x:f>
        <x:v>1-3</x:v>
      </x:c>
      <x:c r="L83" s="12" t="str">
        <x:f>IF(J83=0,"Baseline-only",IF(J83&lt;=3,"Occasional",IF(J83&lt;=6,"Recurrent","High-frequency")))</x:f>
        <x:v>Occasional</x:v>
      </x:c>
      <x:c r="M83" s="19" t="n">
        <x:v>103.76665</x:v>
      </x:c>
      <x:c r="N83" s="19" t="n">
        <x:v>1.50759</x:v>
      </x:c>
      <x:c r="O83" s="12" t="str">
        <x:v>YES</x:v>
      </x:c>
      <x:c r="P83" s="12" t="str">
        <x:v>PLOT</x:v>
      </x:c>
      <x:c r="Q83" s="12"/>
      <x:c r="R83" s="12"/>
      <x:c r="S83" s="12" t="str">
        <x:v>LOC-JB-KG-DATO-SULAIMAN-MENTERI; S2022-027</x:v>
      </x:c>
      <x:c r="T83" s="12" t="str">
        <x:v>SRC_GEO_2018_DATO_SULAIMAN_MENTERI</x:v>
      </x:c>
      <x:c r="U83" s="12"/>
    </x:row>
    <x:row r="84">
      <x:c r="A84" s="12" t="str">
        <x:v>FLOC-0083</x:v>
      </x:c>
      <x:c r="B84" s="12" t="str">
        <x:v>Kampung Dato' Hajah Hasnah Ahmad</x:v>
      </x:c>
      <x:c r="C84" s="12" t="str">
        <x:v>Kampung</x:v>
      </x:c>
      <x:c r="D84" s="12" t="str">
        <x:v>JBLOC-0086</x:v>
      </x:c>
      <x:c r="E84" s="12" t="str">
        <x:v>2018</x:v>
      </x:c>
      <x:c r="F84" s="12" t="n">
        <x:v>2018</x:v>
      </x:c>
      <x:c r="G84" s="12" t="n">
        <x:v>2018</x:v>
      </x:c>
      <x:c r="H84" s="18" t="n">
        <x:v>43383</x:v>
      </x:c>
      <x:c r="I84" s="18" t="n">
        <x:v>43383</x:v>
      </x:c>
      <x:c r="J84" s="12" t="n">
        <x:f>COUNTIF('03_Independent_Episodes'!$A$2:$A$345,A84)</x:f>
        <x:v>1</x:v>
      </x:c>
      <x:c r="K84" s="12" t="str">
        <x:f>IF(J84=0,"0",IF(J84&lt;=3,"1-3",IF(J84&lt;=6,"4-6","&gt;=7")))</x:f>
        <x:v>1-3</x:v>
      </x:c>
      <x:c r="L84" s="12" t="str">
        <x:f>IF(J84=0,"Baseline-only",IF(J84&lt;=3,"Occasional",IF(J84&lt;=6,"Recurrent","High-frequency")))</x:f>
        <x:v>Occasional</x:v>
      </x:c>
      <x:c r="M84" s="19" t="n">
        <x:v>103.76902</x:v>
      </x:c>
      <x:c r="N84" s="19" t="n">
        <x:v>1.50481</x:v>
      </x:c>
      <x:c r="O84" s="12" t="str">
        <x:v>YES</x:v>
      </x:c>
      <x:c r="P84" s="12" t="str">
        <x:v>PLOT</x:v>
      </x:c>
      <x:c r="Q84" s="12"/>
      <x:c r="R84" s="12"/>
      <x:c r="S84" s="12" t="str">
        <x:v>LOC-JB-KG-HAJAH-HASNAH</x:v>
      </x:c>
      <x:c r="T84" s="12" t="str">
        <x:v>SRC_GEO_2018_HAJAH_HASNAH</x:v>
      </x:c>
      <x:c r="U84" s="12"/>
    </x:row>
    <x:row r="85">
      <x:c r="A85" s="12" t="str">
        <x:v>FLOC-0084</x:v>
      </x:c>
      <x:c r="B85" s="12" t="str">
        <x:v>Kampung Ibu</x:v>
      </x:c>
      <x:c r="C85" s="12" t="str">
        <x:v>COMMUNITY</x:v>
      </x:c>
      <x:c r="D85" s="12" t="str">
        <x:v>JBLOC-0088</x:v>
      </x:c>
      <x:c r="E85" s="12" t="str">
        <x:v>2021</x:v>
      </x:c>
      <x:c r="F85" s="12" t="n">
        <x:v>2021</x:v>
      </x:c>
      <x:c r="G85" s="12" t="n">
        <x:v>2021</x:v>
      </x:c>
      <x:c r="H85" s="18" t="n">
        <x:v>44469</x:v>
      </x:c>
      <x:c r="I85" s="18" t="n">
        <x:v>44469</x:v>
      </x:c>
      <x:c r="J85" s="12" t="n">
        <x:f>COUNTIF('03_Independent_Episodes'!$A$2:$A$345,A85)</x:f>
        <x:v>1</x:v>
      </x:c>
      <x:c r="K85" s="12" t="str">
        <x:f>IF(J85=0,"0",IF(J85&lt;=3,"1-3",IF(J85&lt;=6,"4-6","&gt;=7")))</x:f>
        <x:v>1-3</x:v>
      </x:c>
      <x:c r="L85" s="12" t="str">
        <x:f>IF(J85=0,"Baseline-only",IF(J85&lt;=3,"Occasional",IF(J85&lt;=6,"Recurrent","High-frequency")))</x:f>
        <x:v>Occasional</x:v>
      </x:c>
      <x:c r="M85" s="19"/>
      <x:c r="N85" s="19"/>
      <x:c r="O85" s="12" t="str">
        <x:v>NO</x:v>
      </x:c>
      <x:c r="P85" s="12" t="str">
        <x:v>DO NOT PLOT</x:v>
      </x:c>
      <x:c r="Q85" s="12"/>
      <x:c r="R85" s="12"/>
      <x:c r="S85" s="12" t="str">
        <x:v>S2021-026</x:v>
      </x:c>
      <x:c r="T85" s="12"/>
      <x:c r="U85" s="12"/>
    </x:row>
    <x:row r="86">
      <x:c r="A86" s="12" t="str">
        <x:v>FLOC-0085</x:v>
      </x:c>
      <x:c r="B86" s="12" t="str">
        <x:v>Kampung Jaya Sepakat</x:v>
      </x:c>
      <x:c r="C86" s="12" t="str">
        <x:v>COMMUNITY/AREA</x:v>
      </x:c>
      <x:c r="D86" s="12" t="str">
        <x:v>JBLOC-0089</x:v>
      </x:c>
      <x:c r="E86" s="12" t="str">
        <x:v>2017</x:v>
      </x:c>
      <x:c r="F86" s="12" t="n">
        <x:v>2017</x:v>
      </x:c>
      <x:c r="G86" s="12" t="n">
        <x:v>2017</x:v>
      </x:c>
      <x:c r="H86" s="18" t="n">
        <x:v>42843</x:v>
      </x:c>
      <x:c r="I86" s="18" t="n">
        <x:v>42843</x:v>
      </x:c>
      <x:c r="J86" s="12" t="n">
        <x:f>COUNTIF('03_Independent_Episodes'!$A$2:$A$345,A86)</x:f>
        <x:v>1</x:v>
      </x:c>
      <x:c r="K86" s="12" t="str">
        <x:f>IF(J86=0,"0",IF(J86&lt;=3,"1-3",IF(J86&lt;=6,"4-6","&gt;=7")))</x:f>
        <x:v>1-3</x:v>
      </x:c>
      <x:c r="L86" s="12" t="str">
        <x:f>IF(J86=0,"Baseline-only",IF(J86&lt;=3,"Occasional",IF(J86&lt;=6,"Recurrent","High-frequency")))</x:f>
        <x:v>Occasional</x:v>
      </x:c>
      <x:c r="M86" s="19" t="n">
        <x:v>103.65153</x:v>
      </x:c>
      <x:c r="N86" s="19" t="n">
        <x:v>1.5874</x:v>
      </x:c>
      <x:c r="O86" s="12" t="str">
        <x:v>YES</x:v>
      </x:c>
      <x:c r="P86" s="12" t="str">
        <x:v>PLOT</x:v>
      </x:c>
      <x:c r="Q86" s="12"/>
      <x:c r="R86" s="12"/>
      <x:c r="S86" s="12" t="str">
        <x:v>LOC-CAND-JB-KG-SEPAKAT-JAYA-SKUDAI</x:v>
      </x:c>
      <x:c r="T86" s="12" t="str">
        <x:v>RESOLVED_NORMALIZED_POINT</x:v>
      </x:c>
      <x:c r="U86" s="12"/>
    </x:row>
    <x:row r="87">
      <x:c r="A87" s="12" t="str">
        <x:v>FLOC-0086</x:v>
      </x:c>
      <x:c r="B87" s="12" t="str">
        <x:v>Kampung Kangkar Tebrau</x:v>
      </x:c>
      <x:c r="C87" s="12" t="str">
        <x:v>COMMUNITY; COMMUNITY/AREA</x:v>
      </x:c>
      <x:c r="D87" s="12" t="str">
        <x:v>JBLOC-0090</x:v>
      </x:c>
      <x:c r="E87" s="12" t="str">
        <x:v>2017;2021;2023;2025</x:v>
      </x:c>
      <x:c r="F87" s="12" t="n">
        <x:v>2017</x:v>
      </x:c>
      <x:c r="G87" s="12" t="n">
        <x:v>2025</x:v>
      </x:c>
      <x:c r="H87" s="18" t="n">
        <x:v>42838</x:v>
      </x:c>
      <x:c r="I87" s="18" t="n">
        <x:v>45735</x:v>
      </x:c>
      <x:c r="J87" s="12" t="n">
        <x:f>COUNTIF('03_Independent_Episodes'!$A$2:$A$345,A87)</x:f>
        <x:v>8</x:v>
      </x:c>
      <x:c r="K87" s="12" t="str">
        <x:f>IF(J87=0,"0",IF(J87&lt;=3,"1-3",IF(J87&lt;=6,"4-6","&gt;=7")))</x:f>
        <x:v>&gt;=7</x:v>
      </x:c>
      <x:c r="L87" s="12" t="str">
        <x:f>IF(J87=0,"Baseline-only",IF(J87&lt;=3,"Occasional",IF(J87&lt;=6,"Recurrent","High-frequency")))</x:f>
        <x:v>High-frequency</x:v>
      </x:c>
      <x:c r="M87" s="19" t="n">
        <x:v>103.756604173059</x:v>
      </x:c>
      <x:c r="N87" s="19" t="n">
        <x:v>1.531815</x:v>
      </x:c>
      <x:c r="O87" s="12" t="str">
        <x:v>YES</x:v>
      </x:c>
      <x:c r="P87" s="12" t="str">
        <x:v>PLOT</x:v>
      </x:c>
      <x:c r="Q87" s="12" t="str">
        <x:v>PG2017-KANGKAR-TEBRAU</x:v>
      </x:c>
      <x:c r="R87" s="12" t="str">
        <x:v>HF17</x:v>
      </x:c>
      <x:c r="S87" s="12" t="str">
        <x:v>LOC-JB-KG-KANGKAR-TEBRAU; S2021-011; S2023-013; S2025-001</x:v>
      </x:c>
      <x:c r="T87" s="12" t="str">
        <x:v>Fixed45 baseline</x:v>
      </x:c>
      <x:c r="U87" s="12"/>
    </x:row>
    <x:row r="88">
      <x:c r="A88" s="12" t="str">
        <x:v>FLOC-0087</x:v>
      </x:c>
      <x:c r="B88" s="12" t="str">
        <x:v>Kampung Kempas Permatang</x:v>
      </x:c>
      <x:c r="C88" s="12" t="str">
        <x:v>COMMUNITY/AREA</x:v>
      </x:c>
      <x:c r="D88" s="12" t="str">
        <x:v>JBLOC-0091</x:v>
      </x:c>
      <x:c r="E88" s="12" t="str">
        <x:v>2017</x:v>
      </x:c>
      <x:c r="F88" s="12" t="n">
        <x:v>2017</x:v>
      </x:c>
      <x:c r="G88" s="12" t="n">
        <x:v>2017</x:v>
      </x:c>
      <x:c r="H88" s="18" t="n">
        <x:v>42737</x:v>
      </x:c>
      <x:c r="I88" s="18" t="n">
        <x:v>43053</x:v>
      </x:c>
      <x:c r="J88" s="12" t="n">
        <x:f>COUNTIF('03_Independent_Episodes'!$A$2:$A$345,A88)</x:f>
        <x:v>3</x:v>
      </x:c>
      <x:c r="K88" s="12" t="str">
        <x:f>IF(J88=0,"0",IF(J88&lt;=3,"1-3",IF(J88&lt;=6,"4-6","&gt;=7")))</x:f>
        <x:v>1-3</x:v>
      </x:c>
      <x:c r="L88" s="12" t="str">
        <x:f>IF(J88=0,"Baseline-only",IF(J88&lt;=3,"Occasional",IF(J88&lt;=6,"Recurrent","High-frequency")))</x:f>
        <x:v>Occasional</x:v>
      </x:c>
      <x:c r="M88" s="19" t="n">
        <x:v>103.72438747</x:v>
      </x:c>
      <x:c r="N88" s="19" t="n">
        <x:v>1.52886592</x:v>
      </x:c>
      <x:c r="O88" s="12" t="str">
        <x:v>YES</x:v>
      </x:c>
      <x:c r="P88" s="12" t="str">
        <x:v>PLOT</x:v>
      </x:c>
      <x:c r="Q88" s="12"/>
      <x:c r="R88" s="12"/>
      <x:c r="S88" s="12" t="str">
        <x:v>LOC-JB-KG-KEMPAS-PERMATANG</x:v>
      </x:c>
      <x:c r="T88" s="12" t="str">
        <x:v>SRC_GEO_MYGEONAME_JOHOR</x:v>
      </x:c>
      <x:c r="U88" s="12"/>
    </x:row>
    <x:row r="89">
      <x:c r="A89" s="12" t="str">
        <x:v>FLOC-0088</x:v>
      </x:c>
      <x:c r="B89" s="12" t="str">
        <x:v>Kampung Kurnia, Johor Bahru</x:v>
      </x:c>
      <x:c r="C89" s="12" t="str">
        <x:v>COMMUNITY; COMMUNITY/AREA</x:v>
      </x:c>
      <x:c r="D89" s="12" t="str">
        <x:v>JBLOC-0092</x:v>
      </x:c>
      <x:c r="E89" s="12" t="str">
        <x:v>2022;2023</x:v>
      </x:c>
      <x:c r="F89" s="12" t="n">
        <x:v>2022</x:v>
      </x:c>
      <x:c r="G89" s="12" t="n">
        <x:v>2023</x:v>
      </x:c>
      <x:c r="H89" s="18" t="n">
        <x:v>44872</x:v>
      </x:c>
      <x:c r="I89" s="18" t="n">
        <x:v>44971</x:v>
      </x:c>
      <x:c r="J89" s="12" t="n">
        <x:f>COUNTIF('03_Independent_Episodes'!$A$2:$A$345,A89)</x:f>
        <x:v>2</x:v>
      </x:c>
      <x:c r="K89" s="12" t="str">
        <x:f>IF(J89=0,"0",IF(J89&lt;=3,"1-3",IF(J89&lt;=6,"4-6","&gt;=7")))</x:f>
        <x:v>1-3</x:v>
      </x:c>
      <x:c r="L89" s="12" t="str">
        <x:f>IF(J89=0,"Baseline-only",IF(J89&lt;=3,"Occasional",IF(J89&lt;=6,"Recurrent","High-frequency")))</x:f>
        <x:v>Occasional</x:v>
      </x:c>
      <x:c r="M89" s="19" t="n">
        <x:v>103.75612</x:v>
      </x:c>
      <x:c r="N89" s="19" t="n">
        <x:v>1.49744</x:v>
      </x:c>
      <x:c r="O89" s="12" t="str">
        <x:v>YES</x:v>
      </x:c>
      <x:c r="P89" s="12" t="str">
        <x:v>PLOT</x:v>
      </x:c>
      <x:c r="Q89" s="12"/>
      <x:c r="R89" s="12"/>
      <x:c r="S89" s="12" t="str">
        <x:v>S2022-036; S2023-005</x:v>
      </x:c>
      <x:c r="T89" s="12" t="str">
        <x:v>7 Nov Astro Awani event evidence</x:v>
      </x:c>
      <x:c r="U89" s="12"/>
    </x:row>
    <x:row r="90">
      <x:c r="A90" s="12" t="str">
        <x:v>FLOC-0089</x:v>
      </x:c>
      <x:c r="B90" s="12" t="str">
        <x:v>Kampung Laut Batu 10, Skudai</x:v>
      </x:c>
      <x:c r="C90" s="12" t="str">
        <x:v>COMMUNITY; Kampung; COMMUNITY/AREA</x:v>
      </x:c>
      <x:c r="D90" s="12" t="str">
        <x:v>JBLOC-0093; JBLOC-0094</x:v>
      </x:c>
      <x:c r="E90" s="12" t="str">
        <x:v>2017;2019;2020;2021;2022;2025</x:v>
      </x:c>
      <x:c r="F90" s="12" t="n">
        <x:v>2017</x:v>
      </x:c>
      <x:c r="G90" s="12" t="n">
        <x:v>2025</x:v>
      </x:c>
      <x:c r="H90" s="18" t="n">
        <x:v>42843</x:v>
      </x:c>
      <x:c r="I90" s="18" t="n">
        <x:v>45736</x:v>
      </x:c>
      <x:c r="J90" s="12" t="n">
        <x:f>COUNTIF('03_Independent_Episodes'!$A$2:$A$345,A90)</x:f>
        <x:v>14</x:v>
      </x:c>
      <x:c r="K90" s="12" t="str">
        <x:f>IF(J90=0,"0",IF(J90&lt;=3,"1-3",IF(J90&lt;=6,"4-6","&gt;=7")))</x:f>
        <x:v>&gt;=7</x:v>
      </x:c>
      <x:c r="L90" s="12" t="str">
        <x:f>IF(J90=0,"Baseline-only",IF(J90&lt;=3,"Occasional",IF(J90&lt;=6,"Recurrent","High-frequency")))</x:f>
        <x:v>High-frequency</x:v>
      </x:c>
      <x:c r="M90" s="19" t="n">
        <x:v>103.6605</x:v>
      </x:c>
      <x:c r="N90" s="19" t="n">
        <x:v>1.5453</x:v>
      </x:c>
      <x:c r="O90" s="12" t="str">
        <x:v>YES</x:v>
      </x:c>
      <x:c r="P90" s="12" t="str">
        <x:v>PLOT</x:v>
      </x:c>
      <x:c r="Q90" s="12"/>
      <x:c r="R90" s="12"/>
      <x:c r="S90" s="12" t="str">
        <x:v>LOC-JB-KG-LAUT-SKUDAI; S2021-001; S2022-017; S2025-009</x:v>
      </x:c>
      <x:c r="T90" s="12" t="str">
        <x:v>SRC_R2020_JPS_2020_TABLE; SRC_R2020_MMAIL_20201123; SRC_GEO_KG_LAUT_SKUDAI</x:v>
      </x:c>
      <x:c r="U90" s="12"/>
    </x:row>
    <x:row r="91">
      <x:c r="A91" s="12" t="str">
        <x:v>FLOC-0090</x:v>
      </x:c>
      <x:c r="B91" s="12" t="str">
        <x:v>Kampung Maju Jaya</x:v>
      </x:c>
      <x:c r="C91" s="12" t="str">
        <x:v>COMMUNITY; COMMUNITY/AREA; Kampung</x:v>
      </x:c>
      <x:c r="D91" s="12" t="str">
        <x:v>JBLOC-0095</x:v>
      </x:c>
      <x:c r="E91" s="12" t="str">
        <x:v>2019;2022;2024</x:v>
      </x:c>
      <x:c r="F91" s="12" t="n">
        <x:v>2019</x:v>
      </x:c>
      <x:c r="G91" s="12" t="n">
        <x:v>2024</x:v>
      </x:c>
      <x:c r="H91" s="18" t="n">
        <x:v>43814</x:v>
      </x:c>
      <x:c r="I91" s="18" t="n">
        <x:v>45298</x:v>
      </x:c>
      <x:c r="J91" s="12" t="n">
        <x:f>COUNTIF('03_Independent_Episodes'!$A$2:$A$345,A91)</x:f>
        <x:v>3</x:v>
      </x:c>
      <x:c r="K91" s="12" t="str">
        <x:f>IF(J91=0,"0",IF(J91&lt;=3,"1-3",IF(J91&lt;=6,"4-6","&gt;=7")))</x:f>
        <x:v>1-3</x:v>
      </x:c>
      <x:c r="L91" s="12" t="str">
        <x:f>IF(J91=0,"Baseline-only",IF(J91&lt;=3,"Occasional",IF(J91&lt;=6,"Recurrent","High-frequency")))</x:f>
        <x:v>Occasional</x:v>
      </x:c>
      <x:c r="M91" s="19" t="n">
        <x:v>103.7159181</x:v>
      </x:c>
      <x:c r="N91" s="19" t="n">
        <x:v>1.58109209999999</x:v>
      </x:c>
      <x:c r="O91" s="12" t="str">
        <x:v>YES</x:v>
      </x:c>
      <x:c r="P91" s="12" t="str">
        <x:v>PLOT</x:v>
      </x:c>
      <x:c r="Q91" s="12"/>
      <x:c r="R91" s="12" t="str">
        <x:v>HF18</x:v>
      </x:c>
      <x:c r="S91" s="12" t="str">
        <x:v>LOC-JB-KG-MAJU-JAYA; S2022-018; S2024-009</x:v>
      </x:c>
      <x:c r="T91" s="12" t="str">
        <x:v>Fixed45 baseline</x:v>
      </x:c>
      <x:c r="U91" s="12"/>
    </x:row>
    <x:row r="92">
      <x:c r="A92" s="12" t="str">
        <x:v>FLOC-0091</x:v>
      </x:c>
      <x:c r="B92" s="12" t="str">
        <x:v>Kampung Melayu Lima Kedai</x:v>
      </x:c>
      <x:c r="C92" s="12" t="str">
        <x:v>Residential hamlet</x:v>
      </x:c>
      <x:c r="D92" s="12" t="str">
        <x:v>JBLOC-0096</x:v>
      </x:c>
      <x:c r="E92" s="12" t="str">
        <x:v>2018</x:v>
      </x:c>
      <x:c r="F92" s="12" t="n">
        <x:v>2018</x:v>
      </x:c>
      <x:c r="G92" s="12" t="n">
        <x:v>2018</x:v>
      </x:c>
      <x:c r="H92" s="18" t="n">
        <x:v>43395</x:v>
      </x:c>
      <x:c r="I92" s="18" t="n">
        <x:v>43395</x:v>
      </x:c>
      <x:c r="J92" s="12" t="n">
        <x:f>COUNTIF('03_Independent_Episodes'!$A$2:$A$345,A92)</x:f>
        <x:v>1</x:v>
      </x:c>
      <x:c r="K92" s="12" t="str">
        <x:f>IF(J92=0,"0",IF(J92&lt;=3,"1-3",IF(J92&lt;=6,"4-6","&gt;=7")))</x:f>
        <x:v>1-3</x:v>
      </x:c>
      <x:c r="L92" s="12" t="str">
        <x:f>IF(J92=0,"Baseline-only",IF(J92&lt;=3,"Occasional",IF(J92&lt;=6,"Recurrent","High-frequency")))</x:f>
        <x:v>Occasional</x:v>
      </x:c>
      <x:c r="M92" s="19" t="n">
        <x:v>103.62481</x:v>
      </x:c>
      <x:c r="N92" s="19" t="n">
        <x:v>1.50435</x:v>
      </x:c>
      <x:c r="O92" s="12" t="str">
        <x:v>YES</x:v>
      </x:c>
      <x:c r="P92" s="12" t="str">
        <x:v>PLOT</x:v>
      </x:c>
      <x:c r="Q92" s="12" t="str">
        <x:v>PG2018-MELAYU-LIMA-KEDAI</x:v>
      </x:c>
      <x:c r="R92" s="12"/>
      <x:c r="S92" s="12" t="str">
        <x:v>LOC-JB-KG-MELAYU-LIMA-KEDAI</x:v>
      </x:c>
      <x:c r="T92" s="12" t="str">
        <x:v>SRC_GEO_2018_MELAYU_LIMA_KEDAI</x:v>
      </x:c>
      <x:c r="U92" s="12"/>
    </x:row>
    <x:row r="93">
      <x:c r="A93" s="12" t="str">
        <x:v>FLOC-0092</x:v>
      </x:c>
      <x:c r="B93" s="12" t="str">
        <x:v>Kampung Melayu Majidi</x:v>
      </x:c>
      <x:c r="C93" s="12" t="str">
        <x:v>COMMUNITY; Kampung</x:v>
      </x:c>
      <x:c r="D93" s="12" t="str">
        <x:v>JBLOC-0097; JBLOC-0098</x:v>
      </x:c>
      <x:c r="E93" s="12" t="str">
        <x:v>2018;2021;2022</x:v>
      </x:c>
      <x:c r="F93" s="12" t="n">
        <x:v>2018</x:v>
      </x:c>
      <x:c r="G93" s="12" t="n">
        <x:v>2022</x:v>
      </x:c>
      <x:c r="H93" s="18" t="n">
        <x:v>43383</x:v>
      </x:c>
      <x:c r="I93" s="18" t="n">
        <x:v>44872</x:v>
      </x:c>
      <x:c r="J93" s="12" t="n">
        <x:f>COUNTIF('03_Independent_Episodes'!$A$2:$A$345,A93)</x:f>
        <x:v>3</x:v>
      </x:c>
      <x:c r="K93" s="12" t="str">
        <x:f>IF(J93=0,"0",IF(J93&lt;=3,"1-3",IF(J93&lt;=6,"4-6","&gt;=7")))</x:f>
        <x:v>1-3</x:v>
      </x:c>
      <x:c r="L93" s="12" t="str">
        <x:f>IF(J93=0,"Baseline-only",IF(J93&lt;=3,"Occasional",IF(J93&lt;=6,"Recurrent","High-frequency")))</x:f>
        <x:v>Occasional</x:v>
      </x:c>
      <x:c r="M93" s="19" t="n">
        <x:v>103.75192484</x:v>
      </x:c>
      <x:c r="N93" s="19" t="n">
        <x:v>1.51174352</x:v>
      </x:c>
      <x:c r="O93" s="12" t="str">
        <x:v>YES</x:v>
      </x:c>
      <x:c r="P93" s="12" t="str">
        <x:v>PLOT</x:v>
      </x:c>
      <x:c r="Q93" s="12"/>
      <x:c r="R93" s="12"/>
      <x:c r="S93" s="12" t="str">
        <x:v>S2021-022; S2022-034; LOC-CAND-JB-KG-MELAYU-2018</x:v>
      </x:c>
      <x:c r="T93" s="12" t="str">
        <x:v>MyGeoName Johor gazetteer; SRC_R2018_MMAIL_20181010</x:v>
      </x:c>
      <x:c r="U93" s="12"/>
    </x:row>
    <x:row r="94">
      <x:c r="A94" s="12" t="str">
        <x:v>FLOC-0093</x:v>
      </x:c>
      <x:c r="B94" s="12" t="str">
        <x:v>Kampung Melayu Pandan</x:v>
      </x:c>
      <x:c r="C94" s="12" t="str">
        <x:v>COMMUNITY/AREA; Kampung</x:v>
      </x:c>
      <x:c r="D94" s="12" t="str">
        <x:v>JBLOC-0099</x:v>
      </x:c>
      <x:c r="E94" s="12" t="str">
        <x:v>2019;2025</x:v>
      </x:c>
      <x:c r="F94" s="12" t="n">
        <x:v>2019</x:v>
      </x:c>
      <x:c r="G94" s="12" t="n">
        <x:v>2025</x:v>
      </x:c>
      <x:c r="H94" s="18" t="n">
        <x:v>43760</x:v>
      </x:c>
      <x:c r="I94" s="18" t="n">
        <x:v>45736</x:v>
      </x:c>
      <x:c r="J94" s="12" t="n">
        <x:f>COUNTIF('03_Independent_Episodes'!$A$2:$A$345,A94)</x:f>
        <x:v>2</x:v>
      </x:c>
      <x:c r="K94" s="12" t="str">
        <x:f>IF(J94=0,"0",IF(J94&lt;=3,"1-3",IF(J94&lt;=6,"4-6","&gt;=7")))</x:f>
        <x:v>1-3</x:v>
      </x:c>
      <x:c r="L94" s="12" t="str">
        <x:f>IF(J94=0,"Baseline-only",IF(J94&lt;=3,"Occasional",IF(J94&lt;=6,"Recurrent","High-frequency")))</x:f>
        <x:v>Occasional</x:v>
      </x:c>
      <x:c r="M94" s="19" t="n">
        <x:v>103.773858346421</x:v>
      </x:c>
      <x:c r="N94" s="19" t="n">
        <x:v>1.52264915000001</x:v>
      </x:c>
      <x:c r="O94" s="12" t="str">
        <x:v>YES</x:v>
      </x:c>
      <x:c r="P94" s="12" t="str">
        <x:v>PLOT</x:v>
      </x:c>
      <x:c r="Q94" s="12"/>
      <x:c r="R94" s="12" t="str">
        <x:v>HF12</x:v>
      </x:c>
      <x:c r="S94" s="12" t="str">
        <x:v>LOC-JB-KG-MELAYU-PANDAN; S2025-014</x:v>
      </x:c>
      <x:c r="T94" s="12" t="str">
        <x:v>Fixed45 baseline</x:v>
      </x:c>
      <x:c r="U94" s="12"/>
    </x:row>
    <x:row r="95">
      <x:c r="A95" s="12" t="str">
        <x:v>FLOC-0094</x:v>
      </x:c>
      <x:c r="B95" s="12" t="str">
        <x:v>Kampung Mohd Amin, Kolam Air</x:v>
      </x:c>
      <x:c r="C95" s="12" t="str">
        <x:v>COMMUNITY; COMMUNITY/AREA; AREA; Kampung</x:v>
      </x:c>
      <x:c r="D95" s="12" t="str">
        <x:v>JBLOC-0100; JBLOC-0101; JBLOC-0102; JBLOC-0103</x:v>
      </x:c>
      <x:c r="E95" s="12" t="str">
        <x:v>2018;2019;2020;2021;2022;2023;2025;2026</x:v>
      </x:c>
      <x:c r="F95" s="12" t="n">
        <x:v>2018</x:v>
      </x:c>
      <x:c r="G95" s="12" t="n">
        <x:v>2026</x:v>
      </x:c>
      <x:c r="H95" s="18" t="n">
        <x:v>43383</x:v>
      </x:c>
      <x:c r="I95" s="18" t="n">
        <x:v>46295</x:v>
      </x:c>
      <x:c r="J95" s="12" t="n">
        <x:f>COUNTIF('03_Independent_Episodes'!$A$2:$A$345,A95)</x:f>
        <x:v>10</x:v>
      </x:c>
      <x:c r="K95" s="12" t="str">
        <x:f>IF(J95=0,"0",IF(J95&lt;=3,"1-3",IF(J95&lt;=6,"4-6","&gt;=7")))</x:f>
        <x:v>&gt;=7</x:v>
      </x:c>
      <x:c r="L95" s="12" t="str">
        <x:f>IF(J95=0,"Baseline-only",IF(J95&lt;=3,"Occasional",IF(J95&lt;=6,"Recurrent","High-frequency")))</x:f>
        <x:v>High-frequency</x:v>
      </x:c>
      <x:c r="M95" s="19" t="n">
        <x:v>103.7354126</x:v>
      </x:c>
      <x:c r="N95" s="19" t="n">
        <x:v>1.46736369999999</x:v>
      </x:c>
      <x:c r="O95" s="12" t="str">
        <x:v>YES</x:v>
      </x:c>
      <x:c r="P95" s="12" t="str">
        <x:v>PLOT</x:v>
      </x:c>
      <x:c r="Q95" s="12"/>
      <x:c r="R95" s="12" t="str">
        <x:v>HF08</x:v>
      </x:c>
      <x:c r="S95" s="12" t="str">
        <x:v>S2022-012; S2026-015; S2025-038; S2023-029; LOC-JB-KG-MOHD-AMIN-KOLAM-AIR; S2021-031</x:v>
      </x:c>
      <x:c r="T95" s="12" t="str">
        <x:v>Fixed45 baseline; Frozen canonical Kampung Mohd Amin reference; road alias retained; SRC_GEO_2018_MOHD_AMIN</x:v>
      </x:c>
      <x:c r="U95" s="12"/>
    </x:row>
    <x:row r="96">
      <x:c r="A96" s="12" t="str">
        <x:v>FLOC-0095</x:v>
      </x:c>
      <x:c r="B96" s="12" t="str">
        <x:v>Kampung Pasir Tebrau</x:v>
      </x:c>
      <x:c r="C96" s="12" t="str">
        <x:v>COMMUNITY; COMMUNITY/AREA; Kampung</x:v>
      </x:c>
      <x:c r="D96" s="12" t="str">
        <x:v>JBLOC-0107</x:v>
      </x:c>
      <x:c r="E96" s="12" t="str">
        <x:v>2019;2021;2022;2023;2025</x:v>
      </x:c>
      <x:c r="F96" s="12" t="n">
        <x:v>2019</x:v>
      </x:c>
      <x:c r="G96" s="12" t="n">
        <x:v>2025</x:v>
      </x:c>
      <x:c r="H96" s="18" t="n">
        <x:v>43814</x:v>
      </x:c>
      <x:c r="I96" s="18" t="n">
        <x:v>45735</x:v>
      </x:c>
      <x:c r="J96" s="12" t="n">
        <x:f>COUNTIF('03_Independent_Episodes'!$A$2:$A$345,A96)</x:f>
        <x:v>6</x:v>
      </x:c>
      <x:c r="K96" s="12" t="str">
        <x:f>IF(J96=0,"0",IF(J96&lt;=3,"1-3",IF(J96&lt;=6,"4-6","&gt;=7")))</x:f>
        <x:v>4-6</x:v>
      </x:c>
      <x:c r="L96" s="12" t="str">
        <x:f>IF(J96=0,"Baseline-only",IF(J96&lt;=3,"Occasional",IF(J96&lt;=6,"Recurrent","High-frequency")))</x:f>
        <x:v>Recurrent</x:v>
      </x:c>
      <x:c r="M96" s="19" t="n">
        <x:v>103.74327778</x:v>
      </x:c>
      <x:c r="N96" s="19" t="n">
        <x:v>1.54413889</x:v>
      </x:c>
      <x:c r="O96" s="12" t="str">
        <x:v>YES</x:v>
      </x:c>
      <x:c r="P96" s="12" t="str">
        <x:v>PLOT</x:v>
      </x:c>
      <x:c r="Q96" s="12"/>
      <x:c r="R96" s="12"/>
      <x:c r="S96" s="12" t="str">
        <x:v>LOC-JB-KG-PASIR-TEBRAU; S2021-010; S2022-021; S2023-007; S2025-008</x:v>
      </x:c>
      <x:c r="T96" s="12" t="str">
        <x:v>2019 spatial baseline</x:v>
      </x:c>
      <x:c r="U96" s="12"/>
    </x:row>
    <x:row r="97">
      <x:c r="A97" s="12" t="str">
        <x:v>FLOC-0096</x:v>
      </x:c>
      <x:c r="B97" s="12" t="str">
        <x:v>Kampung Pasir, Tampoi/Skudai</x:v>
      </x:c>
      <x:c r="C97" s="12" t="str">
        <x:v>COMMUNITY; COMMUNITY/AREA; Kampung</x:v>
      </x:c>
      <x:c r="D97" s="12" t="str">
        <x:v>JBLOC-0104; JBLOC-0105; JBLOC-0106</x:v>
      </x:c>
      <x:c r="E97" s="12" t="str">
        <x:v>2017;2020;2021;2022;2023;2025;2026</x:v>
      </x:c>
      <x:c r="F97" s="12" t="n">
        <x:v>2017</x:v>
      </x:c>
      <x:c r="G97" s="12" t="n">
        <x:v>2026</x:v>
      </x:c>
      <x:c r="H97" s="18" t="n">
        <x:v>43049</x:v>
      </x:c>
      <x:c r="I97" s="18" t="n">
        <x:v>46295</x:v>
      </x:c>
      <x:c r="J97" s="12" t="n">
        <x:f>COUNTIF('03_Independent_Episodes'!$A$2:$A$345,A97)</x:f>
        <x:v>14</x:v>
      </x:c>
      <x:c r="K97" s="12" t="str">
        <x:f>IF(J97=0,"0",IF(J97&lt;=3,"1-3",IF(J97&lt;=6,"4-6","&gt;=7")))</x:f>
        <x:v>&gt;=7</x:v>
      </x:c>
      <x:c r="L97" s="12" t="str">
        <x:f>IF(J97=0,"Baseline-only",IF(J97&lt;=3,"Occasional",IF(J97&lt;=6,"Recurrent","High-frequency")))</x:f>
        <x:v>High-frequency</x:v>
      </x:c>
      <x:c r="M97" s="19" t="n">
        <x:v>103.6969651</x:v>
      </x:c>
      <x:c r="N97" s="19" t="n">
        <x:v>1.49553030000001</x:v>
      </x:c>
      <x:c r="O97" s="12" t="str">
        <x:v>YES</x:v>
      </x:c>
      <x:c r="P97" s="12" t="str">
        <x:v>PLOT</x:v>
      </x:c>
      <x:c r="Q97" s="12"/>
      <x:c r="R97" s="12" t="str">
        <x:v>HF14</x:v>
      </x:c>
      <x:c r="S97" s="12" t="str">
        <x:v>S2021-006; S2022-003; S2023-018; S2025-005; S2026-006; LOC-JB-KG-PASIR-TAMPOI</x:v>
      </x:c>
      <x:c r="T97" s="12" t="str">
        <x:v>Fixed45 baseline; SRC_R2020_MMAIL_20201123; SRC_R2020_UTUSAN_20201121; SRC_GEO_KG_PASIR_RKK</x:v>
      </x:c>
      <x:c r="U97" s="12"/>
    </x:row>
    <x:row r="98">
      <x:c r="A98" s="12" t="str">
        <x:v>FLOC-0097</x:v>
      </x:c>
      <x:c r="B98" s="12" t="str">
        <x:v>Kampung Paya (24-25 Jan 2017 source)</x:v>
      </x:c>
      <x:c r="C98" s="12" t="str">
        <x:v>COMMUNITY/AREA</x:v>
      </x:c>
      <x:c r="D98" s="12" t="str">
        <x:v>JBLOC-0108</x:v>
      </x:c>
      <x:c r="E98" s="12" t="str">
        <x:v>2017</x:v>
      </x:c>
      <x:c r="F98" s="12" t="n">
        <x:v>2017</x:v>
      </x:c>
      <x:c r="G98" s="12" t="n">
        <x:v>2017</x:v>
      </x:c>
      <x:c r="H98" s="18" t="n">
        <x:v>42759</x:v>
      </x:c>
      <x:c r="I98" s="18" t="n">
        <x:v>42759</x:v>
      </x:c>
      <x:c r="J98" s="12" t="n">
        <x:f>COUNTIF('03_Independent_Episodes'!$A$2:$A$345,A98)</x:f>
        <x:v>1</x:v>
      </x:c>
      <x:c r="K98" s="12" t="str">
        <x:f>IF(J98=0,"0",IF(J98&lt;=3,"1-3",IF(J98&lt;=6,"4-6","&gt;=7")))</x:f>
        <x:v>1-3</x:v>
      </x:c>
      <x:c r="L98" s="12" t="str">
        <x:f>IF(J98=0,"Baseline-only",IF(J98&lt;=3,"Occasional",IF(J98&lt;=6,"Recurrent","High-frequency")))</x:f>
        <x:v>Occasional</x:v>
      </x:c>
      <x:c r="M98" s="19" t="n">
        <x:v>103.931586</x:v>
      </x:c>
      <x:c r="N98" s="19" t="n">
        <x:v>1.619208</x:v>
      </x:c>
      <x:c r="O98" s="12" t="str">
        <x:v>NO</x:v>
      </x:c>
      <x:c r="P98" s="12" t="str">
        <x:v>DO NOT PLOT</x:v>
      </x:c>
      <x:c r="Q98" s="12"/>
      <x:c r="R98" s="12"/>
      <x:c r="S98" s="12" t="str">
        <x:v>LOC-CAND-JB-KG-PAYA-UNSPEC-2017</x:v>
      </x:c>
      <x:c r="T98" s="12" t="str">
        <x:v>2017 spatial baseline</x:v>
      </x:c>
      <x:c r="U98" s="12"/>
    </x:row>
    <x:row r="99">
      <x:c r="A99" s="12" t="str">
        <x:v>FLOC-0098</x:v>
      </x:c>
      <x:c r="B99" s="12" t="str">
        <x:v>Kampung Paya Kenangan</x:v>
      </x:c>
      <x:c r="C99" s="12" t="str">
        <x:v>COMMUNITY; COMMUNITY/AREA; Kampung</x:v>
      </x:c>
      <x:c r="D99" s="12" t="str">
        <x:v>JBLOC-0110</x:v>
      </x:c>
      <x:c r="E99" s="12" t="str">
        <x:v>2017;2019;2021;2022;2023;2025</x:v>
      </x:c>
      <x:c r="F99" s="12" t="n">
        <x:v>2017</x:v>
      </x:c>
      <x:c r="G99" s="12" t="n">
        <x:v>2025</x:v>
      </x:c>
      <x:c r="H99" s="18" t="n">
        <x:v>42843</x:v>
      </x:c>
      <x:c r="I99" s="18" t="n">
        <x:v>45735</x:v>
      </x:c>
      <x:c r="J99" s="12" t="n">
        <x:f>COUNTIF('03_Independent_Episodes'!$A$2:$A$345,A99)</x:f>
        <x:v>9</x:v>
      </x:c>
      <x:c r="K99" s="12" t="str">
        <x:f>IF(J99=0,"0",IF(J99&lt;=3,"1-3",IF(J99&lt;=6,"4-6","&gt;=7")))</x:f>
        <x:v>&gt;=7</x:v>
      </x:c>
      <x:c r="L99" s="12" t="str">
        <x:f>IF(J99=0,"Baseline-only",IF(J99&lt;=3,"Occasional",IF(J99&lt;=6,"Recurrent","High-frequency")))</x:f>
        <x:v>High-frequency</x:v>
      </x:c>
      <x:c r="M99" s="19" t="n">
        <x:v>103.74961954</x:v>
      </x:c>
      <x:c r="N99" s="19" t="n">
        <x:v>1.5403203</x:v>
      </x:c>
      <x:c r="O99" s="12" t="str">
        <x:v>YES</x:v>
      </x:c>
      <x:c r="P99" s="12" t="str">
        <x:v>PLOT</x:v>
      </x:c>
      <x:c r="Q99" s="12"/>
      <x:c r="R99" s="12"/>
      <x:c r="S99" s="12" t="str">
        <x:v>LOC-JB-KG-PAYA-KENANGAN; S2021-009; S2022-022; S2023-009; S2025-002</x:v>
      </x:c>
      <x:c r="T99" s="12" t="str">
        <x:v>SRC_GEO_MYGEONAME_JOHOR</x:v>
      </x:c>
      <x:c r="U99" s="12"/>
    </x:row>
    <x:row r="100">
      <x:c r="A100" s="12" t="str">
        <x:v>FLOC-0099</x:v>
      </x:c>
      <x:c r="B100" s="12" t="str">
        <x:v>Kampung Paya Mengkuang</x:v>
      </x:c>
      <x:c r="C100" s="12" t="str">
        <x:v>COMMUNITY</x:v>
      </x:c>
      <x:c r="D100" s="12" t="str">
        <x:v>JBLOC-0111</x:v>
      </x:c>
      <x:c r="E100" s="12" t="str">
        <x:v>2022</x:v>
      </x:c>
      <x:c r="F100" s="12" t="n">
        <x:v>2022</x:v>
      </x:c>
      <x:c r="G100" s="12" t="n">
        <x:v>2022</x:v>
      </x:c>
      <x:c r="H100" s="18" t="n">
        <x:v>44685</x:v>
      </x:c>
      <x:c r="I100" s="18" t="n">
        <x:v>44829</x:v>
      </x:c>
      <x:c r="J100" s="12" t="n">
        <x:f>COUNTIF('03_Independent_Episodes'!$A$2:$A$345,A100)</x:f>
        <x:v>2</x:v>
      </x:c>
      <x:c r="K100" s="12" t="str">
        <x:f>IF(J100=0,"0",IF(J100&lt;=3,"1-3",IF(J100&lt;=6,"4-6","&gt;=7")))</x:f>
        <x:v>1-3</x:v>
      </x:c>
      <x:c r="L100" s="12" t="str">
        <x:f>IF(J100=0,"Baseline-only",IF(J100&lt;=3,"Occasional",IF(J100&lt;=6,"Recurrent","High-frequency")))</x:f>
        <x:v>Occasional</x:v>
      </x:c>
      <x:c r="M100" s="19" t="n">
        <x:v>103.58727458</x:v>
      </x:c>
      <x:c r="N100" s="19" t="n">
        <x:v>1.37194144</x:v>
      </x:c>
      <x:c r="O100" s="12" t="str">
        <x:v>YES</x:v>
      </x:c>
      <x:c r="P100" s="12" t="str">
        <x:v>PLOT</x:v>
      </x:c>
      <x:c r="Q100" s="12"/>
      <x:c r="R100" s="12"/>
      <x:c r="S100" s="12" t="str">
        <x:v>S2022-005</x:v>
      </x:c>
      <x:c r="T100" s="12" t="str">
        <x:v>MyGeoName Johor official gazette point</x:v>
      </x:c>
      <x:c r="U100" s="12"/>
    </x:row>
    <x:row r="101">
      <x:c r="A101" s="12" t="str">
        <x:v>FLOC-0100</x:v>
      </x:c>
      <x:c r="B101" s="12" t="str">
        <x:v>Kampung Paya Tiram, Sg. Layang / Sg. Redan context</x:v>
      </x:c>
      <x:c r="C101" s="12" t="str">
        <x:v>Kampung</x:v>
      </x:c>
      <x:c r="D101" s="12" t="str">
        <x:v>JBLOC-0114</x:v>
      </x:c>
      <x:c r="E101" s="12" t="str">
        <x:v>2019</x:v>
      </x:c>
      <x:c r="F101" s="12" t="n">
        <x:v>2019</x:v>
      </x:c>
      <x:c r="G101" s="12" t="n">
        <x:v>2019</x:v>
      </x:c>
      <x:c r="H101" s="18" t="n">
        <x:v>43814</x:v>
      </x:c>
      <x:c r="I101" s="18" t="n">
        <x:v>43814</x:v>
      </x:c>
      <x:c r="J101" s="12" t="n">
        <x:f>COUNTIF('03_Independent_Episodes'!$A$2:$A$345,A101)</x:f>
        <x:v>1</x:v>
      </x:c>
      <x:c r="K101" s="12" t="str">
        <x:f>IF(J101=0,"0",IF(J101&lt;=3,"1-3",IF(J101&lt;=6,"4-6","&gt;=7")))</x:f>
        <x:v>1-3</x:v>
      </x:c>
      <x:c r="L101" s="12" t="str">
        <x:f>IF(J101=0,"Baseline-only",IF(J101&lt;=3,"Occasional",IF(J101&lt;=6,"Recurrent","High-frequency")))</x:f>
        <x:v>Occasional</x:v>
      </x:c>
      <x:c r="M101" s="19"/>
      <x:c r="N101" s="19"/>
      <x:c r="O101" s="12" t="str">
        <x:v>NO</x:v>
      </x:c>
      <x:c r="P101" s="12" t="str">
        <x:v>DO NOT PLOT</x:v>
      </x:c>
      <x:c r="Q101" s="12"/>
      <x:c r="R101" s="12"/>
      <x:c r="S101" s="12" t="str">
        <x:v>LOC-CAND-JB-KG-PAYA-TIRAM-2019</x:v>
      </x:c>
      <x:c r="T101" s="12"/>
      <x:c r="U101" s="12"/>
    </x:row>
    <x:row r="102">
      <x:c r="A102" s="12" t="str">
        <x:v>FLOC-0101</x:v>
      </x:c>
      <x:c r="B102" s="12" t="str">
        <x:v>Kampung Paya, Bukit Mutiara</x:v>
      </x:c>
      <x:c r="C102" s="12" t="str">
        <x:v>COMMUNITY</x:v>
      </x:c>
      <x:c r="D102" s="12" t="str">
        <x:v>JBLOC-0109</x:v>
      </x:c>
      <x:c r="E102" s="12" t="str">
        <x:v>2021</x:v>
      </x:c>
      <x:c r="F102" s="12" t="n">
        <x:v>2021</x:v>
      </x:c>
      <x:c r="G102" s="12" t="n">
        <x:v>2021</x:v>
      </x:c>
      <x:c r="H102" s="18" t="n">
        <x:v>44206</x:v>
      </x:c>
      <x:c r="I102" s="18" t="n">
        <x:v>44206</x:v>
      </x:c>
      <x:c r="J102" s="12" t="n">
        <x:f>COUNTIF('03_Independent_Episodes'!$A$2:$A$345,A102)</x:f>
        <x:v>1</x:v>
      </x:c>
      <x:c r="K102" s="12" t="str">
        <x:f>IF(J102=0,"0",IF(J102&lt;=3,"1-3",IF(J102&lt;=6,"4-6","&gt;=7")))</x:f>
        <x:v>1-3</x:v>
      </x:c>
      <x:c r="L102" s="12" t="str">
        <x:f>IF(J102=0,"Baseline-only",IF(J102&lt;=3,"Occasional",IF(J102&lt;=6,"Recurrent","High-frequency")))</x:f>
        <x:v>Occasional</x:v>
      </x:c>
      <x:c r="M102" s="19"/>
      <x:c r="N102" s="19"/>
      <x:c r="O102" s="12" t="str">
        <x:v>NO</x:v>
      </x:c>
      <x:c r="P102" s="12" t="str">
        <x:v>DO NOT PLOT</x:v>
      </x:c>
      <x:c r="Q102" s="12"/>
      <x:c r="R102" s="12"/>
      <x:c r="S102" s="12" t="str">
        <x:v>S2021-014</x:v>
      </x:c>
      <x:c r="T102" s="12"/>
      <x:c r="U102" s="12"/>
    </x:row>
    <x:row r="103">
      <x:c r="A103" s="12" t="str">
        <x:v>FLOC-0102</x:v>
      </x:c>
      <x:c r="B103" s="12" t="str">
        <x:v>Kampung Paya, Nam Heng plantation / Mukim Sungai Tiram</x:v>
      </x:c>
      <x:c r="C103" s="12" t="str">
        <x:v>COMMUNITY/AREA</x:v>
      </x:c>
      <x:c r="D103" s="12" t="str">
        <x:v>JBLOC-0112</x:v>
      </x:c>
      <x:c r="E103" s="12" t="str">
        <x:v>2017</x:v>
      </x:c>
      <x:c r="F103" s="12" t="n">
        <x:v>2017</x:v>
      </x:c>
      <x:c r="G103" s="12" t="n">
        <x:v>2017</x:v>
      </x:c>
      <x:c r="H103" s="18" t="n">
        <x:v>43053</x:v>
      </x:c>
      <x:c r="I103" s="18" t="n">
        <x:v>43053</x:v>
      </x:c>
      <x:c r="J103" s="12" t="n">
        <x:f>COUNTIF('03_Independent_Episodes'!$A$2:$A$345,A103)</x:f>
        <x:v>1</x:v>
      </x:c>
      <x:c r="K103" s="12" t="str">
        <x:f>IF(J103=0,"0",IF(J103&lt;=3,"1-3",IF(J103&lt;=6,"4-6","&gt;=7")))</x:f>
        <x:v>1-3</x:v>
      </x:c>
      <x:c r="L103" s="12" t="str">
        <x:f>IF(J103=0,"Baseline-only",IF(J103&lt;=3,"Occasional",IF(J103&lt;=6,"Recurrent","High-frequency")))</x:f>
        <x:v>Occasional</x:v>
      </x:c>
      <x:c r="M103" s="19"/>
      <x:c r="N103" s="19"/>
      <x:c r="O103" s="12" t="str">
        <x:v>NO</x:v>
      </x:c>
      <x:c r="P103" s="12" t="str">
        <x:v>DO NOT PLOT</x:v>
      </x:c>
      <x:c r="Q103" s="12"/>
      <x:c r="R103" s="12"/>
      <x:c r="S103" s="12" t="str">
        <x:v>LOC-JB-KG-PAYA-NAM-HENG</x:v>
      </x:c>
      <x:c r="T103" s="12"/>
      <x:c r="U103" s="12"/>
    </x:row>
    <x:row r="104">
      <x:c r="A104" s="12" t="str">
        <x:v>FLOC-0103</x:v>
      </x:c>
      <x:c r="B104" s="12" t="str">
        <x:v>Kampung Pekajang</x:v>
      </x:c>
      <x:c r="C104" s="12" t="str">
        <x:v>COMMUNITY</x:v>
      </x:c>
      <x:c r="D104" s="12" t="str">
        <x:v>JBLOC-0115</x:v>
      </x:c>
      <x:c r="E104" s="12" t="str">
        <x:v>2022</x:v>
      </x:c>
      <x:c r="F104" s="12" t="n">
        <x:v>2022</x:v>
      </x:c>
      <x:c r="G104" s="12" t="n">
        <x:v>2022</x:v>
      </x:c>
      <x:c r="H104" s="18" t="n">
        <x:v>44829</x:v>
      </x:c>
      <x:c r="I104" s="18" t="n">
        <x:v>44829</x:v>
      </x:c>
      <x:c r="J104" s="12" t="n">
        <x:f>COUNTIF('03_Independent_Episodes'!$A$2:$A$345,A104)</x:f>
        <x:v>1</x:v>
      </x:c>
      <x:c r="K104" s="12" t="str">
        <x:f>IF(J104=0,"0",IF(J104&lt;=3,"1-3",IF(J104&lt;=6,"4-6","&gt;=7")))</x:f>
        <x:v>1-3</x:v>
      </x:c>
      <x:c r="L104" s="12" t="str">
        <x:f>IF(J104=0,"Baseline-only",IF(J104&lt;=3,"Occasional",IF(J104&lt;=6,"Recurrent","High-frequency")))</x:f>
        <x:v>Occasional</x:v>
      </x:c>
      <x:c r="M104" s="19" t="n">
        <x:v>103.55904663</x:v>
      </x:c>
      <x:c r="N104" s="19" t="n">
        <x:v>1.36899644</x:v>
      </x:c>
      <x:c r="O104" s="12" t="str">
        <x:v>NO</x:v>
      </x:c>
      <x:c r="P104" s="12" t="str">
        <x:v>DO NOT PLOT</x:v>
      </x:c>
      <x:c r="Q104" s="12"/>
      <x:c r="R104" s="12"/>
      <x:c r="S104" s="12" t="str">
        <x:v>S2022-032</x:v>
      </x:c>
      <x:c r="T104" s="12" t="str">
        <x:v>MyGeoName Johor gazette 'Kg. Pekejang' candidate</x:v>
      </x:c>
      <x:c r="U104" s="12"/>
    </x:row>
    <x:row r="105">
      <x:c r="A105" s="12" t="str">
        <x:v>FLOC-0104</x:v>
      </x:c>
      <x:c r="B105" s="12" t="str">
        <x:v>Kampung Peladang</x:v>
      </x:c>
      <x:c r="C105" s="12" t="str">
        <x:v>COMMUNITY</x:v>
      </x:c>
      <x:c r="D105" s="12" t="str">
        <x:v>JBLOC-0116</x:v>
      </x:c>
      <x:c r="E105" s="12" t="str">
        <x:v>2022</x:v>
      </x:c>
      <x:c r="F105" s="12" t="n">
        <x:v>2022</x:v>
      </x:c>
      <x:c r="G105" s="12" t="n">
        <x:v>2022</x:v>
      </x:c>
      <x:c r="H105" s="18" t="n">
        <x:v>44829</x:v>
      </x:c>
      <x:c r="I105" s="18" t="n">
        <x:v>44829</x:v>
      </x:c>
      <x:c r="J105" s="12" t="n">
        <x:f>COUNTIF('03_Independent_Episodes'!$A$2:$A$345,A105)</x:f>
        <x:v>1</x:v>
      </x:c>
      <x:c r="K105" s="12" t="str">
        <x:f>IF(J105=0,"0",IF(J105&lt;=3,"1-3",IF(J105&lt;=6,"4-6","&gt;=7")))</x:f>
        <x:v>1-3</x:v>
      </x:c>
      <x:c r="L105" s="12" t="str">
        <x:f>IF(J105=0,"Baseline-only",IF(J105&lt;=3,"Occasional",IF(J105&lt;=6,"Recurrent","High-frequency")))</x:f>
        <x:v>Occasional</x:v>
      </x:c>
      <x:c r="M105" s="19"/>
      <x:c r="N105" s="19"/>
      <x:c r="O105" s="12" t="str">
        <x:v>NO</x:v>
      </x:c>
      <x:c r="P105" s="12" t="str">
        <x:v>DO NOT PLOT</x:v>
      </x:c>
      <x:c r="Q105" s="12"/>
      <x:c r="R105" s="12"/>
      <x:c r="S105" s="12" t="str">
        <x:v>S2022-031</x:v>
      </x:c>
      <x:c r="T105" s="12"/>
      <x:c r="U105" s="12"/>
    </x:row>
    <x:row r="106">
      <x:c r="A106" s="12" t="str">
        <x:v>FLOC-0105</x:v>
      </x:c>
      <x:c r="B106" s="12" t="str">
        <x:v>Kampung Pengkalan Rinting</x:v>
      </x:c>
      <x:c r="C106" s="12" t="str">
        <x:v>Kampung</x:v>
      </x:c>
      <x:c r="D106" s="12" t="str">
        <x:v>JBLOC-0117</x:v>
      </x:c>
      <x:c r="E106" s="12" t="str">
        <x:v>2020</x:v>
      </x:c>
      <x:c r="F106" s="12" t="n">
        <x:v>2020</x:v>
      </x:c>
      <x:c r="G106" s="12" t="n">
        <x:v>2020</x:v>
      </x:c>
      <x:c r="H106" s="18" t="n">
        <x:v>44156</x:v>
      </x:c>
      <x:c r="I106" s="18" t="n">
        <x:v>44156</x:v>
      </x:c>
      <x:c r="J106" s="12" t="n">
        <x:f>COUNTIF('03_Independent_Episodes'!$A$2:$A$345,A106)</x:f>
        <x:v>1</x:v>
      </x:c>
      <x:c r="K106" s="12" t="str">
        <x:f>IF(J106=0,"0",IF(J106&lt;=3,"1-3",IF(J106&lt;=6,"4-6","&gt;=7")))</x:f>
        <x:v>1-3</x:v>
      </x:c>
      <x:c r="L106" s="12" t="str">
        <x:f>IF(J106=0,"Baseline-only",IF(J106&lt;=3,"Occasional",IF(J106&lt;=6,"Recurrent","High-frequency")))</x:f>
        <x:v>Occasional</x:v>
      </x:c>
      <x:c r="M106" s="19" t="n">
        <x:v>103.70472574</x:v>
      </x:c>
      <x:c r="N106" s="19" t="n">
        <x:v>1.49166007</x:v>
      </x:c>
      <x:c r="O106" s="12" t="str">
        <x:v>YES</x:v>
      </x:c>
      <x:c r="P106" s="12" t="str">
        <x:v>PLOT</x:v>
      </x:c>
      <x:c r="Q106" s="12"/>
      <x:c r="R106" s="12"/>
      <x:c r="S106" s="12" t="str">
        <x:v>LOC-JB-KG-PENGKALAN-RINTING</x:v>
      </x:c>
      <x:c r="T106" s="12" t="str">
        <x:v>SRC_R2020_SINAR_20201122_PASIR</x:v>
      </x:c>
      <x:c r="U106" s="12"/>
    </x:row>
    <x:row r="107">
      <x:c r="A107" s="12" t="str">
        <x:v>FLOC-0106</x:v>
      </x:c>
      <x:c r="B107" s="12" t="str">
        <x:v>Kampung Plentong</x:v>
      </x:c>
      <x:c r="C107" s="12" t="str">
        <x:v>Kampung</x:v>
      </x:c>
      <x:c r="D107" s="12" t="str">
        <x:v>JBLOC-0118</x:v>
      </x:c>
      <x:c r="E107" s="12" t="str">
        <x:v>2020</x:v>
      </x:c>
      <x:c r="F107" s="12" t="n">
        <x:v>2020</x:v>
      </x:c>
      <x:c r="G107" s="12" t="n">
        <x:v>2020</x:v>
      </x:c>
      <x:c r="H107" s="18" t="n">
        <x:v>43986</x:v>
      </x:c>
      <x:c r="I107" s="18" t="n">
        <x:v>43986</x:v>
      </x:c>
      <x:c r="J107" s="12" t="n">
        <x:f>COUNTIF('03_Independent_Episodes'!$A$2:$A$345,A107)</x:f>
        <x:v>1</x:v>
      </x:c>
      <x:c r="K107" s="12" t="str">
        <x:f>IF(J107=0,"0",IF(J107&lt;=3,"1-3",IF(J107&lt;=6,"4-6","&gt;=7")))</x:f>
        <x:v>1-3</x:v>
      </x:c>
      <x:c r="L107" s="12" t="str">
        <x:f>IF(J107=0,"Baseline-only",IF(J107&lt;=3,"Occasional",IF(J107&lt;=6,"Recurrent","High-frequency")))</x:f>
        <x:v>Occasional</x:v>
      </x:c>
      <x:c r="M107" s="19" t="n">
        <x:v>103.800959</x:v>
      </x:c>
      <x:c r="N107" s="19" t="n">
        <x:v>1.493921</x:v>
      </x:c>
      <x:c r="O107" s="12" t="str">
        <x:v>YES</x:v>
      </x:c>
      <x:c r="P107" s="12" t="str">
        <x:v>PLOT</x:v>
      </x:c>
      <x:c r="Q107" s="12"/>
      <x:c r="R107" s="12"/>
      <x:c r="S107" s="12" t="str">
        <x:v>LOC-JB-KG-PLENTONG-2020</x:v>
      </x:c>
      <x:c r="T107" s="12" t="str">
        <x:v>SRC_R2020_JPS_2020_TABLE</x:v>
      </x:c>
      <x:c r="U107" s="12"/>
    </x:row>
    <x:row r="108">
      <x:c r="A108" s="12" t="str">
        <x:v>FLOC-0107</x:v>
      </x:c>
      <x:c r="B108" s="12" t="str">
        <x:v>Kampung Plentong Baru</x:v>
      </x:c>
      <x:c r="C108" s="12" t="str">
        <x:v>COMMUNITY</x:v>
      </x:c>
      <x:c r="D108" s="12" t="str">
        <x:v>JBLOC-0119</x:v>
      </x:c>
      <x:c r="E108" s="12" t="str">
        <x:v>2022</x:v>
      </x:c>
      <x:c r="F108" s="12" t="n">
        <x:v>2022</x:v>
      </x:c>
      <x:c r="G108" s="12" t="n">
        <x:v>2022</x:v>
      </x:c>
      <x:c r="H108" s="18" t="n">
        <x:v>44810</x:v>
      </x:c>
      <x:c r="I108" s="18" t="n">
        <x:v>44810</x:v>
      </x:c>
      <x:c r="J108" s="12" t="n">
        <x:f>COUNTIF('03_Independent_Episodes'!$A$2:$A$345,A108)</x:f>
        <x:v>1</x:v>
      </x:c>
      <x:c r="K108" s="12" t="str">
        <x:f>IF(J108=0,"0",IF(J108&lt;=3,"1-3",IF(J108&lt;=6,"4-6","&gt;=7")))</x:f>
        <x:v>1-3</x:v>
      </x:c>
      <x:c r="L108" s="12" t="str">
        <x:f>IF(J108=0,"Baseline-only",IF(J108&lt;=3,"Occasional",IF(J108&lt;=6,"Recurrent","High-frequency")))</x:f>
        <x:v>Occasional</x:v>
      </x:c>
      <x:c r="M108" s="19" t="n">
        <x:v>103.8166885</x:v>
      </x:c>
      <x:c r="N108" s="19" t="n">
        <x:v>1.5179158</x:v>
      </x:c>
      <x:c r="O108" s="12" t="str">
        <x:v>YES</x:v>
      </x:c>
      <x:c r="P108" s="12" t="str">
        <x:v>PLOT</x:v>
      </x:c>
      <x:c r="Q108" s="12"/>
      <x:c r="R108" s="12" t="str">
        <x:v>HF13</x:v>
      </x:c>
      <x:c r="S108" s="12" t="str">
        <x:v>S2022-026</x:v>
      </x:c>
      <x:c r="T108" s="12" t="str">
        <x:v>Fixed45 baseline</x:v>
      </x:c>
      <x:c r="U108" s="12"/>
    </x:row>
    <x:row r="109">
      <x:c r="A109" s="12" t="str">
        <x:v>FLOC-0108</x:v>
      </x:c>
      <x:c r="B109" s="12" t="str">
        <x:v>Kampung Pulai, Ulu Pulai</x:v>
      </x:c>
      <x:c r="C109" s="12" t="str">
        <x:v>Kampung</x:v>
      </x:c>
      <x:c r="D109" s="12" t="str">
        <x:v>JBLOC-0120; JBLOC-0121</x:v>
      </x:c>
      <x:c r="E109" s="12" t="str">
        <x:v>2018;2019</x:v>
      </x:c>
      <x:c r="F109" s="12" t="n">
        <x:v>2018</x:v>
      </x:c>
      <x:c r="G109" s="12" t="n">
        <x:v>2019</x:v>
      </x:c>
      <x:c r="H109" s="18" t="n">
        <x:v>43237</x:v>
      </x:c>
      <x:c r="I109" s="18" t="n">
        <x:v>43760</x:v>
      </x:c>
      <x:c r="J109" s="12" t="n">
        <x:f>COUNTIF('03_Independent_Episodes'!$A$2:$A$345,A109)</x:f>
        <x:v>3</x:v>
      </x:c>
      <x:c r="K109" s="12" t="str">
        <x:f>IF(J109=0,"0",IF(J109&lt;=3,"1-3",IF(J109&lt;=6,"4-6","&gt;=7")))</x:f>
        <x:v>1-3</x:v>
      </x:c>
      <x:c r="L109" s="12" t="str">
        <x:f>IF(J109=0,"Baseline-only",IF(J109&lt;=3,"Occasional",IF(J109&lt;=6,"Recurrent","High-frequency")))</x:f>
        <x:v>Occasional</x:v>
      </x:c>
      <x:c r="M109" s="19" t="n">
        <x:v>103.56799503</x:v>
      </x:c>
      <x:c r="N109" s="19" t="n">
        <x:v>1.47115514</x:v>
      </x:c>
      <x:c r="O109" s="12" t="str">
        <x:v>YES</x:v>
      </x:c>
      <x:c r="P109" s="12" t="str">
        <x:v>PLOT</x:v>
      </x:c>
      <x:c r="Q109" s="12"/>
      <x:c r="R109" s="12"/>
      <x:c r="S109" s="12" t="str">
        <x:v>LOC-JB-KG-PULAI-ULU-PULAI</x:v>
      </x:c>
      <x:c r="T109" s="12" t="str">
        <x:v>2019 spatial baseline; SRC_GEO_2018_KG_PULAI</x:v>
      </x:c>
      <x:c r="U109" s="12"/>
    </x:row>
    <x:row r="110">
      <x:c r="A110" s="12" t="str">
        <x:v>FLOC-0109</x:v>
      </x:c>
      <x:c r="B110" s="12" t="str">
        <x:v>Kampung Sepakat Baru</x:v>
      </x:c>
      <x:c r="C110" s="12" t="str">
        <x:v>COMMUNITY; Kampung / residential hamlet</x:v>
      </x:c>
      <x:c r="D110" s="12" t="str">
        <x:v>JBLOC-0125</x:v>
      </x:c>
      <x:c r="E110" s="12" t="str">
        <x:v>2019;2021</x:v>
      </x:c>
      <x:c r="F110" s="12" t="n">
        <x:v>2019</x:v>
      </x:c>
      <x:c r="G110" s="12" t="n">
        <x:v>2021</x:v>
      </x:c>
      <x:c r="H110" s="18" t="n">
        <x:v>43814</x:v>
      </x:c>
      <x:c r="I110" s="18" t="n">
        <x:v>44206</x:v>
      </x:c>
      <x:c r="J110" s="12" t="n">
        <x:f>COUNTIF('03_Independent_Episodes'!$A$2:$A$345,A110)</x:f>
        <x:v>3</x:v>
      </x:c>
      <x:c r="K110" s="12" t="str">
        <x:f>IF(J110=0,"0",IF(J110&lt;=3,"1-3",IF(J110&lt;=6,"4-6","&gt;=7")))</x:f>
        <x:v>1-3</x:v>
      </x:c>
      <x:c r="L110" s="12" t="str">
        <x:f>IF(J110=0,"Baseline-only",IF(J110&lt;=3,"Occasional",IF(J110&lt;=6,"Recurrent","High-frequency")))</x:f>
        <x:v>Occasional</x:v>
      </x:c>
      <x:c r="M110" s="19" t="n">
        <x:v>103.66117</x:v>
      </x:c>
      <x:c r="N110" s="19" t="n">
        <x:v>1.56411</x:v>
      </x:c>
      <x:c r="O110" s="12" t="str">
        <x:v>YES</x:v>
      </x:c>
      <x:c r="P110" s="12" t="str">
        <x:v>PLOT</x:v>
      </x:c>
      <x:c r="Q110" s="12" t="str">
        <x:v>PG2019-KG-SEPAKAT-BARU</x:v>
      </x:c>
      <x:c r="R110" s="12"/>
      <x:c r="S110" s="12" t="str">
        <x:v>LOC-JB-KG-SEPAKAT-BARU; S2021-008</x:v>
      </x:c>
      <x:c r="T110" s="12" t="str">
        <x:v>SRC_GEO_2019_SEPAKAT_BARU</x:v>
      </x:c>
      <x:c r="U110" s="12"/>
    </x:row>
    <x:row r="111">
      <x:c r="A111" s="12" t="str">
        <x:v>FLOC-0110</x:v>
      </x:c>
      <x:c r="B111" s="12" t="str">
        <x:v>Kampung Seri Serdang Baru</x:v>
      </x:c>
      <x:c r="C111" s="12" t="str">
        <x:v>Kampung</x:v>
      </x:c>
      <x:c r="D111" s="12" t="str">
        <x:v>JBLOC-0130</x:v>
      </x:c>
      <x:c r="E111" s="12" t="str">
        <x:v>2020</x:v>
      </x:c>
      <x:c r="F111" s="12" t="n">
        <x:v>2020</x:v>
      </x:c>
      <x:c r="G111" s="12" t="n">
        <x:v>2020</x:v>
      </x:c>
      <x:c r="H111" s="18" t="n">
        <x:v>44156</x:v>
      </x:c>
      <x:c r="I111" s="18" t="n">
        <x:v>44156</x:v>
      </x:c>
      <x:c r="J111" s="12" t="n">
        <x:f>COUNTIF('03_Independent_Episodes'!$A$2:$A$345,A111)</x:f>
        <x:v>1</x:v>
      </x:c>
      <x:c r="K111" s="12" t="str">
        <x:f>IF(J111=0,"0",IF(J111&lt;=3,"1-3",IF(J111&lt;=6,"4-6","&gt;=7")))</x:f>
        <x:v>1-3</x:v>
      </x:c>
      <x:c r="L111" s="12" t="str">
        <x:f>IF(J111=0,"Baseline-only",IF(J111&lt;=3,"Occasional",IF(J111&lt;=6,"Recurrent","High-frequency")))</x:f>
        <x:v>Occasional</x:v>
      </x:c>
      <x:c r="M111" s="19" t="n">
        <x:v>103.68986464</x:v>
      </x:c>
      <x:c r="N111" s="19" t="n">
        <x:v>1.50134219</x:v>
      </x:c>
      <x:c r="O111" s="12" t="str">
        <x:v>YES</x:v>
      </x:c>
      <x:c r="P111" s="12" t="str">
        <x:v>PLOT</x:v>
      </x:c>
      <x:c r="Q111" s="12"/>
      <x:c r="R111" s="12"/>
      <x:c r="S111" s="12" t="str">
        <x:v>LOC-JB-KG-SERI-SERDANG-BARU</x:v>
      </x:c>
      <x:c r="T111" s="12" t="str">
        <x:v>SRC_R2020_SINAR_20201122_PASIR</x:v>
      </x:c>
      <x:c r="U111" s="12"/>
    </x:row>
    <x:row r="112">
      <x:c r="A112" s="12" t="str">
        <x:v>FLOC-0111</x:v>
      </x:c>
      <x:c r="B112" s="12" t="str">
        <x:v>Kampung Sinaran (JPS label)</x:v>
      </x:c>
      <x:c r="C112" s="12" t="str">
        <x:v>Kampung</x:v>
      </x:c>
      <x:c r="D112" s="12" t="str">
        <x:v>JBLOC-0131</x:v>
      </x:c>
      <x:c r="E112" s="12" t="str">
        <x:v>2019</x:v>
      </x:c>
      <x:c r="F112" s="12" t="n">
        <x:v>2019</x:v>
      </x:c>
      <x:c r="G112" s="12" t="n">
        <x:v>2019</x:v>
      </x:c>
      <x:c r="H112" s="18" t="n">
        <x:v>43814</x:v>
      </x:c>
      <x:c r="I112" s="18" t="n">
        <x:v>43814</x:v>
      </x:c>
      <x:c r="J112" s="12" t="n">
        <x:f>COUNTIF('03_Independent_Episodes'!$A$2:$A$345,A112)</x:f>
        <x:v>1</x:v>
      </x:c>
      <x:c r="K112" s="12" t="str">
        <x:f>IF(J112=0,"0",IF(J112&lt;=3,"1-3",IF(J112&lt;=6,"4-6","&gt;=7")))</x:f>
        <x:v>1-3</x:v>
      </x:c>
      <x:c r="L112" s="12" t="str">
        <x:f>IF(J112=0,"Baseline-only",IF(J112&lt;=3,"Occasional",IF(J112&lt;=6,"Recurrent","High-frequency")))</x:f>
        <x:v>Occasional</x:v>
      </x:c>
      <x:c r="M112" s="19" t="n">
        <x:v>103.71992</x:v>
      </x:c>
      <x:c r="N112" s="19" t="n">
        <x:v>1.59821</x:v>
      </x:c>
      <x:c r="O112" s="12" t="str">
        <x:v>NO</x:v>
      </x:c>
      <x:c r="P112" s="12" t="str">
        <x:v>DO NOT PLOT</x:v>
      </x:c>
      <x:c r="Q112" s="12"/>
      <x:c r="R112" s="12"/>
      <x:c r="S112" s="12" t="str">
        <x:v>LOC-CAND-JB-KG-SINARAN-2019</x:v>
      </x:c>
      <x:c r="T112" s="12" t="str">
        <x:v>2019 spatial baseline</x:v>
      </x:c>
      <x:c r="U112" s="12"/>
    </x:row>
    <x:row r="113">
      <x:c r="A113" s="12" t="str">
        <x:v>FLOC-0112</x:v>
      </x:c>
      <x:c r="B113" s="12" t="str">
        <x:v>Kampung Skudai Kiri</x:v>
      </x:c>
      <x:c r="C113" s="12" t="str">
        <x:v>Neighborhood</x:v>
      </x:c>
      <x:c r="D113" s="12" t="str">
        <x:v>JBLOC-0132</x:v>
      </x:c>
      <x:c r="E113" s="12" t="str">
        <x:v>2018</x:v>
      </x:c>
      <x:c r="F113" s="12" t="n">
        <x:v>2018</x:v>
      </x:c>
      <x:c r="G113" s="12" t="n">
        <x:v>2018</x:v>
      </x:c>
      <x:c r="H113" s="18" t="n">
        <x:v>43210</x:v>
      </x:c>
      <x:c r="I113" s="18" t="n">
        <x:v>43210</x:v>
      </x:c>
      <x:c r="J113" s="12" t="n">
        <x:f>COUNTIF('03_Independent_Episodes'!$A$2:$A$345,A113)</x:f>
        <x:v>1</x:v>
      </x:c>
      <x:c r="K113" s="12" t="str">
        <x:f>IF(J113=0,"0",IF(J113&lt;=3,"1-3",IF(J113&lt;=6,"4-6","&gt;=7")))</x:f>
        <x:v>1-3</x:v>
      </x:c>
      <x:c r="L113" s="12" t="str">
        <x:f>IF(J113=0,"Baseline-only",IF(J113&lt;=3,"Occasional",IF(J113&lt;=6,"Recurrent","High-frequency")))</x:f>
        <x:v>Occasional</x:v>
      </x:c>
      <x:c r="M113" s="19" t="n">
        <x:v>103.71164</x:v>
      </x:c>
      <x:c r="N113" s="19" t="n">
        <x:v>1.48682</x:v>
      </x:c>
      <x:c r="O113" s="12" t="str">
        <x:v>YES</x:v>
      </x:c>
      <x:c r="P113" s="12" t="str">
        <x:v>PLOT</x:v>
      </x:c>
      <x:c r="Q113" s="12"/>
      <x:c r="R113" s="12"/>
      <x:c r="S113" s="12" t="str">
        <x:v>LOC-JB-KG-SKUDAI-KIRI</x:v>
      </x:c>
      <x:c r="T113" s="12" t="str">
        <x:v>SRC_GEO_2018_SKUDAI_KIRI</x:v>
      </x:c>
      <x:c r="U113" s="12"/>
    </x:row>
    <x:row r="114">
      <x:c r="A114" s="12" t="str">
        <x:v>FLOC-0113</x:v>
      </x:c>
      <x:c r="B114" s="12" t="str">
        <x:v>Kampung Sri Jaya Baru</x:v>
      </x:c>
      <x:c r="C114" s="12" t="str">
        <x:v>COMMUNITY; Kampung</x:v>
      </x:c>
      <x:c r="D114" s="12" t="str">
        <x:v>JBLOC-0128; JBLOC-0134</x:v>
      </x:c>
      <x:c r="E114" s="12" t="str">
        <x:v>2020;2021</x:v>
      </x:c>
      <x:c r="F114" s="12" t="n">
        <x:v>2020</x:v>
      </x:c>
      <x:c r="G114" s="12" t="n">
        <x:v>2021</x:v>
      </x:c>
      <x:c r="H114" s="18" t="n">
        <x:v>44156</x:v>
      </x:c>
      <x:c r="I114" s="18" t="n">
        <x:v>44469</x:v>
      </x:c>
      <x:c r="J114" s="12" t="n">
        <x:f>COUNTIF('03_Independent_Episodes'!$A$2:$A$345,A114)</x:f>
        <x:v>2</x:v>
      </x:c>
      <x:c r="K114" s="12" t="str">
        <x:f>IF(J114=0,"0",IF(J114&lt;=3,"1-3",IF(J114&lt;=6,"4-6","&gt;=7")))</x:f>
        <x:v>1-3</x:v>
      </x:c>
      <x:c r="L114" s="12" t="str">
        <x:f>IF(J114=0,"Baseline-only",IF(J114&lt;=3,"Occasional",IF(J114&lt;=6,"Recurrent","High-frequency")))</x:f>
        <x:v>Occasional</x:v>
      </x:c>
      <x:c r="M114" s="19" t="n">
        <x:v>103.69059841</x:v>
      </x:c>
      <x:c r="N114" s="19" t="n">
        <x:v>1.49949602</x:v>
      </x:c>
      <x:c r="O114" s="12" t="str">
        <x:v>YES</x:v>
      </x:c>
      <x:c r="P114" s="12" t="str">
        <x:v>PLOT</x:v>
      </x:c>
      <x:c r="Q114" s="12"/>
      <x:c r="R114" s="12"/>
      <x:c r="S114" s="12" t="str">
        <x:v>S2021-030; LOC-JB-KG-SRI-JAYA-BARU</x:v>
      </x:c>
      <x:c r="T114" s="12" t="str">
        <x:v>SRC_R2020_SINAR_20201122_PASIR</x:v>
      </x:c>
      <x:c r="U114" s="12"/>
    </x:row>
    <x:row r="115">
      <x:c r="A115" s="12" t="str">
        <x:v>FLOC-0114</x:v>
      </x:c>
      <x:c r="B115" s="12" t="str">
        <x:v>Kampung Sri Jaya, Skudai</x:v>
      </x:c>
      <x:c r="C115" s="12" t="str">
        <x:v>Kampung; COMMUNITY/AREA; Neighborhood</x:v>
      </x:c>
      <x:c r="D115" s="12" t="str">
        <x:v>JBLOC-0127; JBLOC-0133; JBLOC-0135</x:v>
      </x:c>
      <x:c r="E115" s="12" t="str">
        <x:v>2018;2020;2026</x:v>
      </x:c>
      <x:c r="F115" s="12" t="n">
        <x:v>2018</x:v>
      </x:c>
      <x:c r="G115" s="12" t="n">
        <x:v>2026</x:v>
      </x:c>
      <x:c r="H115" s="18" t="n">
        <x:v>43395</x:v>
      </x:c>
      <x:c r="I115" s="18" t="n">
        <x:v>46295</x:v>
      </x:c>
      <x:c r="J115" s="12" t="n">
        <x:f>COUNTIF('03_Independent_Episodes'!$A$2:$A$345,A115)</x:f>
        <x:v>3</x:v>
      </x:c>
      <x:c r="K115" s="12" t="str">
        <x:f>IF(J115=0,"0",IF(J115&lt;=3,"1-3",IF(J115&lt;=6,"4-6","&gt;=7")))</x:f>
        <x:v>1-3</x:v>
      </x:c>
      <x:c r="L115" s="12" t="str">
        <x:f>IF(J115=0,"Baseline-only",IF(J115&lt;=3,"Occasional",IF(J115&lt;=6,"Recurrent","High-frequency")))</x:f>
        <x:v>Occasional</x:v>
      </x:c>
      <x:c r="M115" s="19" t="n">
        <x:v>103.68912</x:v>
      </x:c>
      <x:c r="N115" s="19" t="n">
        <x:v>1.49933</x:v>
      </x:c>
      <x:c r="O115" s="12" t="str">
        <x:v>YES</x:v>
      </x:c>
      <x:c r="P115" s="12" t="str">
        <x:v>PLOT</x:v>
      </x:c>
      <x:c r="Q115" s="12"/>
      <x:c r="R115" s="12"/>
      <x:c r="S115" s="12" t="str">
        <x:v>LOC-JB-KG-SRI-JAYA-SKUDAI; S2026-013</x:v>
      </x:c>
      <x:c r="T115" s="12" t="str">
        <x:v>SRC_R2020_SINAR_20201122_PASIR; PLOT; SRC_GEO_2018_SRI_JAYA</x:v>
      </x:c>
      <x:c r="U115" s="12"/>
    </x:row>
    <x:row r="116">
      <x:c r="A116" s="12" t="str">
        <x:v>FLOC-0115</x:v>
      </x:c>
      <x:c r="B116" s="12" t="str">
        <x:v>Kampung Sri Serdang</x:v>
      </x:c>
      <x:c r="C116" s="12" t="str">
        <x:v>COMMUNITY/AREA; Kampung</x:v>
      </x:c>
      <x:c r="D116" s="12" t="str">
        <x:v>JBLOC-0129; JBLOC-0136</x:v>
      </x:c>
      <x:c r="E116" s="12" t="str">
        <x:v>2020;2025;2026</x:v>
      </x:c>
      <x:c r="F116" s="12" t="n">
        <x:v>2020</x:v>
      </x:c>
      <x:c r="G116" s="12" t="n">
        <x:v>2026</x:v>
      </x:c>
      <x:c r="H116" s="18" t="n">
        <x:v>44156</x:v>
      </x:c>
      <x:c r="I116" s="18" t="n">
        <x:v>46295</x:v>
      </x:c>
      <x:c r="J116" s="12" t="n">
        <x:f>COUNTIF('03_Independent_Episodes'!$A$2:$A$345,A116)</x:f>
        <x:v>3</x:v>
      </x:c>
      <x:c r="K116" s="12" t="str">
        <x:f>IF(J116=0,"0",IF(J116&lt;=3,"1-3",IF(J116&lt;=6,"4-6","&gt;=7")))</x:f>
        <x:v>1-3</x:v>
      </x:c>
      <x:c r="L116" s="12" t="str">
        <x:f>IF(J116=0,"Baseline-only",IF(J116&lt;=3,"Occasional",IF(J116&lt;=6,"Recurrent","High-frequency")))</x:f>
        <x:v>Occasional</x:v>
      </x:c>
      <x:c r="M116" s="19" t="n">
        <x:v>103.6919335</x:v>
      </x:c>
      <x:c r="N116" s="19" t="n">
        <x:v>1.50174870000003</x:v>
      </x:c>
      <x:c r="O116" s="12" t="str">
        <x:v>YES</x:v>
      </x:c>
      <x:c r="P116" s="12" t="str">
        <x:v>PLOT</x:v>
      </x:c>
      <x:c r="Q116" s="12"/>
      <x:c r="R116" s="12" t="str">
        <x:v>HF15</x:v>
      </x:c>
      <x:c r="S116" s="12" t="str">
        <x:v>S2025-013; S2026-009; LOC-JB-KG-SRI-SERDANG</x:v>
      </x:c>
      <x:c r="T116" s="12" t="str">
        <x:v>Frozen HF15 / Kampung Sri Serdang reference; Fixed45 baseline</x:v>
      </x:c>
      <x:c r="U116" s="12"/>
    </x:row>
    <x:row r="117">
      <x:c r="A117" s="12" t="str">
        <x:v>FLOC-0116</x:v>
      </x:c>
      <x:c r="B117" s="12" t="str">
        <x:v>Kampung Sungai Redan Laut</x:v>
      </x:c>
      <x:c r="C117" s="12" t="str">
        <x:v>COMMUNITY/AREA</x:v>
      </x:c>
      <x:c r="D117" s="12" t="str">
        <x:v>JBLOC-0137</x:v>
      </x:c>
      <x:c r="E117" s="12" t="str">
        <x:v>2017</x:v>
      </x:c>
      <x:c r="F117" s="12" t="n">
        <x:v>2017</x:v>
      </x:c>
      <x:c r="G117" s="12" t="n">
        <x:v>2017</x:v>
      </x:c>
      <x:c r="H117" s="18" t="n">
        <x:v>42759</x:v>
      </x:c>
      <x:c r="I117" s="18" t="n">
        <x:v>42759</x:v>
      </x:c>
      <x:c r="J117" s="12" t="n">
        <x:f>COUNTIF('03_Independent_Episodes'!$A$2:$A$345,A117)</x:f>
        <x:v>1</x:v>
      </x:c>
      <x:c r="K117" s="12" t="str">
        <x:f>IF(J117=0,"0",IF(J117&lt;=3,"1-3",IF(J117&lt;=6,"4-6","&gt;=7")))</x:f>
        <x:v>1-3</x:v>
      </x:c>
      <x:c r="L117" s="12" t="str">
        <x:f>IF(J117=0,"Baseline-only",IF(J117&lt;=3,"Occasional",IF(J117&lt;=6,"Recurrent","High-frequency")))</x:f>
        <x:v>Occasional</x:v>
      </x:c>
      <x:c r="M117" s="19" t="n">
        <x:v>103.9518889</x:v>
      </x:c>
      <x:c r="N117" s="19" t="n">
        <x:v>1.6123889</x:v>
      </x:c>
      <x:c r="O117" s="12" t="str">
        <x:v>YES</x:v>
      </x:c>
      <x:c r="P117" s="12" t="str">
        <x:v>PLOT</x:v>
      </x:c>
      <x:c r="Q117" s="12"/>
      <x:c r="R117" s="12"/>
      <x:c r="S117" s="12" t="str">
        <x:v>LOC-JB-KG-REDAN-LAUT</x:v>
      </x:c>
      <x:c r="T117" s="12" t="str">
        <x:v>SRC_GEO_MYGEONAME_JOHOR</x:v>
      </x:c>
      <x:c r="U117" s="12"/>
    </x:row>
    <x:row r="118">
      <x:c r="A118" s="12" t="str">
        <x:v>FLOC-0117</x:v>
      </x:c>
      <x:c r="B118" s="12" t="str">
        <x:v>Kampung Sungai Rinting</x:v>
      </x:c>
      <x:c r="C118" s="12" t="str">
        <x:v>COMMUNITY</x:v>
      </x:c>
      <x:c r="D118" s="12" t="str">
        <x:v>JBLOC-0138</x:v>
      </x:c>
      <x:c r="E118" s="12" t="str">
        <x:v>2021</x:v>
      </x:c>
      <x:c r="F118" s="12" t="n">
        <x:v>2021</x:v>
      </x:c>
      <x:c r="G118" s="12" t="n">
        <x:v>2021</x:v>
      </x:c>
      <x:c r="H118" s="18" t="n">
        <x:v>44389</x:v>
      </x:c>
      <x:c r="I118" s="18" t="n">
        <x:v>44389</x:v>
      </x:c>
      <x:c r="J118" s="12" t="n">
        <x:f>COUNTIF('03_Independent_Episodes'!$A$2:$A$345,A118)</x:f>
        <x:v>1</x:v>
      </x:c>
      <x:c r="K118" s="12" t="str">
        <x:f>IF(J118=0,"0",IF(J118&lt;=3,"1-3",IF(J118&lt;=6,"4-6","&gt;=7")))</x:f>
        <x:v>1-3</x:v>
      </x:c>
      <x:c r="L118" s="12" t="str">
        <x:f>IF(J118=0,"Baseline-only",IF(J118&lt;=3,"Occasional",IF(J118&lt;=6,"Recurrent","High-frequency")))</x:f>
        <x:v>Occasional</x:v>
      </x:c>
      <x:c r="M118" s="19" t="n">
        <x:v>103.8743</x:v>
      </x:c>
      <x:c r="N118" s="19" t="n">
        <x:v>1.48054</x:v>
      </x:c>
      <x:c r="O118" s="12" t="str">
        <x:v>YES</x:v>
      </x:c>
      <x:c r="P118" s="12" t="str">
        <x:v>PLOT</x:v>
      </x:c>
      <x:c r="Q118" s="12"/>
      <x:c r="R118" s="12"/>
      <x:c r="S118" s="12" t="str">
        <x:v>S2021-015</x:v>
      </x:c>
      <x:c r="T118" s="12" t="str">
        <x:v>GeoNames/locality mapping</x:v>
      </x:c>
      <x:c r="U118" s="12"/>
    </x:row>
    <x:row r="119">
      <x:c r="A119" s="12" t="str">
        <x:v>FLOC-0118</x:v>
      </x:c>
      <x:c r="B119" s="12" t="str">
        <x:v>Kampung Sungai Rinting D, Taman Rinting</x:v>
      </x:c>
      <x:c r="C119" s="12" t="str">
        <x:v>Kampung subarea / flood location</x:v>
      </x:c>
      <x:c r="D119" s="12" t="str">
        <x:v>JBLOC-0139</x:v>
      </x:c>
      <x:c r="E119" s="12" t="str">
        <x:v>2020</x:v>
      </x:c>
      <x:c r="F119" s="12" t="n">
        <x:v>2020</x:v>
      </x:c>
      <x:c r="G119" s="12" t="n">
        <x:v>2020</x:v>
      </x:c>
      <x:c r="H119" s="18" t="n">
        <x:v>44156</x:v>
      </x:c>
      <x:c r="I119" s="18" t="n">
        <x:v>44156</x:v>
      </x:c>
      <x:c r="J119" s="12" t="n">
        <x:f>COUNTIF('03_Independent_Episodes'!$A$2:$A$345,A119)</x:f>
        <x:v>1</x:v>
      </x:c>
      <x:c r="K119" s="12" t="str">
        <x:f>IF(J119=0,"0",IF(J119&lt;=3,"1-3",IF(J119&lt;=6,"4-6","&gt;=7")))</x:f>
        <x:v>1-3</x:v>
      </x:c>
      <x:c r="L119" s="12" t="str">
        <x:f>IF(J119=0,"Baseline-only",IF(J119&lt;=3,"Occasional",IF(J119&lt;=6,"Recurrent","High-frequency")))</x:f>
        <x:v>Occasional</x:v>
      </x:c>
      <x:c r="M119" s="19" t="n">
        <x:v>103.873917</x:v>
      </x:c>
      <x:c r="N119" s="19" t="n">
        <x:v>1.4804527</x:v>
      </x:c>
      <x:c r="O119" s="12" t="str">
        <x:v>NO</x:v>
      </x:c>
      <x:c r="P119" s="12" t="str">
        <x:v>DO NOT PLOT</x:v>
      </x:c>
      <x:c r="Q119" s="12"/>
      <x:c r="R119" s="12"/>
      <x:c r="S119" s="12" t="str">
        <x:v>LOC-JB-KG-SUNGAI-RINTING-D</x:v>
      </x:c>
      <x:c r="T119" s="12" t="str">
        <x:v>SRC_R2020_UTUSAN_20201128_RINTING</x:v>
      </x:c>
      <x:c r="U119" s="12"/>
    </x:row>
    <x:row r="120">
      <x:c r="A120" s="12" t="str">
        <x:v>FLOC-0119</x:v>
      </x:c>
      <x:c r="B120" s="12" t="str">
        <x:v>Kampung Sungai Tiram</x:v>
      </x:c>
      <x:c r="C120" s="12" t="str">
        <x:v>COMMUNITY/AREA; Kampung</x:v>
      </x:c>
      <x:c r="D120" s="12" t="str">
        <x:v>JBLOC-0141</x:v>
      </x:c>
      <x:c r="E120" s="12" t="str">
        <x:v>2017;2019;2023</x:v>
      </x:c>
      <x:c r="F120" s="12" t="n">
        <x:v>2017</x:v>
      </x:c>
      <x:c r="G120" s="12" t="n">
        <x:v>2023</x:v>
      </x:c>
      <x:c r="H120" s="18" t="n">
        <x:v>42759</x:v>
      </x:c>
      <x:c r="I120" s="18" t="n">
        <x:v>44986</x:v>
      </x:c>
      <x:c r="J120" s="12" t="n">
        <x:f>COUNTIF('03_Independent_Episodes'!$A$2:$A$345,A120)</x:f>
        <x:v>5</x:v>
      </x:c>
      <x:c r="K120" s="12" t="str">
        <x:f>IF(J120=0,"0",IF(J120&lt;=3,"1-3",IF(J120&lt;=6,"4-6","&gt;=7")))</x:f>
        <x:v>4-6</x:v>
      </x:c>
      <x:c r="L120" s="12" t="str">
        <x:f>IF(J120=0,"Baseline-only",IF(J120&lt;=3,"Occasional",IF(J120&lt;=6,"Recurrent","High-frequency")))</x:f>
        <x:v>Recurrent</x:v>
      </x:c>
      <x:c r="M120" s="19" t="n">
        <x:v>103.88063</x:v>
      </x:c>
      <x:c r="N120" s="19" t="n">
        <x:v>1.5844</x:v>
      </x:c>
      <x:c r="O120" s="12" t="str">
        <x:v>YES</x:v>
      </x:c>
      <x:c r="P120" s="12" t="str">
        <x:v>PLOT</x:v>
      </x:c>
      <x:c r="Q120" s="12"/>
      <x:c r="R120" s="12"/>
      <x:c r="S120" s="12" t="str">
        <x:v>LOC-JB-KG-SUNGAI-TIRAM; S2023-008</x:v>
      </x:c>
      <x:c r="T120" s="12" t="str">
        <x:v>SRC_GEO_MBPG_KG_SG_TIRAM</x:v>
      </x:c>
      <x:c r="U120" s="12"/>
    </x:row>
    <x:row r="121">
      <x:c r="A121" s="12" t="str">
        <x:v>FLOC-0120</x:v>
      </x:c>
      <x:c r="B121" s="12" t="str">
        <x:v>Kampung Teluk Serdang Baru</x:v>
      </x:c>
      <x:c r="C121" s="12" t="str">
        <x:v>COMMUNITY</x:v>
      </x:c>
      <x:c r="D121" s="12" t="str">
        <x:v>JBLOC-0142</x:v>
      </x:c>
      <x:c r="E121" s="12" t="str">
        <x:v>2021</x:v>
      </x:c>
      <x:c r="F121" s="12" t="n">
        <x:v>2021</x:v>
      </x:c>
      <x:c r="G121" s="12" t="n">
        <x:v>2021</x:v>
      </x:c>
      <x:c r="H121" s="18" t="n">
        <x:v>44198</x:v>
      </x:c>
      <x:c r="I121" s="18" t="n">
        <x:v>44198</x:v>
      </x:c>
      <x:c r="J121" s="12" t="n">
        <x:f>COUNTIF('03_Independent_Episodes'!$A$2:$A$345,A121)</x:f>
        <x:v>1</x:v>
      </x:c>
      <x:c r="K121" s="12" t="str">
        <x:f>IF(J121=0,"0",IF(J121&lt;=3,"1-3",IF(J121&lt;=6,"4-6","&gt;=7")))</x:f>
        <x:v>1-3</x:v>
      </x:c>
      <x:c r="L121" s="12" t="str">
        <x:f>IF(J121=0,"Baseline-only",IF(J121&lt;=3,"Occasional",IF(J121&lt;=6,"Recurrent","High-frequency")))</x:f>
        <x:v>Occasional</x:v>
      </x:c>
      <x:c r="M121" s="19"/>
      <x:c r="N121" s="19"/>
      <x:c r="O121" s="12" t="str">
        <x:v>NO</x:v>
      </x:c>
      <x:c r="P121" s="12" t="str">
        <x:v>DO NOT PLOT</x:v>
      </x:c>
      <x:c r="Q121" s="12"/>
      <x:c r="R121" s="12"/>
      <x:c r="S121" s="12" t="str">
        <x:v>S2021-007</x:v>
      </x:c>
      <x:c r="T121" s="12"/>
      <x:c r="U121" s="12"/>
    </x:row>
    <x:row r="122">
      <x:c r="A122" s="12" t="str">
        <x:v>FLOC-0121</x:v>
      </x:c>
      <x:c r="B122" s="12" t="str">
        <x:v>Kampung Tengah Tebrau</x:v>
      </x:c>
      <x:c r="C122" s="12" t="str">
        <x:v>COMMUNITY</x:v>
      </x:c>
      <x:c r="D122" s="12" t="str">
        <x:v>JBLOC-0143</x:v>
      </x:c>
      <x:c r="E122" s="12" t="str">
        <x:v>2022</x:v>
      </x:c>
      <x:c r="F122" s="12" t="n">
        <x:v>2022</x:v>
      </x:c>
      <x:c r="G122" s="12" t="n">
        <x:v>2022</x:v>
      </x:c>
      <x:c r="H122" s="18" t="n">
        <x:v>44793</x:v>
      </x:c>
      <x:c r="I122" s="18" t="n">
        <x:v>44793</x:v>
      </x:c>
      <x:c r="J122" s="12" t="n">
        <x:f>COUNTIF('03_Independent_Episodes'!$A$2:$A$345,A122)</x:f>
        <x:v>1</x:v>
      </x:c>
      <x:c r="K122" s="12" t="str">
        <x:f>IF(J122=0,"0",IF(J122&lt;=3,"1-3",IF(J122&lt;=6,"4-6","&gt;=7")))</x:f>
        <x:v>1-3</x:v>
      </x:c>
      <x:c r="L122" s="12" t="str">
        <x:f>IF(J122=0,"Baseline-only",IF(J122&lt;=3,"Occasional",IF(J122&lt;=6,"Recurrent","High-frequency")))</x:f>
        <x:v>Occasional</x:v>
      </x:c>
      <x:c r="M122" s="19" t="n">
        <x:v>103.76595541</x:v>
      </x:c>
      <x:c r="N122" s="19" t="n">
        <x:v>1.51143829</x:v>
      </x:c>
      <x:c r="O122" s="12" t="str">
        <x:v>NO</x:v>
      </x:c>
      <x:c r="P122" s="12" t="str">
        <x:v>DO NOT PLOT</x:v>
      </x:c>
      <x:c r="Q122" s="12"/>
      <x:c r="R122" s="12"/>
      <x:c r="S122" s="12" t="str">
        <x:v>S2022-020</x:v>
      </x:c>
      <x:c r="T122" s="12" t="str">
        <x:v>MyGeoName official Johor gazette point (Kg Tengah, JB context)</x:v>
      </x:c>
      <x:c r="U122" s="12"/>
    </x:row>
    <x:row r="123">
      <x:c r="A123" s="12" t="str">
        <x:v>FLOC-0122</x:v>
      </x:c>
      <x:c r="B123" s="12" t="str">
        <x:v>Kampung Tiram Duku</x:v>
      </x:c>
      <x:c r="C123" s="12" t="str">
        <x:v>COMMUNITY</x:v>
      </x:c>
      <x:c r="D123" s="12" t="str">
        <x:v>JBLOC-0144</x:v>
      </x:c>
      <x:c r="E123" s="12" t="str">
        <x:v>2022</x:v>
      </x:c>
      <x:c r="F123" s="12" t="n">
        <x:v>2022</x:v>
      </x:c>
      <x:c r="G123" s="12" t="n">
        <x:v>2022</x:v>
      </x:c>
      <x:c r="H123" s="18" t="n">
        <x:v>44829</x:v>
      </x:c>
      <x:c r="I123" s="18" t="n">
        <x:v>44829</x:v>
      </x:c>
      <x:c r="J123" s="12" t="n">
        <x:f>COUNTIF('03_Independent_Episodes'!$A$2:$A$345,A123)</x:f>
        <x:v>1</x:v>
      </x:c>
      <x:c r="K123" s="12" t="str">
        <x:f>IF(J123=0,"0",IF(J123&lt;=3,"1-3",IF(J123&lt;=6,"4-6","&gt;=7")))</x:f>
        <x:v>1-3</x:v>
      </x:c>
      <x:c r="L123" s="12" t="str">
        <x:f>IF(J123=0,"Baseline-only",IF(J123&lt;=3,"Occasional",IF(J123&lt;=6,"Recurrent","High-frequency")))</x:f>
        <x:v>Occasional</x:v>
      </x:c>
      <x:c r="M123" s="19" t="n">
        <x:v>103.57953798</x:v>
      </x:c>
      <x:c r="N123" s="19" t="n">
        <x:v>1.38836699</x:v>
      </x:c>
      <x:c r="O123" s="12" t="str">
        <x:v>YES</x:v>
      </x:c>
      <x:c r="P123" s="12" t="str">
        <x:v>PLOT</x:v>
      </x:c>
      <x:c r="Q123" s="12"/>
      <x:c r="R123" s="12"/>
      <x:c r="S123" s="12" t="str">
        <x:v>S2022-030</x:v>
      </x:c>
      <x:c r="T123" s="12" t="str">
        <x:v>MyGeoName Johor official gazette point</x:v>
      </x:c>
      <x:c r="U123" s="12"/>
    </x:row>
    <x:row r="124">
      <x:c r="A124" s="12" t="str">
        <x:v>FLOC-0123</x:v>
      </x:c>
      <x:c r="B124" s="12" t="str">
        <x:v>Kampung Tuah Jaya</x:v>
      </x:c>
      <x:c r="C124" s="12" t="str">
        <x:v>COMMUNITY/AREA; Residential hamlet</x:v>
      </x:c>
      <x:c r="D124" s="12" t="str">
        <x:v>JBLOC-0145</x:v>
      </x:c>
      <x:c r="E124" s="12" t="str">
        <x:v>2017;2019;2020;2026</x:v>
      </x:c>
      <x:c r="F124" s="12" t="n">
        <x:v>2017</x:v>
      </x:c>
      <x:c r="G124" s="12" t="n">
        <x:v>2026</x:v>
      </x:c>
      <x:c r="H124" s="18" t="n">
        <x:v>42997</x:v>
      </x:c>
      <x:c r="I124" s="18" t="n">
        <x:v>46295</x:v>
      </x:c>
      <x:c r="J124" s="12" t="n">
        <x:f>COUNTIF('03_Independent_Episodes'!$A$2:$A$345,A124)</x:f>
        <x:v>5</x:v>
      </x:c>
      <x:c r="K124" s="12" t="str">
        <x:f>IF(J124=0,"0",IF(J124&lt;=3,"1-3",IF(J124&lt;=6,"4-6","&gt;=7")))</x:f>
        <x:v>4-6</x:v>
      </x:c>
      <x:c r="L124" s="12" t="str">
        <x:f>IF(J124=0,"Baseline-only",IF(J124&lt;=3,"Occasional",IF(J124&lt;=6,"Recurrent","High-frequency")))</x:f>
        <x:v>Recurrent</x:v>
      </x:c>
      <x:c r="M124" s="19" t="n">
        <x:v>103.67688</x:v>
      </x:c>
      <x:c r="N124" s="19" t="n">
        <x:v>1.47873</x:v>
      </x:c>
      <x:c r="O124" s="12" t="str">
        <x:v>YES</x:v>
      </x:c>
      <x:c r="P124" s="12" t="str">
        <x:v>PLOT</x:v>
      </x:c>
      <x:c r="Q124" s="12" t="str">
        <x:v>PG2017-TUAH-JAYA</x:v>
      </x:c>
      <x:c r="R124" s="12"/>
      <x:c r="S124" s="12" t="str">
        <x:v>LOC-JB-KG-TUAH-JAYA; S2026-007</x:v>
      </x:c>
      <x:c r="T124" s="12" t="str">
        <x:v>SRC_GEO_TUAH_JAYA_OSM</x:v>
      </x:c>
      <x:c r="U124" s="12"/>
    </x:row>
    <x:row r="125">
      <x:c r="A125" s="12" t="str">
        <x:v>FLOC-0124</x:v>
      </x:c>
      <x:c r="B125" s="12" t="str">
        <x:v>Kampung Ubi Baru</x:v>
      </x:c>
      <x:c r="C125" s="12" t="str">
        <x:v>COMMUNITY/AREA; COMMUNITY; Kampung</x:v>
      </x:c>
      <x:c r="D125" s="12" t="str">
        <x:v>JBLOC-0146; JBLOC-0147</x:v>
      </x:c>
      <x:c r="E125" s="12" t="str">
        <x:v>2017;2018;2022;2023;2026</x:v>
      </x:c>
      <x:c r="F125" s="12" t="n">
        <x:v>2017</x:v>
      </x:c>
      <x:c r="G125" s="12" t="n">
        <x:v>2026</x:v>
      </x:c>
      <x:c r="H125" s="18" t="n">
        <x:v>42896</x:v>
      </x:c>
      <x:c r="I125" s="18" t="n">
        <x:v>46295</x:v>
      </x:c>
      <x:c r="J125" s="12" t="n">
        <x:f>COUNTIF('03_Independent_Episodes'!$A$2:$A$345,A125)</x:f>
        <x:v>5</x:v>
      </x:c>
      <x:c r="K125" s="12" t="str">
        <x:f>IF(J125=0,"0",IF(J125&lt;=3,"1-3",IF(J125&lt;=6,"4-6","&gt;=7")))</x:f>
        <x:v>4-6</x:v>
      </x:c>
      <x:c r="L125" s="12" t="str">
        <x:f>IF(J125=0,"Baseline-only",IF(J125&lt;=3,"Occasional",IF(J125&lt;=6,"Recurrent","High-frequency")))</x:f>
        <x:v>Recurrent</x:v>
      </x:c>
      <x:c r="M125" s="19" t="n">
        <x:v>103.75707329</x:v>
      </x:c>
      <x:c r="N125" s="19" t="n">
        <x:v>1.5191611</x:v>
      </x:c>
      <x:c r="O125" s="12" t="str">
        <x:v>YES</x:v>
      </x:c>
      <x:c r="P125" s="12" t="str">
        <x:v>PLOT</x:v>
      </x:c>
      <x:c r="Q125" s="12"/>
      <x:c r="R125" s="12"/>
      <x:c r="S125" s="12" t="str">
        <x:v>LOC-JB-KG-UBI-2017; S2022-029; S2023-056; S2026-020</x:v>
      </x:c>
      <x:c r="T125" s="12" t="str">
        <x:v>SRC_GEO_MYGEONAME_JOHOR; SRC_R2018_JPS_2018_2019_TABLE; existing R006 spatial sources</x:v>
      </x:c>
      <x:c r="U125" s="12"/>
    </x:row>
    <x:row r="126">
      <x:c r="A126" s="12" t="str">
        <x:v>FLOC-0125</x:v>
      </x:c>
      <x:c r="B126" s="12" t="str">
        <x:v>Kampung Ulu Pandan</x:v>
      </x:c>
      <x:c r="C126" s="12" t="str">
        <x:v>COMMUNITY/AREA</x:v>
      </x:c>
      <x:c r="D126" s="12" t="str">
        <x:v>JBLOC-0148</x:v>
      </x:c>
      <x:c r="E126" s="12" t="str">
        <x:v>2025</x:v>
      </x:c>
      <x:c r="F126" s="12" t="n">
        <x:v>2025</x:v>
      </x:c>
      <x:c r="G126" s="12" t="n">
        <x:v>2025</x:v>
      </x:c>
      <x:c r="H126" s="18" t="n">
        <x:v>45735</x:v>
      </x:c>
      <x:c r="I126" s="18" t="n">
        <x:v>45735</x:v>
      </x:c>
      <x:c r="J126" s="12" t="n">
        <x:f>COUNTIF('03_Independent_Episodes'!$A$2:$A$345,A126)</x:f>
        <x:v>1</x:v>
      </x:c>
      <x:c r="K126" s="12" t="str">
        <x:f>IF(J126=0,"0",IF(J126&lt;=3,"1-3",IF(J126&lt;=6,"4-6","&gt;=7")))</x:f>
        <x:v>1-3</x:v>
      </x:c>
      <x:c r="L126" s="12" t="str">
        <x:f>IF(J126=0,"Baseline-only",IF(J126&lt;=3,"Occasional",IF(J126&lt;=6,"Recurrent","High-frequency")))</x:f>
        <x:v>Occasional</x:v>
      </x:c>
      <x:c r="M126" s="19" t="n">
        <x:v>103.7683272</x:v>
      </x:c>
      <x:c r="N126" s="19" t="n">
        <x:v>1.53455009999999</x:v>
      </x:c>
      <x:c r="O126" s="12" t="str">
        <x:v>YES</x:v>
      </x:c>
      <x:c r="P126" s="12" t="str">
        <x:v>PLOT</x:v>
      </x:c>
      <x:c r="Q126" s="12"/>
      <x:c r="R126" s="12" t="str">
        <x:v>HF42</x:v>
      </x:c>
      <x:c r="S126" s="12" t="str">
        <x:v>S2025-006</x:v>
      </x:c>
      <x:c r="T126" s="12" t="str">
        <x:v>Fixed45 baseline</x:v>
      </x:c>
      <x:c r="U126" s="12"/>
    </x:row>
    <x:row r="127">
      <x:c r="A127" s="12" t="str">
        <x:v>FLOC-0126</x:v>
      </x:c>
      <x:c r="B127" s="12" t="str">
        <x:v>Kampung Wawasan, Gelang Patah (JPS label)</x:v>
      </x:c>
      <x:c r="C127" s="12" t="str">
        <x:v>Kampung</x:v>
      </x:c>
      <x:c r="D127" s="12" t="str">
        <x:v>JBLOC-0149</x:v>
      </x:c>
      <x:c r="E127" s="12" t="str">
        <x:v>2020</x:v>
      </x:c>
      <x:c r="F127" s="12" t="n">
        <x:v>2020</x:v>
      </x:c>
      <x:c r="G127" s="12" t="n">
        <x:v>2020</x:v>
      </x:c>
      <x:c r="H127" s="18" t="n">
        <x:v>44002</x:v>
      </x:c>
      <x:c r="I127" s="18" t="n">
        <x:v>44002</x:v>
      </x:c>
      <x:c r="J127" s="12" t="n">
        <x:f>COUNTIF('03_Independent_Episodes'!$A$2:$A$345,A127)</x:f>
        <x:v>1</x:v>
      </x:c>
      <x:c r="K127" s="12" t="str">
        <x:f>IF(J127=0,"0",IF(J127&lt;=3,"1-3",IF(J127&lt;=6,"4-6","&gt;=7")))</x:f>
        <x:v>1-3</x:v>
      </x:c>
      <x:c r="L127" s="12" t="str">
        <x:f>IF(J127=0,"Baseline-only",IF(J127&lt;=3,"Occasional",IF(J127&lt;=6,"Recurrent","High-frequency")))</x:f>
        <x:v>Occasional</x:v>
      </x:c>
      <x:c r="M127" s="19" t="n">
        <x:v>103.6039</x:v>
      </x:c>
      <x:c r="N127" s="19" t="n">
        <x:v>1.4415</x:v>
      </x:c>
      <x:c r="O127" s="12" t="str">
        <x:v>NO</x:v>
      </x:c>
      <x:c r="P127" s="12" t="str">
        <x:v>DO NOT PLOT</x:v>
      </x:c>
      <x:c r="Q127" s="12"/>
      <x:c r="R127" s="12"/>
      <x:c r="S127" s="12" t="str">
        <x:v>LOC-CAND-JB-KG-WAWASAN-GP</x:v>
      </x:c>
      <x:c r="T127" s="12" t="str">
        <x:v>SRC_R2020_JPS_2020_TABLE</x:v>
      </x:c>
      <x:c r="U127" s="12"/>
    </x:row>
    <x:row r="128">
      <x:c r="A128" s="12" t="str">
        <x:v>FLOC-0127</x:v>
      </x:c>
      <x:c r="B128" s="12" t="str">
        <x:v>Kangkar (source-short-name)</x:v>
      </x:c>
      <x:c r="C128" s="12" t="str">
        <x:v>COMMUNITY/AREA</x:v>
      </x:c>
      <x:c r="D128" s="12" t="str">
        <x:v>JBLOC-0150</x:v>
      </x:c>
      <x:c r="E128" s="12" t="str">
        <x:v>2023</x:v>
      </x:c>
      <x:c r="F128" s="12" t="n">
        <x:v>2023</x:v>
      </x:c>
      <x:c r="G128" s="12" t="n">
        <x:v>2023</x:v>
      </x:c>
      <x:c r="H128" s="18" t="n">
        <x:v>44986</x:v>
      </x:c>
      <x:c r="I128" s="18" t="n">
        <x:v>44986</x:v>
      </x:c>
      <x:c r="J128" s="12" t="n">
        <x:f>COUNTIF('03_Independent_Episodes'!$A$2:$A$345,A128)</x:f>
        <x:v>1</x:v>
      </x:c>
      <x:c r="K128" s="12" t="str">
        <x:f>IF(J128=0,"0",IF(J128&lt;=3,"1-3",IF(J128&lt;=6,"4-6","&gt;=7")))</x:f>
        <x:v>1-3</x:v>
      </x:c>
      <x:c r="L128" s="12" t="str">
        <x:f>IF(J128=0,"Baseline-only",IF(J128&lt;=3,"Occasional",IF(J128&lt;=6,"Recurrent","High-frequency")))</x:f>
        <x:v>Occasional</x:v>
      </x:c>
      <x:c r="M128" s="19"/>
      <x:c r="N128" s="19"/>
      <x:c r="O128" s="12" t="str">
        <x:v>NO</x:v>
      </x:c>
      <x:c r="P128" s="12" t="str">
        <x:v>DO NOT PLOT</x:v>
      </x:c>
      <x:c r="Q128" s="12"/>
      <x:c r="R128" s="12"/>
      <x:c r="S128" s="12" t="str">
        <x:v>S2023-010</x:v>
      </x:c>
      <x:c r="T128" s="12"/>
      <x:c r="U128" s="12"/>
    </x:row>
    <x:row r="129">
      <x:c r="A129" s="12" t="str">
        <x:v>FLOC-0128</x:v>
      </x:c>
      <x:c r="B129" s="12" t="str">
        <x:v>KD Maju Jaya</x:v>
      </x:c>
      <x:c r="C129" s="12" t="str">
        <x:v>CRITICAL FACILITY</x:v>
      </x:c>
      <x:c r="D129" s="12" t="str">
        <x:v>JBLOC-0151</x:v>
      </x:c>
      <x:c r="E129" s="12" t="str">
        <x:v>2025</x:v>
      </x:c>
      <x:c r="F129" s="12" t="n">
        <x:v>2025</x:v>
      </x:c>
      <x:c r="G129" s="12" t="n">
        <x:v>2025</x:v>
      </x:c>
      <x:c r="H129" s="18" t="n">
        <x:v>45737</x:v>
      </x:c>
      <x:c r="I129" s="18" t="n">
        <x:v>45737</x:v>
      </x:c>
      <x:c r="J129" s="12" t="n">
        <x:f>COUNTIF('03_Independent_Episodes'!$A$2:$A$345,A129)</x:f>
        <x:v>1</x:v>
      </x:c>
      <x:c r="K129" s="12" t="str">
        <x:f>IF(J129=0,"0",IF(J129&lt;=3,"1-3",IF(J129&lt;=6,"4-6","&gt;=7")))</x:f>
        <x:v>1-3</x:v>
      </x:c>
      <x:c r="L129" s="12" t="str">
        <x:f>IF(J129=0,"Baseline-only",IF(J129&lt;=3,"Occasional",IF(J129&lt;=6,"Recurrent","High-frequency")))</x:f>
        <x:v>Occasional</x:v>
      </x:c>
      <x:c r="M129" s="19"/>
      <x:c r="N129" s="19"/>
      <x:c r="O129" s="12" t="str">
        <x:v>NO</x:v>
      </x:c>
      <x:c r="P129" s="12" t="str">
        <x:v>DO NOT PLOT</x:v>
      </x:c>
      <x:c r="Q129" s="12"/>
      <x:c r="R129" s="12"/>
      <x:c r="S129" s="12" t="str">
        <x:v>S2025-022</x:v>
      </x:c>
      <x:c r="T129" s="12"/>
      <x:c r="U129" s="12"/>
    </x:row>
    <x:row r="130">
      <x:c r="A130" s="12" t="str">
        <x:v>FLOC-0129</x:v>
      </x:c>
      <x:c r="B130" s="12" t="str">
        <x:v>Kempas Denai</x:v>
      </x:c>
      <x:c r="C130" s="12" t="str">
        <x:v>ROAD/AREA</x:v>
      </x:c>
      <x:c r="D130" s="12" t="str">
        <x:v>JBLOC-0152</x:v>
      </x:c>
      <x:c r="E130" s="12" t="str">
        <x:v>2021</x:v>
      </x:c>
      <x:c r="F130" s="12" t="n">
        <x:v>2021</x:v>
      </x:c>
      <x:c r="G130" s="12" t="n">
        <x:v>2021</x:v>
      </x:c>
      <x:c r="H130" s="18" t="n">
        <x:v>44469</x:v>
      </x:c>
      <x:c r="I130" s="18" t="n">
        <x:v>44469</x:v>
      </x:c>
      <x:c r="J130" s="12" t="n">
        <x:f>COUNTIF('03_Independent_Episodes'!$A$2:$A$345,A130)</x:f>
        <x:v>1</x:v>
      </x:c>
      <x:c r="K130" s="12" t="str">
        <x:f>IF(J130=0,"0",IF(J130&lt;=3,"1-3",IF(J130&lt;=6,"4-6","&gt;=7")))</x:f>
        <x:v>1-3</x:v>
      </x:c>
      <x:c r="L130" s="12" t="str">
        <x:f>IF(J130=0,"Baseline-only",IF(J130&lt;=3,"Occasional",IF(J130&lt;=6,"Recurrent","High-frequency")))</x:f>
        <x:v>Occasional</x:v>
      </x:c>
      <x:c r="M130" s="19" t="n">
        <x:v>103.71851</x:v>
      </x:c>
      <x:c r="N130" s="19" t="n">
        <x:v>1.514607</x:v>
      </x:c>
      <x:c r="O130" s="12" t="str">
        <x:v>YES</x:v>
      </x:c>
      <x:c r="P130" s="12" t="str">
        <x:v>PLOT</x:v>
      </x:c>
      <x:c r="Q130" s="12"/>
      <x:c r="R130" s="12"/>
      <x:c r="S130" s="12" t="str">
        <x:v>S2021-028</x:v>
      </x:c>
      <x:c r="T130" s="12" t="str">
        <x:v>Sinar generic area + Kosmo road-specific wording</x:v>
      </x:c>
      <x:c r="U130" s="12"/>
    </x:row>
    <x:row r="131">
      <x:c r="A131" s="12" t="str">
        <x:v>FLOC-0130</x:v>
      </x:c>
      <x:c r="B131" s="12" t="str">
        <x:v>Kempas Lurah</x:v>
      </x:c>
      <x:c r="C131" s="12" t="str">
        <x:v>COMMUNITY</x:v>
      </x:c>
      <x:c r="D131" s="12" t="str">
        <x:v>JBLOC-0153</x:v>
      </x:c>
      <x:c r="E131" s="12" t="str">
        <x:v>2021</x:v>
      </x:c>
      <x:c r="F131" s="12" t="n">
        <x:v>2021</x:v>
      </x:c>
      <x:c r="G131" s="12" t="n">
        <x:v>2021</x:v>
      </x:c>
      <x:c r="H131" s="18" t="n">
        <x:v>44469</x:v>
      </x:c>
      <x:c r="I131" s="18" t="n">
        <x:v>44469</x:v>
      </x:c>
      <x:c r="J131" s="12" t="n">
        <x:f>COUNTIF('03_Independent_Episodes'!$A$2:$A$345,A131)</x:f>
        <x:v>1</x:v>
      </x:c>
      <x:c r="K131" s="12" t="str">
        <x:f>IF(J131=0,"0",IF(J131&lt;=3,"1-3",IF(J131&lt;=6,"4-6","&gt;=7")))</x:f>
        <x:v>1-3</x:v>
      </x:c>
      <x:c r="L131" s="12" t="str">
        <x:f>IF(J131=0,"Baseline-only",IF(J131&lt;=3,"Occasional",IF(J131&lt;=6,"Recurrent","High-frequency")))</x:f>
        <x:v>Occasional</x:v>
      </x:c>
      <x:c r="M131" s="19" t="n">
        <x:v>103.71579344</x:v>
      </x:c>
      <x:c r="N131" s="19" t="n">
        <x:v>1.52911376</x:v>
      </x:c>
      <x:c r="O131" s="12" t="str">
        <x:v>YES</x:v>
      </x:c>
      <x:c r="P131" s="12" t="str">
        <x:v>PLOT</x:v>
      </x:c>
      <x:c r="Q131" s="12" t="str">
        <x:v>PG2021-KEMPAS-LURAH</x:v>
      </x:c>
      <x:c r="R131" s="12"/>
      <x:c r="S131" s="12" t="str">
        <x:v>S2021-023</x:v>
      </x:c>
      <x:c r="T131" s="12" t="str">
        <x:v>OSM way 407852454 polygon centroid</x:v>
      </x:c>
      <x:c r="U131" s="12"/>
    </x:row>
    <x:row r="132">
      <x:c r="A132" s="12" t="str">
        <x:v>FLOC-0131</x:v>
      </x:c>
      <x:c r="B132" s="12" t="str">
        <x:v>Kempas Permatang</x:v>
      </x:c>
      <x:c r="C132" s="12" t="str">
        <x:v>ROAD/AREA</x:v>
      </x:c>
      <x:c r="D132" s="12" t="str">
        <x:v>JBLOC-0154</x:v>
      </x:c>
      <x:c r="E132" s="12" t="str">
        <x:v>2021</x:v>
      </x:c>
      <x:c r="F132" s="12" t="n">
        <x:v>2021</x:v>
      </x:c>
      <x:c r="G132" s="12" t="n">
        <x:v>2021</x:v>
      </x:c>
      <x:c r="H132" s="18" t="n">
        <x:v>44469</x:v>
      </x:c>
      <x:c r="I132" s="18" t="n">
        <x:v>44469</x:v>
      </x:c>
      <x:c r="J132" s="12" t="n">
        <x:f>COUNTIF('03_Independent_Episodes'!$A$2:$A$345,A132)</x:f>
        <x:v>1</x:v>
      </x:c>
      <x:c r="K132" s="12" t="str">
        <x:f>IF(J132=0,"0",IF(J132&lt;=3,"1-3",IF(J132&lt;=6,"4-6","&gt;=7")))</x:f>
        <x:v>1-3</x:v>
      </x:c>
      <x:c r="L132" s="12" t="str">
        <x:f>IF(J132=0,"Baseline-only",IF(J132&lt;=3,"Occasional",IF(J132&lt;=6,"Recurrent","High-frequency")))</x:f>
        <x:v>Occasional</x:v>
      </x:c>
      <x:c r="M132" s="19" t="n">
        <x:v>103.72755</x:v>
      </x:c>
      <x:c r="N132" s="19" t="n">
        <x:v>1.52696</x:v>
      </x:c>
      <x:c r="O132" s="12" t="str">
        <x:v>YES</x:v>
      </x:c>
      <x:c r="P132" s="12" t="str">
        <x:v>PLOT</x:v>
      </x:c>
      <x:c r="Q132" s="12"/>
      <x:c r="R132" s="12"/>
      <x:c r="S132" s="12" t="str">
        <x:v>S2021-029</x:v>
      </x:c>
      <x:c r="T132" s="12" t="str">
        <x:v>OSM locality node / news context</x:v>
      </x:c>
      <x:c r="U132" s="12"/>
    </x:row>
    <x:row r="133">
      <x:c r="A133" s="12" t="str">
        <x:v>FLOC-0132</x:v>
      </x:c>
      <x:c r="B133" s="12" t="str">
        <x:v>Kg. Dato Hajah Hasnah</x:v>
      </x:c>
      <x:c r="C133" s="12" t="str">
        <x:v>COMMUNITY/AREA</x:v>
      </x:c>
      <x:c r="D133" s="12" t="str">
        <x:v>JBLOC-0085</x:v>
      </x:c>
      <x:c r="E133" s="12" t="str">
        <x:v>2023;2026</x:v>
      </x:c>
      <x:c r="F133" s="12" t="n">
        <x:v>2023</x:v>
      </x:c>
      <x:c r="G133" s="12" t="n">
        <x:v>2026</x:v>
      </x:c>
      <x:c r="H133" s="18" t="n">
        <x:v>44971</x:v>
      </x:c>
      <x:c r="I133" s="18" t="n">
        <x:v>46295</x:v>
      </x:c>
      <x:c r="J133" s="12" t="n">
        <x:f>COUNTIF('03_Independent_Episodes'!$A$2:$A$345,A133)</x:f>
        <x:v>2</x:v>
      </x:c>
      <x:c r="K133" s="12" t="str">
        <x:f>IF(J133=0,"0",IF(J133&lt;=3,"1-3",IF(J133&lt;=6,"4-6","&gt;=7")))</x:f>
        <x:v>1-3</x:v>
      </x:c>
      <x:c r="L133" s="12" t="str">
        <x:f>IF(J133=0,"Baseline-only",IF(J133&lt;=3,"Occasional",IF(J133&lt;=6,"Recurrent","High-frequency")))</x:f>
        <x:v>Occasional</x:v>
      </x:c>
      <x:c r="M133" s="19" t="n">
        <x:v>103.76977282</x:v>
      </x:c>
      <x:c r="N133" s="19" t="n">
        <x:v>1.50468654</x:v>
      </x:c>
      <x:c r="O133" s="12" t="str">
        <x:v>YES</x:v>
      </x:c>
      <x:c r="P133" s="12" t="str">
        <x:v>PLOT</x:v>
      </x:c>
      <x:c r="Q133" s="12"/>
      <x:c r="R133" s="12"/>
      <x:c r="S133" s="12" t="str">
        <x:v>S2023-004; S2026-010</x:v>
      </x:c>
      <x:c r="T133" s="12" t="str">
        <x:v>PLOT</x:v>
      </x:c>
      <x:c r="U133" s="12"/>
    </x:row>
    <x:row r="134">
      <x:c r="A134" s="12" t="str">
        <x:v>FLOC-0133</x:v>
      </x:c>
      <x:c r="B134" s="12" t="str">
        <x:v>Kg. Paya Sg Redan</x:v>
      </x:c>
      <x:c r="C134" s="12" t="str">
        <x:v>COMMUNITY/AREA</x:v>
      </x:c>
      <x:c r="D134" s="12" t="str">
        <x:v>JBLOC-0113</x:v>
      </x:c>
      <x:c r="E134" s="12" t="str">
        <x:v>2017;2024</x:v>
      </x:c>
      <x:c r="F134" s="12" t="n">
        <x:v>2017</x:v>
      </x:c>
      <x:c r="G134" s="12" t="n">
        <x:v>2024</x:v>
      </x:c>
      <x:c r="H134" s="18" t="n">
        <x:v>42758</x:v>
      </x:c>
      <x:c r="I134" s="18" t="n">
        <x:v>45295</x:v>
      </x:c>
      <x:c r="J134" s="12" t="n">
        <x:f>COUNTIF('03_Independent_Episodes'!$A$2:$A$345,A134)</x:f>
        <x:v>3</x:v>
      </x:c>
      <x:c r="K134" s="12" t="str">
        <x:f>IF(J134=0,"0",IF(J134&lt;=3,"1-3",IF(J134&lt;=6,"4-6","&gt;=7")))</x:f>
        <x:v>1-3</x:v>
      </x:c>
      <x:c r="L134" s="12" t="str">
        <x:f>IF(J134=0,"Baseline-only",IF(J134&lt;=3,"Occasional",IF(J134&lt;=6,"Recurrent","High-frequency")))</x:f>
        <x:v>Occasional</x:v>
      </x:c>
      <x:c r="M134" s="19" t="n">
        <x:v>103.931586</x:v>
      </x:c>
      <x:c r="N134" s="19" t="n">
        <x:v>1.619208</x:v>
      </x:c>
      <x:c r="O134" s="12" t="str">
        <x:v>YES</x:v>
      </x:c>
      <x:c r="P134" s="12" t="str">
        <x:v>PLOT</x:v>
      </x:c>
      <x:c r="Q134" s="12"/>
      <x:c r="R134" s="12"/>
      <x:c r="S134" s="12" t="str">
        <x:v>LOC-JB-KG-PAYA-ULU-TIRAM; S2024-002</x:v>
      </x:c>
      <x:c r="T134" s="12" t="str">
        <x:v>RESOLVED_NORMALIZED_POINT</x:v>
      </x:c>
      <x:c r="U134" s="12"/>
    </x:row>
    <x:row r="135">
      <x:c r="A135" s="12" t="str">
        <x:v>FLOC-0134</x:v>
      </x:c>
      <x:c r="B135" s="12" t="str">
        <x:v>Kg. Sentosa (Cahaya Baru / eastern Johor Bahru)</x:v>
      </x:c>
      <x:c r="C135" s="12" t="str">
        <x:v>COMMUNITY/AREA; Kampung</x:v>
      </x:c>
      <x:c r="D135" s="12" t="str">
        <x:v>JBLOC-0122</x:v>
      </x:c>
      <x:c r="E135" s="12" t="str">
        <x:v>2017;2019;2020</x:v>
      </x:c>
      <x:c r="F135" s="12" t="n">
        <x:v>2017</x:v>
      </x:c>
      <x:c r="G135" s="12" t="n">
        <x:v>2020</x:v>
      </x:c>
      <x:c r="H135" s="18" t="n">
        <x:v>42759</x:v>
      </x:c>
      <x:c r="I135" s="18" t="n">
        <x:v>43956</x:v>
      </x:c>
      <x:c r="J135" s="12" t="n">
        <x:f>COUNTIF('03_Independent_Episodes'!$A$2:$A$345,A135)</x:f>
        <x:v>3</x:v>
      </x:c>
      <x:c r="K135" s="12" t="str">
        <x:f>IF(J135=0,"0",IF(J135&lt;=3,"1-3",IF(J135&lt;=6,"4-6","&gt;=7")))</x:f>
        <x:v>1-3</x:v>
      </x:c>
      <x:c r="L135" s="12" t="str">
        <x:f>IF(J135=0,"Baseline-only",IF(J135&lt;=3,"Occasional",IF(J135&lt;=6,"Recurrent","High-frequency")))</x:f>
        <x:v>Occasional</x:v>
      </x:c>
      <x:c r="M135" s="19" t="n">
        <x:v>103.92735539</x:v>
      </x:c>
      <x:c r="N135" s="19" t="n">
        <x:v>1.52125286</x:v>
      </x:c>
      <x:c r="O135" s="12" t="str">
        <x:v>YES</x:v>
      </x:c>
      <x:c r="P135" s="12" t="str">
        <x:v>PLOT</x:v>
      </x:c>
      <x:c r="Q135" s="12"/>
      <x:c r="R135" s="12"/>
      <x:c r="S135" s="12" t="str">
        <x:v>LOC-CAND-JB-KG-SENTOSA-2019; LOC-JB-KG-SENTOSA-2017</x:v>
      </x:c>
      <x:c r="T135" s="12" t="str">
        <x:v>RESOLVED_POINT</x:v>
      </x:c>
      <x:c r="U135" s="12"/>
    </x:row>
    <x:row r="136">
      <x:c r="A136" s="12" t="str">
        <x:v>FLOC-0135</x:v>
      </x:c>
      <x:c r="B136" s="12" t="str">
        <x:v>Kg. Sentosa Barat</x:v>
      </x:c>
      <x:c r="C136" s="12" t="str">
        <x:v>COMMUNITY; COMMUNITY/AREA</x:v>
      </x:c>
      <x:c r="D136" s="12" t="str">
        <x:v>JBLOC-0123</x:v>
      </x:c>
      <x:c r="E136" s="12" t="str">
        <x:v>2017;2021;2022;2023</x:v>
      </x:c>
      <x:c r="F136" s="12" t="n">
        <x:v>2017</x:v>
      </x:c>
      <x:c r="G136" s="12" t="n">
        <x:v>2023</x:v>
      </x:c>
      <x:c r="H136" s="18" t="n">
        <x:v>42843</x:v>
      </x:c>
      <x:c r="I136" s="18" t="n">
        <x:v>45261</x:v>
      </x:c>
      <x:c r="J136" s="12" t="n">
        <x:f>COUNTIF('03_Independent_Episodes'!$A$2:$A$345,A136)</x:f>
        <x:v>9</x:v>
      </x:c>
      <x:c r="K136" s="12" t="str">
        <x:f>IF(J136=0,"0",IF(J136&lt;=3,"1-3",IF(J136&lt;=6,"4-6","&gt;=7")))</x:f>
        <x:v>&gt;=7</x:v>
      </x:c>
      <x:c r="L136" s="12" t="str">
        <x:f>IF(J136=0,"Baseline-only",IF(J136&lt;=3,"Occasional",IF(J136&lt;=6,"Recurrent","High-frequency")))</x:f>
        <x:v>High-frequency</x:v>
      </x:c>
      <x:c r="M136" s="19" t="n">
        <x:v>103.92185516</x:v>
      </x:c>
      <x:c r="N136" s="19" t="n">
        <x:v>1.52194889</x:v>
      </x:c>
      <x:c r="O136" s="12" t="str">
        <x:v>YES</x:v>
      </x:c>
      <x:c r="P136" s="12" t="str">
        <x:v>PLOT</x:v>
      </x:c>
      <x:c r="Q136" s="12"/>
      <x:c r="R136" s="12"/>
      <x:c r="S136" s="12" t="str">
        <x:v>LOC-JB-KG-SENTOSA-BARAT-MASAI; S2021-002; S2022-025; S2023-014</x:v>
      </x:c>
      <x:c r="T136" s="12" t="str">
        <x:v>SRC_GEO_MBPG_KG_SG_TIRAM</x:v>
      </x:c>
      <x:c r="U136" s="12"/>
    </x:row>
    <x:row r="137">
      <x:c r="A137" s="12" t="str">
        <x:v>FLOC-0136</x:v>
      </x:c>
      <x:c r="B137" s="12" t="str">
        <x:v>Kg. Sentosa Damai</x:v>
      </x:c>
      <x:c r="C137" s="12" t="str">
        <x:v>COMMUNITY; COMMUNITY/AREA</x:v>
      </x:c>
      <x:c r="D137" s="12" t="str">
        <x:v>JBLOC-0124</x:v>
      </x:c>
      <x:c r="E137" s="12" t="str">
        <x:v>2021;2023;2024</x:v>
      </x:c>
      <x:c r="F137" s="12" t="n">
        <x:v>2021</x:v>
      </x:c>
      <x:c r="G137" s="12" t="n">
        <x:v>2024</x:v>
      </x:c>
      <x:c r="H137" s="18" t="n">
        <x:v>44198</x:v>
      </x:c>
      <x:c r="I137" s="18" t="n">
        <x:v>45295</x:v>
      </x:c>
      <x:c r="J137" s="12" t="n">
        <x:f>COUNTIF('03_Independent_Episodes'!$A$2:$A$345,A137)</x:f>
        <x:v>6</x:v>
      </x:c>
      <x:c r="K137" s="12" t="str">
        <x:f>IF(J137=0,"0",IF(J137&lt;=3,"1-3",IF(J137&lt;=6,"4-6","&gt;=7")))</x:f>
        <x:v>4-6</x:v>
      </x:c>
      <x:c r="L137" s="12" t="str">
        <x:f>IF(J137=0,"Baseline-only",IF(J137&lt;=3,"Occasional",IF(J137&lt;=6,"Recurrent","High-frequency")))</x:f>
        <x:v>Recurrent</x:v>
      </x:c>
      <x:c r="M137" s="19" t="n">
        <x:v>103.93562865</x:v>
      </x:c>
      <x:c r="N137" s="19" t="n">
        <x:v>1.52139605</x:v>
      </x:c>
      <x:c r="O137" s="12" t="str">
        <x:v>YES</x:v>
      </x:c>
      <x:c r="P137" s="12" t="str">
        <x:v>PLOT</x:v>
      </x:c>
      <x:c r="Q137" s="12"/>
      <x:c r="R137" s="12"/>
      <x:c r="S137" s="12" t="str">
        <x:v>S2021-003; S2023-012; S2024-001</x:v>
      </x:c>
      <x:c r="T137" s="12" t="str">
        <x:v>News/state statement identity evidence</x:v>
      </x:c>
      <x:c r="U137" s="12"/>
    </x:row>
    <x:row r="138">
      <x:c r="A138" s="12" t="str">
        <x:v>FLOC-0137</x:v>
      </x:c>
      <x:c r="B138" s="12" t="str">
        <x:v>Kg. Seri Aman / Batu Pulai</x:v>
      </x:c>
      <x:c r="C138" s="12" t="str">
        <x:v>COMMUNITY; COMMUNITY/AREA</x:v>
      </x:c>
      <x:c r="D138" s="12" t="str">
        <x:v>JBLOC-0126</x:v>
      </x:c>
      <x:c r="E138" s="12" t="str">
        <x:v>2021;2023</x:v>
      </x:c>
      <x:c r="F138" s="12" t="n">
        <x:v>2021</x:v>
      </x:c>
      <x:c r="G138" s="12" t="n">
        <x:v>2023</x:v>
      </x:c>
      <x:c r="H138" s="18" t="n">
        <x:v>44441</x:v>
      </x:c>
      <x:c r="I138" s="18" t="n">
        <x:v>45261</x:v>
      </x:c>
      <x:c r="J138" s="12" t="n">
        <x:f>COUNTIF('03_Independent_Episodes'!$A$2:$A$345,A138)</x:f>
        <x:v>2</x:v>
      </x:c>
      <x:c r="K138" s="12" t="str">
        <x:f>IF(J138=0,"0",IF(J138&lt;=3,"1-3",IF(J138&lt;=6,"4-6","&gt;=7")))</x:f>
        <x:v>1-3</x:v>
      </x:c>
      <x:c r="L138" s="12" t="str">
        <x:f>IF(J138=0,"Baseline-only",IF(J138&lt;=3,"Occasional",IF(J138&lt;=6,"Recurrent","High-frequency")))</x:f>
        <x:v>Occasional</x:v>
      </x:c>
      <x:c r="M138" s="19" t="n">
        <x:v>103.9404605</x:v>
      </x:c>
      <x:c r="N138" s="19" t="n">
        <x:v>1.47435541</x:v>
      </x:c>
      <x:c r="O138" s="12" t="str">
        <x:v>YES</x:v>
      </x:c>
      <x:c r="P138" s="12" t="str">
        <x:v>PLOT</x:v>
      </x:c>
      <x:c r="Q138" s="12"/>
      <x:c r="R138" s="12"/>
      <x:c r="S138" s="12" t="str">
        <x:v>S2021-019; S2023-015</x:v>
      </x:c>
      <x:c r="T138" s="12" t="str">
        <x:v>2 Sep JBPM/news event evidence</x:v>
      </x:c>
      <x:c r="U138" s="12"/>
    </x:row>
    <x:row r="139">
      <x:c r="A139" s="12" t="str">
        <x:v>FLOC-0138</x:v>
      </x:c>
      <x:c r="B139" s="12" t="str">
        <x:v>Kg. Sg. Serai</x:v>
      </x:c>
      <x:c r="C139" s="12" t="str">
        <x:v>COMMUNITY/AREA</x:v>
      </x:c>
      <x:c r="D139" s="12" t="str">
        <x:v>JBLOC-0140</x:v>
      </x:c>
      <x:c r="E139" s="12" t="str">
        <x:v>2017;2024</x:v>
      </x:c>
      <x:c r="F139" s="12" t="n">
        <x:v>2017</x:v>
      </x:c>
      <x:c r="G139" s="12" t="n">
        <x:v>2024</x:v>
      </x:c>
      <x:c r="H139" s="18" t="n">
        <x:v>42759</x:v>
      </x:c>
      <x:c r="I139" s="18" t="n">
        <x:v>45295</x:v>
      </x:c>
      <x:c r="J139" s="12" t="n">
        <x:f>COUNTIF('03_Independent_Episodes'!$A$2:$A$345,A139)</x:f>
        <x:v>2</x:v>
      </x:c>
      <x:c r="K139" s="12" t="str">
        <x:f>IF(J139=0,"0",IF(J139&lt;=3,"1-3",IF(J139&lt;=6,"4-6","&gt;=7")))</x:f>
        <x:v>1-3</x:v>
      </x:c>
      <x:c r="L139" s="12" t="str">
        <x:f>IF(J139=0,"Baseline-only",IF(J139&lt;=3,"Occasional",IF(J139&lt;=6,"Recurrent","High-frequency")))</x:f>
        <x:v>Occasional</x:v>
      </x:c>
      <x:c r="M139" s="19" t="n">
        <x:v>103.9220255</x:v>
      </x:c>
      <x:c r="N139" s="19" t="n">
        <x:v>1.6536289</x:v>
      </x:c>
      <x:c r="O139" s="12" t="str">
        <x:v>YES</x:v>
      </x:c>
      <x:c r="P139" s="12" t="str">
        <x:v>PLOT</x:v>
      </x:c>
      <x:c r="Q139" s="12"/>
      <x:c r="R139" s="12"/>
      <x:c r="S139" s="12" t="str">
        <x:v>LOC-JB-KG-SERAI-2017; S2024-003</x:v>
      </x:c>
      <x:c r="T139" s="12" t="str">
        <x:v>RESOLVED_POINT</x:v>
      </x:c>
      <x:c r="U139" s="12"/>
    </x:row>
    <x:row r="140">
      <x:c r="A140" s="12" t="str">
        <x:v>FLOC-0139</x:v>
      </x:c>
      <x:c r="B140" s="12" t="str">
        <x:v>KIPMall Tampoi</x:v>
      </x:c>
      <x:c r="C140" s="12" t="str">
        <x:v>AREA/LOCALITY</x:v>
      </x:c>
      <x:c r="D140" s="12" t="str">
        <x:v>JBLOC-0155</x:v>
      </x:c>
      <x:c r="E140" s="12" t="str">
        <x:v>2017</x:v>
      </x:c>
      <x:c r="F140" s="12" t="n">
        <x:v>2017</x:v>
      </x:c>
      <x:c r="G140" s="12" t="n">
        <x:v>2017</x:v>
      </x:c>
      <x:c r="H140" s="18" t="n">
        <x:v>42737</x:v>
      </x:c>
      <x:c r="I140" s="18" t="n">
        <x:v>42737</x:v>
      </x:c>
      <x:c r="J140" s="12" t="n">
        <x:f>COUNTIF('03_Independent_Episodes'!$A$2:$A$345,A140)</x:f>
        <x:v>1</x:v>
      </x:c>
      <x:c r="K140" s="12" t="str">
        <x:f>IF(J140=0,"0",IF(J140&lt;=3,"1-3",IF(J140&lt;=6,"4-6","&gt;=7")))</x:f>
        <x:v>1-3</x:v>
      </x:c>
      <x:c r="L140" s="12" t="str">
        <x:f>IF(J140=0,"Baseline-only",IF(J140&lt;=3,"Occasional",IF(J140&lt;=6,"Recurrent","High-frequency")))</x:f>
        <x:v>Occasional</x:v>
      </x:c>
      <x:c r="M140" s="19" t="n">
        <x:v>103.687206</x:v>
      </x:c>
      <x:c r="N140" s="19" t="n">
        <x:v>1.508748</x:v>
      </x:c>
      <x:c r="O140" s="12" t="str">
        <x:v>YES</x:v>
      </x:c>
      <x:c r="P140" s="12" t="str">
        <x:v>PLOT</x:v>
      </x:c>
      <x:c r="Q140" s="12" t="str">
        <x:v>PG2017-KIPMALL-TAMPOI</x:v>
      </x:c>
      <x:c r="R140" s="12"/>
      <x:c r="S140" s="12" t="str">
        <x:v>LOC-JB-KIPMALL-TAMPOI</x:v>
      </x:c>
      <x:c r="T140" s="12" t="str">
        <x:v>SRC_GEO_KIPMALL_OSM</x:v>
      </x:c>
      <x:c r="U140" s="12"/>
    </x:row>
    <x:row r="141">
      <x:c r="A141" s="12" t="str">
        <x:v>FLOC-0140</x:v>
      </x:c>
      <x:c r="B141" s="12" t="str">
        <x:v>Klinik Desa Kangkar Tebrau</x:v>
      </x:c>
      <x:c r="C141" s="12" t="str">
        <x:v>CRITICAL FACILITY</x:v>
      </x:c>
      <x:c r="D141" s="12" t="str">
        <x:v>JBLOC-0156</x:v>
      </x:c>
      <x:c r="E141" s="12" t="str">
        <x:v>2025</x:v>
      </x:c>
      <x:c r="F141" s="12" t="n">
        <x:v>2025</x:v>
      </x:c>
      <x:c r="G141" s="12" t="n">
        <x:v>2025</x:v>
      </x:c>
      <x:c r="H141" s="18" t="n">
        <x:v>45737</x:v>
      </x:c>
      <x:c r="I141" s="18" t="n">
        <x:v>45737</x:v>
      </x:c>
      <x:c r="J141" s="12" t="n">
        <x:f>COUNTIF('03_Independent_Episodes'!$A$2:$A$345,A141)</x:f>
        <x:v>1</x:v>
      </x:c>
      <x:c r="K141" s="12" t="str">
        <x:f>IF(J141=0,"0",IF(J141&lt;=3,"1-3",IF(J141&lt;=6,"4-6","&gt;=7")))</x:f>
        <x:v>1-3</x:v>
      </x:c>
      <x:c r="L141" s="12" t="str">
        <x:f>IF(J141=0,"Baseline-only",IF(J141&lt;=3,"Occasional",IF(J141&lt;=6,"Recurrent","High-frequency")))</x:f>
        <x:v>Occasional</x:v>
      </x:c>
      <x:c r="M141" s="19" t="n">
        <x:v>103.75802</x:v>
      </x:c>
      <x:c r="N141" s="19" t="n">
        <x:v>1.53597</x:v>
      </x:c>
      <x:c r="O141" s="12" t="str">
        <x:v>YES</x:v>
      </x:c>
      <x:c r="P141" s="12" t="str">
        <x:v>PLOT</x:v>
      </x:c>
      <x:c r="Q141" s="12"/>
      <x:c r="R141" s="12"/>
      <x:c r="S141" s="12" t="str">
        <x:v>S2025-021</x:v>
      </x:c>
      <x:c r="T141" s="12" t="str">
        <x:v>PLOT</x:v>
      </x:c>
      <x:c r="U141" s="12"/>
    </x:row>
    <x:row r="142">
      <x:c r="A142" s="12" t="str">
        <x:v>FLOC-0141</x:v>
      </x:c>
      <x:c r="B142" s="12" t="str">
        <x:v>Klinik Desa Plentong</x:v>
      </x:c>
      <x:c r="C142" s="12" t="str">
        <x:v>CRITICAL FACILITY</x:v>
      </x:c>
      <x:c r="D142" s="12" t="str">
        <x:v>JBLOC-0157</x:v>
      </x:c>
      <x:c r="E142" s="12" t="str">
        <x:v>2025</x:v>
      </x:c>
      <x:c r="F142" s="12" t="n">
        <x:v>2025</x:v>
      </x:c>
      <x:c r="G142" s="12" t="n">
        <x:v>2025</x:v>
      </x:c>
      <x:c r="H142" s="18" t="n">
        <x:v>45737</x:v>
      </x:c>
      <x:c r="I142" s="18" t="n">
        <x:v>45737</x:v>
      </x:c>
      <x:c r="J142" s="12" t="n">
        <x:f>COUNTIF('03_Independent_Episodes'!$A$2:$A$345,A142)</x:f>
        <x:v>1</x:v>
      </x:c>
      <x:c r="K142" s="12" t="str">
        <x:f>IF(J142=0,"0",IF(J142&lt;=3,"1-3",IF(J142&lt;=6,"4-6","&gt;=7")))</x:f>
        <x:v>1-3</x:v>
      </x:c>
      <x:c r="L142" s="12" t="str">
        <x:f>IF(J142=0,"Baseline-only",IF(J142&lt;=3,"Occasional",IF(J142&lt;=6,"Recurrent","High-frequency")))</x:f>
        <x:v>Occasional</x:v>
      </x:c>
      <x:c r="M142" s="19" t="n">
        <x:v>103.82057</x:v>
      </x:c>
      <x:c r="N142" s="19" t="n">
        <x:v>1.5225</x:v>
      </x:c>
      <x:c r="O142" s="12" t="str">
        <x:v>YES</x:v>
      </x:c>
      <x:c r="P142" s="12" t="str">
        <x:v>PLOT</x:v>
      </x:c>
      <x:c r="Q142" s="12"/>
      <x:c r="R142" s="12"/>
      <x:c r="S142" s="12" t="str">
        <x:v>S2025-023</x:v>
      </x:c>
      <x:c r="T142" s="12" t="str">
        <x:v>PLOT</x:v>
      </x:c>
      <x:c r="U142" s="12"/>
    </x:row>
    <x:row r="143">
      <x:c r="A143" s="12" t="str">
        <x:v>FLOC-0142</x:v>
      </x:c>
      <x:c r="B143" s="12" t="str">
        <x:v>KSL City Mall</x:v>
      </x:c>
      <x:c r="C143" s="12" t="str">
        <x:v>FACILITY/POI</x:v>
      </x:c>
      <x:c r="D143" s="12" t="str">
        <x:v>JBLOC-0158</x:v>
      </x:c>
      <x:c r="E143" s="12" t="str">
        <x:v>2026</x:v>
      </x:c>
      <x:c r="F143" s="12" t="n">
        <x:v>2026</x:v>
      </x:c>
      <x:c r="G143" s="12" t="n">
        <x:v>2026</x:v>
      </x:c>
      <x:c r="H143" s="18" t="n">
        <x:v>46295</x:v>
      </x:c>
      <x:c r="I143" s="18" t="n">
        <x:v>46295</x:v>
      </x:c>
      <x:c r="J143" s="12" t="n">
        <x:f>COUNTIF('03_Independent_Episodes'!$A$2:$A$345,A143)</x:f>
        <x:v>1</x:v>
      </x:c>
      <x:c r="K143" s="12" t="str">
        <x:f>IF(J143=0,"0",IF(J143&lt;=3,"1-3",IF(J143&lt;=6,"4-6","&gt;=7")))</x:f>
        <x:v>1-3</x:v>
      </x:c>
      <x:c r="L143" s="12" t="str">
        <x:f>IF(J143=0,"Baseline-only",IF(J143&lt;=3,"Occasional",IF(J143&lt;=6,"Recurrent","High-frequency")))</x:f>
        <x:v>Occasional</x:v>
      </x:c>
      <x:c r="M143" s="19" t="n">
        <x:v>103.76228</x:v>
      </x:c>
      <x:c r="N143" s="19" t="n">
        <x:v>1.48537</x:v>
      </x:c>
      <x:c r="O143" s="12" t="str">
        <x:v>YES</x:v>
      </x:c>
      <x:c r="P143" s="12" t="str">
        <x:v>PLOT</x:v>
      </x:c>
      <x:c r="Q143" s="12"/>
      <x:c r="R143" s="12"/>
      <x:c r="S143" s="12" t="str">
        <x:v>S2026-017</x:v>
      </x:c>
      <x:c r="T143" s="12" t="str">
        <x:v>PLOT</x:v>
      </x:c>
      <x:c r="U143" s="12"/>
    </x:row>
    <x:row r="144">
      <x:c r="A144" s="12" t="str">
        <x:v>FLOC-0143</x:v>
      </x:c>
      <x:c r="B144" s="12" t="str">
        <x:v>Kuil Sri Muniswarar Maha Mariamman, Kampung Kangkar Tebrau Kiri</x:v>
      </x:c>
      <x:c r="C144" s="12" t="str">
        <x:v>CRITICAL FACILITY</x:v>
      </x:c>
      <x:c r="D144" s="12" t="str">
        <x:v>JBLOC-0159</x:v>
      </x:c>
      <x:c r="E144" s="12" t="str">
        <x:v>2024</x:v>
      </x:c>
      <x:c r="F144" s="12" t="n">
        <x:v>2024</x:v>
      </x:c>
      <x:c r="G144" s="12" t="n">
        <x:v>2024</x:v>
      </x:c>
      <x:c r="H144" s="18" t="n">
        <x:v>45315</x:v>
      </x:c>
      <x:c r="I144" s="18" t="n">
        <x:v>45315</x:v>
      </x:c>
      <x:c r="J144" s="12" t="n">
        <x:f>COUNTIF('03_Independent_Episodes'!$A$2:$A$345,A144)</x:f>
        <x:v>1</x:v>
      </x:c>
      <x:c r="K144" s="12" t="str">
        <x:f>IF(J144=0,"0",IF(J144&lt;=3,"1-3",IF(J144&lt;=6,"4-6","&gt;=7")))</x:f>
        <x:v>1-3</x:v>
      </x:c>
      <x:c r="L144" s="12" t="str">
        <x:f>IF(J144=0,"Baseline-only",IF(J144&lt;=3,"Occasional",IF(J144&lt;=6,"Recurrent","High-frequency")))</x:f>
        <x:v>Occasional</x:v>
      </x:c>
      <x:c r="M144" s="19"/>
      <x:c r="N144" s="19"/>
      <x:c r="O144" s="12" t="str">
        <x:v>NO</x:v>
      </x:c>
      <x:c r="P144" s="12" t="str">
        <x:v>DO NOT PLOT</x:v>
      </x:c>
      <x:c r="Q144" s="12"/>
      <x:c r="R144" s="12"/>
      <x:c r="S144" s="12" t="str">
        <x:v>S2024-015</x:v>
      </x:c>
      <x:c r="T144" s="12"/>
      <x:c r="U144" s="12"/>
    </x:row>
    <x:row r="145">
      <x:c r="A145" s="12" t="str">
        <x:v>FLOC-0144</x:v>
      </x:c>
      <x:c r="B145" s="12" t="str">
        <x:v>Larkin Perdana</x:v>
      </x:c>
      <x:c r="C145" s="12" t="str">
        <x:v>COMMUNITY/AREA</x:v>
      </x:c>
      <x:c r="D145" s="12" t="str">
        <x:v>JBLOC-0160</x:v>
      </x:c>
      <x:c r="E145" s="12" t="str">
        <x:v>2023</x:v>
      </x:c>
      <x:c r="F145" s="12" t="n">
        <x:v>2023</x:v>
      </x:c>
      <x:c r="G145" s="12" t="n">
        <x:v>2023</x:v>
      </x:c>
      <x:c r="H145" s="18" t="n">
        <x:v>44971</x:v>
      </x:c>
      <x:c r="I145" s="18" t="n">
        <x:v>44971</x:v>
      </x:c>
      <x:c r="J145" s="12" t="n">
        <x:f>COUNTIF('03_Independent_Episodes'!$A$2:$A$345,A145)</x:f>
        <x:v>1</x:v>
      </x:c>
      <x:c r="K145" s="12" t="str">
        <x:f>IF(J145=0,"0",IF(J145&lt;=3,"1-3",IF(J145&lt;=6,"4-6","&gt;=7")))</x:f>
        <x:v>1-3</x:v>
      </x:c>
      <x:c r="L145" s="12" t="str">
        <x:f>IF(J145=0,"Baseline-only",IF(J145&lt;=3,"Occasional",IF(J145&lt;=6,"Recurrent","High-frequency")))</x:f>
        <x:v>Occasional</x:v>
      </x:c>
      <x:c r="M145" s="19" t="n">
        <x:v>103.74826</x:v>
      </x:c>
      <x:c r="N145" s="19" t="n">
        <x:v>1.50108</x:v>
      </x:c>
      <x:c r="O145" s="12" t="str">
        <x:v>YES</x:v>
      </x:c>
      <x:c r="P145" s="12" t="str">
        <x:v>PLOT</x:v>
      </x:c>
      <x:c r="Q145" s="12"/>
      <x:c r="R145" s="12"/>
      <x:c r="S145" s="12" t="str">
        <x:v>S2023-001</x:v>
      </x:c>
      <x:c r="T145" s="12" t="str">
        <x:v>PLOT</x:v>
      </x:c>
      <x:c r="U145" s="12"/>
    </x:row>
    <x:row r="146">
      <x:c r="A146" s="12" t="str">
        <x:v>FLOC-0145</x:v>
      </x:c>
      <x:c r="B146" s="12" t="str">
        <x:v>Lebuhraya Pasir Gudang</x:v>
      </x:c>
      <x:c r="C146" s="12" t="str">
        <x:v>ROAD</x:v>
      </x:c>
      <x:c r="D146" s="12" t="str">
        <x:v>JBLOC-0161</x:v>
      </x:c>
      <x:c r="E146" s="12" t="str">
        <x:v>2021</x:v>
      </x:c>
      <x:c r="F146" s="12" t="n">
        <x:v>2021</x:v>
      </x:c>
      <x:c r="G146" s="12" t="n">
        <x:v>2021</x:v>
      </x:c>
      <x:c r="H146" s="18" t="n">
        <x:v>44389</x:v>
      </x:c>
      <x:c r="I146" s="18" t="n">
        <x:v>44389</x:v>
      </x:c>
      <x:c r="J146" s="12" t="n">
        <x:f>COUNTIF('03_Independent_Episodes'!$A$2:$A$345,A146)</x:f>
        <x:v>1</x:v>
      </x:c>
      <x:c r="K146" s="12" t="str">
        <x:f>IF(J146=0,"0",IF(J146&lt;=3,"1-3",IF(J146&lt;=6,"4-6","&gt;=7")))</x:f>
        <x:v>1-3</x:v>
      </x:c>
      <x:c r="L146" s="12" t="str">
        <x:f>IF(J146=0,"Baseline-only",IF(J146&lt;=3,"Occasional",IF(J146&lt;=6,"Recurrent","High-frequency")))</x:f>
        <x:v>Occasional</x:v>
      </x:c>
      <x:c r="M146" s="19" t="n">
        <x:v>103.7149533</x:v>
      </x:c>
      <x:c r="N146" s="19" t="n">
        <x:v>1.5118305</x:v>
      </x:c>
      <x:c r="O146" s="12" t="str">
        <x:v>YES</x:v>
      </x:c>
      <x:c r="P146" s="12" t="str">
        <x:v>PLOT</x:v>
      </x:c>
      <x:c r="Q146" s="12"/>
      <x:c r="R146" s="12"/>
      <x:c r="S146" s="12" t="str">
        <x:v>S2021-018</x:v>
      </x:c>
      <x:c r="T146" s="12" t="str">
        <x:v>12 Jul source reports traffic severely affected</x:v>
      </x:c>
      <x:c r="U146" s="12"/>
    </x:row>
    <x:row r="147">
      <x:c r="A147" s="12" t="str">
        <x:v>FLOC-0146</x:v>
      </x:c>
      <x:c r="B147" s="12" t="str">
        <x:v>Lebuhraya Pasir Gudang near Taman Rinting interchange</x:v>
      </x:c>
      <x:c r="C147" s="12" t="str">
        <x:v>ROAD/ROAD SEGMENT</x:v>
      </x:c>
      <x:c r="D147" s="12" t="str">
        <x:v>JBLOC-0162</x:v>
      </x:c>
      <x:c r="E147" s="12" t="str">
        <x:v>2025</x:v>
      </x:c>
      <x:c r="F147" s="12" t="n">
        <x:v>2025</x:v>
      </x:c>
      <x:c r="G147" s="12" t="n">
        <x:v>2025</x:v>
      </x:c>
      <x:c r="H147" s="18" t="n">
        <x:v>45763</x:v>
      </x:c>
      <x:c r="I147" s="18" t="n">
        <x:v>45763</x:v>
      </x:c>
      <x:c r="J147" s="12" t="n">
        <x:f>COUNTIF('03_Independent_Episodes'!$A$2:$A$345,A147)</x:f>
        <x:v>1</x:v>
      </x:c>
      <x:c r="K147" s="12" t="str">
        <x:f>IF(J147=0,"0",IF(J147&lt;=3,"1-3",IF(J147&lt;=6,"4-6","&gt;=7")))</x:f>
        <x:v>1-3</x:v>
      </x:c>
      <x:c r="L147" s="12" t="str">
        <x:f>IF(J147=0,"Baseline-only",IF(J147&lt;=3,"Occasional",IF(J147&lt;=6,"Recurrent","High-frequency")))</x:f>
        <x:v>Occasional</x:v>
      </x:c>
      <x:c r="M147" s="19"/>
      <x:c r="N147" s="19"/>
      <x:c r="O147" s="12" t="str">
        <x:v>NO</x:v>
      </x:c>
      <x:c r="P147" s="12" t="str">
        <x:v>DO NOT PLOT</x:v>
      </x:c>
      <x:c r="Q147" s="12"/>
      <x:c r="R147" s="12"/>
      <x:c r="S147" s="12" t="str">
        <x:v>S2025-032</x:v>
      </x:c>
      <x:c r="T147" s="12"/>
      <x:c r="U147" s="12"/>
    </x:row>
    <x:row r="148">
      <x:c r="A148" s="12" t="str">
        <x:v>FLOC-0147</x:v>
      </x:c>
      <x:c r="B148" s="12" t="str">
        <x:v>Lima Kedai, Stadium Baru</x:v>
      </x:c>
      <x:c r="C148" s="12" t="str">
        <x:v>Area / landmark context</x:v>
      </x:c>
      <x:c r="D148" s="12" t="str">
        <x:v>JBLOC-0163</x:v>
      </x:c>
      <x:c r="E148" s="12" t="str">
        <x:v>2019</x:v>
      </x:c>
      <x:c r="F148" s="12" t="n">
        <x:v>2019</x:v>
      </x:c>
      <x:c r="G148" s="12" t="n">
        <x:v>2019</x:v>
      </x:c>
      <x:c r="H148" s="18" t="n">
        <x:v>43760</x:v>
      </x:c>
      <x:c r="I148" s="18" t="n">
        <x:v>43760</x:v>
      </x:c>
      <x:c r="J148" s="12" t="n">
        <x:f>COUNTIF('03_Independent_Episodes'!$A$2:$A$345,A148)</x:f>
        <x:v>1</x:v>
      </x:c>
      <x:c r="K148" s="12" t="str">
        <x:f>IF(J148=0,"0",IF(J148&lt;=3,"1-3",IF(J148&lt;=6,"4-6","&gt;=7")))</x:f>
        <x:v>1-3</x:v>
      </x:c>
      <x:c r="L148" s="12" t="str">
        <x:f>IF(J148=0,"Baseline-only",IF(J148&lt;=3,"Occasional",IF(J148&lt;=6,"Recurrent","High-frequency")))</x:f>
        <x:v>Occasional</x:v>
      </x:c>
      <x:c r="M148" s="19" t="n">
        <x:v>103.61698</x:v>
      </x:c>
      <x:c r="N148" s="19" t="n">
        <x:v>1.50231</x:v>
      </x:c>
      <x:c r="O148" s="12" t="str">
        <x:v>NO</x:v>
      </x:c>
      <x:c r="P148" s="12" t="str">
        <x:v>DO NOT PLOT</x:v>
      </x:c>
      <x:c r="Q148" s="12"/>
      <x:c r="R148" s="12"/>
      <x:c r="S148" s="12" t="str">
        <x:v>LOC-JB-LIMA-KEDAI-STADIUM-BARU</x:v>
      </x:c>
      <x:c r="T148" s="12" t="str">
        <x:v>2019 spatial baseline</x:v>
      </x:c>
      <x:c r="U148" s="12"/>
    </x:row>
    <x:row r="149">
      <x:c r="A149" s="12" t="str">
        <x:v>FLOC-0148</x:v>
      </x:c>
      <x:c r="B149" s="12" t="str">
        <x:v>Lorong Aris / Kg. Batu 8 1/2, Skudai</x:v>
      </x:c>
      <x:c r="C149" s="12" t="str">
        <x:v>ROAD/SUBAREA</x:v>
      </x:c>
      <x:c r="D149" s="12" t="str">
        <x:v>JBLOC-0164</x:v>
      </x:c>
      <x:c r="E149" s="12" t="str">
        <x:v>2021</x:v>
      </x:c>
      <x:c r="F149" s="12" t="n">
        <x:v>2021</x:v>
      </x:c>
      <x:c r="G149" s="12" t="n">
        <x:v>2021</x:v>
      </x:c>
      <x:c r="H149" s="18" t="n">
        <x:v>44198</x:v>
      </x:c>
      <x:c r="I149" s="18" t="n">
        <x:v>44206</x:v>
      </x:c>
      <x:c r="J149" s="12" t="n">
        <x:f>COUNTIF('03_Independent_Episodes'!$A$2:$A$345,A149)</x:f>
        <x:v>2</x:v>
      </x:c>
      <x:c r="K149" s="12" t="str">
        <x:f>IF(J149=0,"0",IF(J149&lt;=3,"1-3",IF(J149&lt;=6,"4-6","&gt;=7")))</x:f>
        <x:v>1-3</x:v>
      </x:c>
      <x:c r="L149" s="12" t="str">
        <x:f>IF(J149=0,"Baseline-only",IF(J149&lt;=3,"Occasional",IF(J149&lt;=6,"Recurrent","High-frequency")))</x:f>
        <x:v>Occasional</x:v>
      </x:c>
      <x:c r="M149" s="19" t="n">
        <x:v>103.67230887</x:v>
      </x:c>
      <x:c r="N149" s="19" t="n">
        <x:v>1.52340697</x:v>
      </x:c>
      <x:c r="O149" s="12" t="str">
        <x:v>YES</x:v>
      </x:c>
      <x:c r="P149" s="12" t="str">
        <x:v>PLOT</x:v>
      </x:c>
      <x:c r="Q149" s="12"/>
      <x:c r="R149" s="12"/>
      <x:c r="S149" s="12" t="str">
        <x:v>S2021-004</x:v>
      </x:c>
      <x:c r="T149" s="12" t="str">
        <x:v>MBIP project-map context only</x:v>
      </x:c>
      <x:c r="U149" s="12"/>
    </x:row>
    <x:row r="150">
      <x:c r="A150" s="12" t="str">
        <x:v>FLOC-0149</x:v>
      </x:c>
      <x:c r="B150" s="12" t="str">
        <x:v>Lorong Mak Piah, Kampung Sungai Tiram</x:v>
      </x:c>
      <x:c r="C150" s="12" t="str">
        <x:v>ROAD; ROAD/SUBAREA</x:v>
      </x:c>
      <x:c r="D150" s="12" t="str">
        <x:v>JBLOC-0165</x:v>
      </x:c>
      <x:c r="E150" s="12" t="str">
        <x:v>2023;2024</x:v>
      </x:c>
      <x:c r="F150" s="12" t="n">
        <x:v>2023</x:v>
      </x:c>
      <x:c r="G150" s="12" t="n">
        <x:v>2024</x:v>
      </x:c>
      <x:c r="H150" s="18" t="n">
        <x:v>45231</x:v>
      </x:c>
      <x:c r="I150" s="18" t="n">
        <x:v>45298</x:v>
      </x:c>
      <x:c r="J150" s="12" t="n">
        <x:f>COUNTIF('03_Independent_Episodes'!$A$2:$A$345,A150)</x:f>
        <x:v>2</x:v>
      </x:c>
      <x:c r="K150" s="12" t="str">
        <x:f>IF(J150=0,"0",IF(J150&lt;=3,"1-3",IF(J150&lt;=6,"4-6","&gt;=7")))</x:f>
        <x:v>1-3</x:v>
      </x:c>
      <x:c r="L150" s="12" t="str">
        <x:f>IF(J150=0,"Baseline-only",IF(J150&lt;=3,"Occasional",IF(J150&lt;=6,"Recurrent","High-frequency")))</x:f>
        <x:v>Occasional</x:v>
      </x:c>
      <x:c r="M150" s="19"/>
      <x:c r="N150" s="19"/>
      <x:c r="O150" s="12" t="str">
        <x:v>NO</x:v>
      </x:c>
      <x:c r="P150" s="12" t="str">
        <x:v>DO NOT PLOT</x:v>
      </x:c>
      <x:c r="Q150" s="12"/>
      <x:c r="R150" s="12"/>
      <x:c r="S150" s="12" t="str">
        <x:v>S2023-011; S2024-005</x:v>
      </x:c>
      <x:c r="T150" s="12"/>
      <x:c r="U150" s="12"/>
    </x:row>
    <x:row r="151">
      <x:c r="A151" s="12" t="str">
        <x:v>FLOC-0150</x:v>
      </x:c>
      <x:c r="B151" s="12" t="str">
        <x:v>Majidee</x:v>
      </x:c>
      <x:c r="C151" s="12" t="str">
        <x:v>COMMUNITY/AREA</x:v>
      </x:c>
      <x:c r="D151" s="12" t="str">
        <x:v>JBLOC-0166</x:v>
      </x:c>
      <x:c r="E151" s="12" t="str">
        <x:v>2023</x:v>
      </x:c>
      <x:c r="F151" s="12" t="n">
        <x:v>2023</x:v>
      </x:c>
      <x:c r="G151" s="12" t="n">
        <x:v>2023</x:v>
      </x:c>
      <x:c r="H151" s="18" t="n">
        <x:v>45266</x:v>
      </x:c>
      <x:c r="I151" s="18" t="n">
        <x:v>45266</x:v>
      </x:c>
      <x:c r="J151" s="12" t="n">
        <x:f>COUNTIF('03_Independent_Episodes'!$A$2:$A$345,A151)</x:f>
        <x:v>1</x:v>
      </x:c>
      <x:c r="K151" s="12" t="str">
        <x:f>IF(J151=0,"0",IF(J151&lt;=3,"1-3",IF(J151&lt;=6,"4-6","&gt;=7")))</x:f>
        <x:v>1-3</x:v>
      </x:c>
      <x:c r="L151" s="12" t="str">
        <x:f>IF(J151=0,"Baseline-only",IF(J151&lt;=3,"Occasional",IF(J151&lt;=6,"Recurrent","High-frequency")))</x:f>
        <x:v>Occasional</x:v>
      </x:c>
      <x:c r="M151" s="19" t="n">
        <x:v>103.7579076</x:v>
      </x:c>
      <x:c r="N151" s="19" t="n">
        <x:v>1.5145389</x:v>
      </x:c>
      <x:c r="O151" s="12" t="str">
        <x:v>YES</x:v>
      </x:c>
      <x:c r="P151" s="12" t="str">
        <x:v>PLOT</x:v>
      </x:c>
      <x:c r="Q151" s="12"/>
      <x:c r="R151" s="12" t="str">
        <x:v>HF36</x:v>
      </x:c>
      <x:c r="S151" s="12" t="str">
        <x:v>S2023-042</x:v>
      </x:c>
      <x:c r="T151" s="12" t="str">
        <x:v>Fixed45 baseline</x:v>
      </x:c>
      <x:c r="U151" s="12"/>
    </x:row>
    <x:row r="152">
      <x:c r="A152" s="12" t="str">
        <x:v>FLOC-0151</x:v>
      </x:c>
      <x:c r="B152" s="12" t="str">
        <x:v>Maktab Sultan Abu Bakar / English College</x:v>
      </x:c>
      <x:c r="C152" s="12" t="str">
        <x:v>FACILITY/POI</x:v>
      </x:c>
      <x:c r="D152" s="12" t="str">
        <x:v>JBLOC-0167</x:v>
      </x:c>
      <x:c r="E152" s="12" t="str">
        <x:v>2026</x:v>
      </x:c>
      <x:c r="F152" s="12" t="n">
        <x:v>2026</x:v>
      </x:c>
      <x:c r="G152" s="12" t="n">
        <x:v>2026</x:v>
      </x:c>
      <x:c r="H152" s="18" t="n">
        <x:v>46295</x:v>
      </x:c>
      <x:c r="I152" s="18" t="n">
        <x:v>46295</x:v>
      </x:c>
      <x:c r="J152" s="12" t="n">
        <x:f>COUNTIF('03_Independent_Episodes'!$A$2:$A$345,A152)</x:f>
        <x:v>1</x:v>
      </x:c>
      <x:c r="K152" s="12" t="str">
        <x:f>IF(J152=0,"0",IF(J152&lt;=3,"1-3",IF(J152&lt;=6,"4-6","&gt;=7")))</x:f>
        <x:v>1-3</x:v>
      </x:c>
      <x:c r="L152" s="12" t="str">
        <x:f>IF(J152=0,"Baseline-only",IF(J152&lt;=3,"Occasional",IF(J152&lt;=6,"Recurrent","High-frequency")))</x:f>
        <x:v>Occasional</x:v>
      </x:c>
      <x:c r="M152" s="19" t="n">
        <x:v>103.73922</x:v>
      </x:c>
      <x:c r="N152" s="19" t="n">
        <x:v>1.46358</x:v>
      </x:c>
      <x:c r="O152" s="12" t="str">
        <x:v>YES</x:v>
      </x:c>
      <x:c r="P152" s="12" t="str">
        <x:v>PLOT</x:v>
      </x:c>
      <x:c r="Q152" s="12"/>
      <x:c r="R152" s="12"/>
      <x:c r="S152" s="12" t="str">
        <x:v>S2026-022</x:v>
      </x:c>
      <x:c r="T152" s="12" t="str">
        <x:v>PLOT</x:v>
      </x:c>
      <x:c r="U152" s="12"/>
    </x:row>
    <x:row r="153">
      <x:c r="A153" s="12" t="str">
        <x:v>FLOC-0152</x:v>
      </x:c>
      <x:c r="B153" s="12" t="str">
        <x:v>Masjid Kg. Kangkar Tebrau</x:v>
      </x:c>
      <x:c r="C153" s="12" t="str">
        <x:v>CRITICAL FACILITY</x:v>
      </x:c>
      <x:c r="D153" s="12" t="str">
        <x:v>JBLOC-0168</x:v>
      </x:c>
      <x:c r="E153" s="12" t="str">
        <x:v>2025</x:v>
      </x:c>
      <x:c r="F153" s="12" t="n">
        <x:v>2025</x:v>
      </x:c>
      <x:c r="G153" s="12" t="n">
        <x:v>2025</x:v>
      </x:c>
      <x:c r="H153" s="18" t="n">
        <x:v>45668</x:v>
      </x:c>
      <x:c r="I153" s="18" t="n">
        <x:v>45668</x:v>
      </x:c>
      <x:c r="J153" s="12" t="n">
        <x:f>COUNTIF('03_Independent_Episodes'!$A$2:$A$345,A153)</x:f>
        <x:v>1</x:v>
      </x:c>
      <x:c r="K153" s="12" t="str">
        <x:f>IF(J153=0,"0",IF(J153&lt;=3,"1-3",IF(J153&lt;=6,"4-6","&gt;=7")))</x:f>
        <x:v>1-3</x:v>
      </x:c>
      <x:c r="L153" s="12" t="str">
        <x:f>IF(J153=0,"Baseline-only",IF(J153&lt;=3,"Occasional",IF(J153&lt;=6,"Recurrent","High-frequency")))</x:f>
        <x:v>Occasional</x:v>
      </x:c>
      <x:c r="M153" s="19" t="n">
        <x:v>103.75623</x:v>
      </x:c>
      <x:c r="N153" s="19" t="n">
        <x:v>1.53382</x:v>
      </x:c>
      <x:c r="O153" s="12" t="str">
        <x:v>YES</x:v>
      </x:c>
      <x:c r="P153" s="12" t="str">
        <x:v>PLOT</x:v>
      </x:c>
      <x:c r="Q153" s="12"/>
      <x:c r="R153" s="12"/>
      <x:c r="S153" s="12" t="str">
        <x:v>S2025-004</x:v>
      </x:c>
      <x:c r="T153" s="12" t="str">
        <x:v>PLOT</x:v>
      </x:c>
      <x:c r="U153" s="12"/>
    </x:row>
    <x:row r="154">
      <x:c r="A154" s="12" t="str">
        <x:v>FLOC-0153</x:v>
      </x:c>
      <x:c r="B154" s="12" t="str">
        <x:v>No corroborated Skudai locality; official Kg. Sialang Dalam = Tangkak</x:v>
      </x:c>
      <x:c r="C154" s="12" t="str">
        <x:v>COMMUNITY/AREA</x:v>
      </x:c>
      <x:c r="D154" s="12" t="str">
        <x:v>JBLOC-0169</x:v>
      </x:c>
      <x:c r="E154" s="12" t="str">
        <x:v>2017</x:v>
      </x:c>
      <x:c r="F154" s="12" t="n">
        <x:v>2017</x:v>
      </x:c>
      <x:c r="G154" s="12" t="n">
        <x:v>2017</x:v>
      </x:c>
      <x:c r="H154" s="18" t="n">
        <x:v>42997</x:v>
      </x:c>
      <x:c r="I154" s="18" t="n">
        <x:v>42997</x:v>
      </x:c>
      <x:c r="J154" s="12" t="n">
        <x:f>COUNTIF('03_Independent_Episodes'!$A$2:$A$345,A154)</x:f>
        <x:v>1</x:v>
      </x:c>
      <x:c r="K154" s="12" t="str">
        <x:f>IF(J154=0,"0",IF(J154&lt;=3,"1-3",IF(J154&lt;=6,"4-6","&gt;=7")))</x:f>
        <x:v>1-3</x:v>
      </x:c>
      <x:c r="L154" s="12" t="str">
        <x:f>IF(J154=0,"Baseline-only",IF(J154&lt;=3,"Occasional",IF(J154&lt;=6,"Recurrent","High-frequency")))</x:f>
        <x:v>Occasional</x:v>
      </x:c>
      <x:c r="M154" s="19"/>
      <x:c r="N154" s="19"/>
      <x:c r="O154" s="12" t="str">
        <x:v>NO</x:v>
      </x:c>
      <x:c r="P154" s="12" t="str">
        <x:v>DO NOT PLOT</x:v>
      </x:c>
      <x:c r="Q154" s="12"/>
      <x:c r="R154" s="12"/>
      <x:c r="S154" s="12" t="str">
        <x:v>LOC-CAND-JB-KG-SIALANG-DALAM-SKUDAI</x:v>
      </x:c>
      <x:c r="T154" s="12"/>
      <x:c r="U154" s="12"/>
    </x:row>
    <x:row r="155">
      <x:c r="A155" s="12" t="str">
        <x:v>FLOC-0154</x:v>
      </x:c>
      <x:c r="B155" s="12" t="str">
        <x:v>Pandan</x:v>
      </x:c>
      <x:c r="C155" s="12" t="str">
        <x:v>AREA/RESIDENTIAL</x:v>
      </x:c>
      <x:c r="D155" s="12" t="str">
        <x:v>JBLOC-0170</x:v>
      </x:c>
      <x:c r="E155" s="12" t="str">
        <x:v>2025</x:v>
      </x:c>
      <x:c r="F155" s="12" t="n">
        <x:v>2025</x:v>
      </x:c>
      <x:c r="G155" s="12" t="n">
        <x:v>2025</x:v>
      </x:c>
      <x:c r="H155" s="18" t="n">
        <x:v>45736</x:v>
      </x:c>
      <x:c r="I155" s="18" t="n">
        <x:v>45736</x:v>
      </x:c>
      <x:c r="J155" s="12" t="n">
        <x:f>COUNTIF('03_Independent_Episodes'!$A$2:$A$345,A155)</x:f>
        <x:v>1</x:v>
      </x:c>
      <x:c r="K155" s="12" t="str">
        <x:f>IF(J155=0,"0",IF(J155&lt;=3,"1-3",IF(J155&lt;=6,"4-6","&gt;=7")))</x:f>
        <x:v>1-3</x:v>
      </x:c>
      <x:c r="L155" s="12" t="str">
        <x:f>IF(J155=0,"Baseline-only",IF(J155&lt;=3,"Occasional",IF(J155&lt;=6,"Recurrent","High-frequency")))</x:f>
        <x:v>Occasional</x:v>
      </x:c>
      <x:c r="M155" s="19" t="n">
        <x:v>103.7639473</x:v>
      </x:c>
      <x:c r="N155" s="19" t="n">
        <x:v>1.52182970000001</x:v>
      </x:c>
      <x:c r="O155" s="12" t="str">
        <x:v>YES</x:v>
      </x:c>
      <x:c r="P155" s="12" t="str">
        <x:v>PLOT</x:v>
      </x:c>
      <x:c r="Q155" s="12"/>
      <x:c r="R155" s="12" t="str">
        <x:v>HF43</x:v>
      </x:c>
      <x:c r="S155" s="12" t="str">
        <x:v>S2025-010</x:v>
      </x:c>
      <x:c r="T155" s="12" t="str">
        <x:v>Fixed45 baseline</x:v>
      </x:c>
      <x:c r="U155" s="12"/>
    </x:row>
    <x:row r="156">
      <x:c r="A156" s="12" t="str">
        <x:v>FLOC-0155</x:v>
      </x:c>
      <x:c r="B156" s="12" t="str">
        <x:v>Perling / Taman Perling</x:v>
      </x:c>
      <x:c r="C156" s="12" t="str">
        <x:v>AREA/RESIDENTIAL</x:v>
      </x:c>
      <x:c r="D156" s="12" t="str">
        <x:v>JBLOC-0171</x:v>
      </x:c>
      <x:c r="E156" s="12" t="str">
        <x:v>2025</x:v>
      </x:c>
      <x:c r="F156" s="12" t="n">
        <x:v>2025</x:v>
      </x:c>
      <x:c r="G156" s="12" t="n">
        <x:v>2025</x:v>
      </x:c>
      <x:c r="H156" s="18" t="n">
        <x:v>45736</x:v>
      </x:c>
      <x:c r="I156" s="18" t="n">
        <x:v>45736</x:v>
      </x:c>
      <x:c r="J156" s="12" t="n">
        <x:f>COUNTIF('03_Independent_Episodes'!$A$2:$A$345,A156)</x:f>
        <x:v>1</x:v>
      </x:c>
      <x:c r="K156" s="12" t="str">
        <x:f>IF(J156=0,"0",IF(J156&lt;=3,"1-3",IF(J156&lt;=6,"4-6","&gt;=7")))</x:f>
        <x:v>1-3</x:v>
      </x:c>
      <x:c r="L156" s="12" t="str">
        <x:f>IF(J156=0,"Baseline-only",IF(J156&lt;=3,"Occasional",IF(J156&lt;=6,"Recurrent","High-frequency")))</x:f>
        <x:v>Occasional</x:v>
      </x:c>
      <x:c r="M156" s="19" t="n">
        <x:v>103.683194</x:v>
      </x:c>
      <x:c r="N156" s="19" t="n">
        <x:v>1.487722</x:v>
      </x:c>
      <x:c r="O156" s="12" t="str">
        <x:v>YES</x:v>
      </x:c>
      <x:c r="P156" s="12" t="str">
        <x:v>PLOT</x:v>
      </x:c>
      <x:c r="Q156" s="12"/>
      <x:c r="R156" s="12"/>
      <x:c r="S156" s="12" t="str">
        <x:v>S2025-017</x:v>
      </x:c>
      <x:c r="T156" s="12" t="str">
        <x:v>PLOT</x:v>
      </x:c>
      <x:c r="U156" s="12"/>
    </x:row>
    <x:row r="157">
      <x:c r="A157" s="12" t="str">
        <x:v>FLOC-0156</x:v>
      </x:c>
      <x:c r="B157" s="12" t="str">
        <x:v>Persiaran Abu Bakar Sultan</x:v>
      </x:c>
      <x:c r="C157" s="12" t="str">
        <x:v>ROAD</x:v>
      </x:c>
      <x:c r="D157" s="12" t="str">
        <x:v>JBLOC-0172</x:v>
      </x:c>
      <x:c r="E157" s="12" t="str">
        <x:v>2022</x:v>
      </x:c>
      <x:c r="F157" s="12" t="n">
        <x:v>2022</x:v>
      </x:c>
      <x:c r="G157" s="12" t="n">
        <x:v>2022</x:v>
      </x:c>
      <x:c r="H157" s="18" t="n">
        <x:v>44775</x:v>
      </x:c>
      <x:c r="I157" s="18" t="n">
        <x:v>44775</x:v>
      </x:c>
      <x:c r="J157" s="12" t="n">
        <x:f>COUNTIF('03_Independent_Episodes'!$A$2:$A$345,A157)</x:f>
        <x:v>1</x:v>
      </x:c>
      <x:c r="K157" s="12" t="str">
        <x:f>IF(J157=0,"0",IF(J157&lt;=3,"1-3",IF(J157&lt;=6,"4-6","&gt;=7")))</x:f>
        <x:v>1-3</x:v>
      </x:c>
      <x:c r="L157" s="12" t="str">
        <x:f>IF(J157=0,"Baseline-only",IF(J157&lt;=3,"Occasional",IF(J157&lt;=6,"Recurrent","High-frequency")))</x:f>
        <x:v>Occasional</x:v>
      </x:c>
      <x:c r="M157" s="19" t="n">
        <x:v>103.7190029</x:v>
      </x:c>
      <x:c r="N157" s="19" t="n">
        <x:v>1.4843025</x:v>
      </x:c>
      <x:c r="O157" s="12" t="str">
        <x:v>YES</x:v>
      </x:c>
      <x:c r="P157" s="12" t="str">
        <x:v>PLOT</x:v>
      </x:c>
      <x:c r="Q157" s="12"/>
      <x:c r="R157" s="12" t="str">
        <x:v>HF33</x:v>
      </x:c>
      <x:c r="S157" s="12" t="str">
        <x:v>S2022-013</x:v>
      </x:c>
      <x:c r="T157" s="12" t="str">
        <x:v>Fixed45 baseline</x:v>
      </x:c>
      <x:c r="U157" s="12"/>
    </x:row>
    <x:row r="158">
      <x:c r="A158" s="12" t="str">
        <x:v>FLOC-0157</x:v>
      </x:c>
      <x:c r="B158" s="12" t="str">
        <x:v>Puteri Harbour Iskandar Puteri</x:v>
      </x:c>
      <x:c r="C158" s="12" t="str">
        <x:v>AREA</x:v>
      </x:c>
      <x:c r="D158" s="12" t="str">
        <x:v>JBLOC-0173</x:v>
      </x:c>
      <x:c r="E158" s="12" t="str">
        <x:v>2022</x:v>
      </x:c>
      <x:c r="F158" s="12" t="n">
        <x:v>2022</x:v>
      </x:c>
      <x:c r="G158" s="12" t="n">
        <x:v>2022</x:v>
      </x:c>
      <x:c r="H158" s="18" t="n">
        <x:v>44809</x:v>
      </x:c>
      <x:c r="I158" s="18" t="n">
        <x:v>44809</x:v>
      </x:c>
      <x:c r="J158" s="12" t="n">
        <x:f>COUNTIF('03_Independent_Episodes'!$A$2:$A$345,A158)</x:f>
        <x:v>1</x:v>
      </x:c>
      <x:c r="K158" s="12" t="str">
        <x:f>IF(J158=0,"0",IF(J158&lt;=3,"1-3",IF(J158&lt;=6,"4-6","&gt;=7")))</x:f>
        <x:v>1-3</x:v>
      </x:c>
      <x:c r="L158" s="12" t="str">
        <x:f>IF(J158=0,"Baseline-only",IF(J158&lt;=3,"Occasional",IF(J158&lt;=6,"Recurrent","High-frequency")))</x:f>
        <x:v>Occasional</x:v>
      </x:c>
      <x:c r="M158" s="19" t="n">
        <x:v>103.66077</x:v>
      </x:c>
      <x:c r="N158" s="19" t="n">
        <x:v>1.41407400000001</x:v>
      </x:c>
      <x:c r="O158" s="12" t="str">
        <x:v>YES</x:v>
      </x:c>
      <x:c r="P158" s="12" t="str">
        <x:v>PLOT</x:v>
      </x:c>
      <x:c r="Q158" s="12"/>
      <x:c r="R158" s="12" t="str">
        <x:v>HF39</x:v>
      </x:c>
      <x:c r="S158" s="12" t="str">
        <x:v>S2022-024</x:v>
      </x:c>
      <x:c r="T158" s="12" t="str">
        <x:v>Fixed45 baseline</x:v>
      </x:c>
      <x:c r="U158" s="12"/>
    </x:row>
    <x:row r="159">
      <x:c r="A159" s="12" t="str">
        <x:v>FLOC-0158</x:v>
      </x:c>
      <x:c r="B159" s="12" t="str">
        <x:v>Rumah Orang Tua Sam Poh</x:v>
      </x:c>
      <x:c r="C159" s="12" t="str">
        <x:v>FACILITY</x:v>
      </x:c>
      <x:c r="D159" s="12" t="str">
        <x:v>JBLOC-0174</x:v>
      </x:c>
      <x:c r="E159" s="12" t="str">
        <x:v>2021</x:v>
      </x:c>
      <x:c r="F159" s="12" t="n">
        <x:v>2021</x:v>
      </x:c>
      <x:c r="G159" s="12" t="n">
        <x:v>2021</x:v>
      </x:c>
      <x:c r="H159" s="18" t="n">
        <x:v>44198</x:v>
      </x:c>
      <x:c r="I159" s="18" t="n">
        <x:v>44198</x:v>
      </x:c>
      <x:c r="J159" s="12" t="n">
        <x:f>COUNTIF('03_Independent_Episodes'!$A$2:$A$345,A159)</x:f>
        <x:v>1</x:v>
      </x:c>
      <x:c r="K159" s="12" t="str">
        <x:f>IF(J159=0,"0",IF(J159&lt;=3,"1-3",IF(J159&lt;=6,"4-6","&gt;=7")))</x:f>
        <x:v>1-3</x:v>
      </x:c>
      <x:c r="L159" s="12" t="str">
        <x:f>IF(J159=0,"Baseline-only",IF(J159&lt;=3,"Occasional",IF(J159&lt;=6,"Recurrent","High-frequency")))</x:f>
        <x:v>Occasional</x:v>
      </x:c>
      <x:c r="M159" s="19"/>
      <x:c r="N159" s="19"/>
      <x:c r="O159" s="12" t="str">
        <x:v>NO</x:v>
      </x:c>
      <x:c r="P159" s="12" t="str">
        <x:v>DO NOT PLOT</x:v>
      </x:c>
      <x:c r="Q159" s="12"/>
      <x:c r="R159" s="12"/>
      <x:c r="S159" s="12" t="str">
        <x:v>S2021-005</x:v>
      </x:c>
      <x:c r="T159" s="12"/>
      <x:c r="U159" s="12"/>
    </x:row>
    <x:row r="160">
      <x:c r="A160" s="12" t="str">
        <x:v>FLOC-0159</x:v>
      </x:c>
      <x:c r="B160" s="12" t="str">
        <x:v>Rumah Seri Kenangan Johor Bahru</x:v>
      </x:c>
      <x:c r="C160" s="12" t="str">
        <x:v>Government welfare facility</x:v>
      </x:c>
      <x:c r="D160" s="12" t="str">
        <x:v>JBLOC-0175</x:v>
      </x:c>
      <x:c r="E160" s="12" t="str">
        <x:v>2018</x:v>
      </x:c>
      <x:c r="F160" s="12" t="n">
        <x:v>2018</x:v>
      </x:c>
      <x:c r="G160" s="12" t="n">
        <x:v>2018</x:v>
      </x:c>
      <x:c r="H160" s="18" t="n">
        <x:v>43382</x:v>
      </x:c>
      <x:c r="I160" s="18" t="n">
        <x:v>43382</x:v>
      </x:c>
      <x:c r="J160" s="12" t="n">
        <x:f>COUNTIF('03_Independent_Episodes'!$A$2:$A$345,A160)</x:f>
        <x:v>1</x:v>
      </x:c>
      <x:c r="K160" s="12" t="str">
        <x:f>IF(J160=0,"0",IF(J160&lt;=3,"1-3",IF(J160&lt;=6,"4-6","&gt;=7")))</x:f>
        <x:v>1-3</x:v>
      </x:c>
      <x:c r="L160" s="12" t="str">
        <x:f>IF(J160=0,"Baseline-only",IF(J160&lt;=3,"Occasional",IF(J160&lt;=6,"Recurrent","High-frequency")))</x:f>
        <x:v>Occasional</x:v>
      </x:c>
      <x:c r="M160" s="19" t="n">
        <x:v>103.7389388</x:v>
      </x:c>
      <x:c r="N160" s="19" t="n">
        <x:v>1.51349551</x:v>
      </x:c>
      <x:c r="O160" s="12" t="str">
        <x:v>NO</x:v>
      </x:c>
      <x:c r="P160" s="12" t="str">
        <x:v>DO NOT PLOT</x:v>
      </x:c>
      <x:c r="Q160" s="12"/>
      <x:c r="R160" s="12"/>
      <x:c r="S160" s="12" t="str">
        <x:v>LOC-JB-RSK-UNGKU-MOHSIN</x:v>
      </x:c>
      <x:c r="T160" s="12" t="str">
        <x:v>SRC_GEO_2018_RSK_JKM</x:v>
      </x:c>
      <x:c r="U160" s="12"/>
    </x:row>
    <x:row r="161">
      <x:c r="A161" s="12" t="str">
        <x:v>FLOC-0160</x:v>
      </x:c>
      <x:c r="B161" s="12" t="str">
        <x:v>Sanctuary Garden, Tebrau</x:v>
      </x:c>
      <x:c r="C161" s="12" t="str">
        <x:v>RESIDENTIAL</x:v>
      </x:c>
      <x:c r="D161" s="12" t="str">
        <x:v>JBLOC-0176</x:v>
      </x:c>
      <x:c r="E161" s="12" t="str">
        <x:v>2022</x:v>
      </x:c>
      <x:c r="F161" s="12" t="n">
        <x:v>2022</x:v>
      </x:c>
      <x:c r="G161" s="12" t="n">
        <x:v>2022</x:v>
      </x:c>
      <x:c r="H161" s="18" t="n">
        <x:v>44872</x:v>
      </x:c>
      <x:c r="I161" s="18" t="n">
        <x:v>44872</x:v>
      </x:c>
      <x:c r="J161" s="12" t="n">
        <x:f>COUNTIF('03_Independent_Episodes'!$A$2:$A$345,A161)</x:f>
        <x:v>1</x:v>
      </x:c>
      <x:c r="K161" s="12" t="str">
        <x:f>IF(J161=0,"0",IF(J161&lt;=3,"1-3",IF(J161&lt;=6,"4-6","&gt;=7")))</x:f>
        <x:v>1-3</x:v>
      </x:c>
      <x:c r="L161" s="12" t="str">
        <x:f>IF(J161=0,"Baseline-only",IF(J161&lt;=3,"Occasional",IF(J161&lt;=6,"Recurrent","High-frequency")))</x:f>
        <x:v>Occasional</x:v>
      </x:c>
      <x:c r="M161" s="19"/>
      <x:c r="N161" s="19"/>
      <x:c r="O161" s="12" t="str">
        <x:v>NO</x:v>
      </x:c>
      <x:c r="P161" s="12" t="str">
        <x:v>DO NOT PLOT</x:v>
      </x:c>
      <x:c r="Q161" s="12"/>
      <x:c r="R161" s="12"/>
      <x:c r="S161" s="12" t="str">
        <x:v>S2022-033</x:v>
      </x:c>
      <x:c r="T161" s="12"/>
      <x:c r="U161" s="12"/>
    </x:row>
    <x:row r="162">
      <x:c r="A162" s="12" t="str">
        <x:v>FLOC-0161</x:v>
      </x:c>
      <x:c r="B162" s="12" t="str">
        <x:v>Sekolah Agama Bandar Johor Bahru</x:v>
      </x:c>
      <x:c r="C162" s="12" t="str">
        <x:v>FACILITY/POI</x:v>
      </x:c>
      <x:c r="D162" s="12" t="str">
        <x:v>JBLOC-0177</x:v>
      </x:c>
      <x:c r="E162" s="12" t="str">
        <x:v>2026</x:v>
      </x:c>
      <x:c r="F162" s="12" t="n">
        <x:v>2026</x:v>
      </x:c>
      <x:c r="G162" s="12" t="n">
        <x:v>2026</x:v>
      </x:c>
      <x:c r="H162" s="18" t="n">
        <x:v>46295</x:v>
      </x:c>
      <x:c r="I162" s="18" t="n">
        <x:v>46295</x:v>
      </x:c>
      <x:c r="J162" s="12" t="n">
        <x:f>COUNTIF('03_Independent_Episodes'!$A$2:$A$345,A162)</x:f>
        <x:v>1</x:v>
      </x:c>
      <x:c r="K162" s="12" t="str">
        <x:f>IF(J162=0,"0",IF(J162&lt;=3,"1-3",IF(J162&lt;=6,"4-6","&gt;=7")))</x:f>
        <x:v>1-3</x:v>
      </x:c>
      <x:c r="L162" s="12" t="str">
        <x:f>IF(J162=0,"Baseline-only",IF(J162&lt;=3,"Occasional",IF(J162&lt;=6,"Recurrent","High-frequency")))</x:f>
        <x:v>Occasional</x:v>
      </x:c>
      <x:c r="M162" s="19" t="n">
        <x:v>103.75113</x:v>
      </x:c>
      <x:c r="N162" s="19" t="n">
        <x:v>1.46787</x:v>
      </x:c>
      <x:c r="O162" s="12" t="str">
        <x:v>YES</x:v>
      </x:c>
      <x:c r="P162" s="12" t="str">
        <x:v>PLOT</x:v>
      </x:c>
      <x:c r="Q162" s="12"/>
      <x:c r="R162" s="12"/>
      <x:c r="S162" s="12" t="str">
        <x:v>S2026-023</x:v>
      </x:c>
      <x:c r="T162" s="12" t="str">
        <x:v>PLOT</x:v>
      </x:c>
      <x:c r="U162" s="12"/>
    </x:row>
    <x:row r="163">
      <x:c r="A163" s="12" t="str">
        <x:v>FLOC-0162</x:v>
      </x:c>
      <x:c r="B163" s="12" t="str">
        <x:v>Sekolah Kebangsaan Kangkar Tebrau</x:v>
      </x:c>
      <x:c r="C163" s="12" t="str">
        <x:v>CRITICAL FACILITY</x:v>
      </x:c>
      <x:c r="D163" s="12" t="str">
        <x:v>JBLOC-0180</x:v>
      </x:c>
      <x:c r="E163" s="12" t="str">
        <x:v>2025</x:v>
      </x:c>
      <x:c r="F163" s="12" t="n">
        <x:v>2025</x:v>
      </x:c>
      <x:c r="G163" s="12" t="n">
        <x:v>2025</x:v>
      </x:c>
      <x:c r="H163" s="18" t="n">
        <x:v>45668</x:v>
      </x:c>
      <x:c r="I163" s="18" t="n">
        <x:v>45736</x:v>
      </x:c>
      <x:c r="J163" s="12" t="n">
        <x:f>COUNTIF('03_Independent_Episodes'!$A$2:$A$345,A163)</x:f>
        <x:v>2</x:v>
      </x:c>
      <x:c r="K163" s="12" t="str">
        <x:f>IF(J163=0,"0",IF(J163&lt;=3,"1-3",IF(J163&lt;=6,"4-6","&gt;=7")))</x:f>
        <x:v>1-3</x:v>
      </x:c>
      <x:c r="L163" s="12" t="str">
        <x:f>IF(J163=0,"Baseline-only",IF(J163&lt;=3,"Occasional",IF(J163&lt;=6,"Recurrent","High-frequency")))</x:f>
        <x:v>Occasional</x:v>
      </x:c>
      <x:c r="M163" s="19" t="n">
        <x:v>103.7555</x:v>
      </x:c>
      <x:c r="N163" s="19" t="n">
        <x:v>1.53241</x:v>
      </x:c>
      <x:c r="O163" s="12" t="str">
        <x:v>YES</x:v>
      </x:c>
      <x:c r="P163" s="12" t="str">
        <x:v>PLOT</x:v>
      </x:c>
      <x:c r="Q163" s="12"/>
      <x:c r="R163" s="12"/>
      <x:c r="S163" s="12" t="str">
        <x:v>S2025-003</x:v>
      </x:c>
      <x:c r="T163" s="12" t="str">
        <x:v>PLOT</x:v>
      </x:c>
      <x:c r="U163" s="12"/>
    </x:row>
    <x:row r="164">
      <x:c r="A164" s="12" t="str">
        <x:v>FLOC-0163</x:v>
      </x:c>
      <x:c r="B164" s="12" t="str">
        <x:v>Simpang Ladang Mados</x:v>
      </x:c>
      <x:c r="C164" s="12" t="str">
        <x:v>ROAD/LOCALITY</x:v>
      </x:c>
      <x:c r="D164" s="12" t="str">
        <x:v>JBLOC-0183</x:v>
      </x:c>
      <x:c r="E164" s="12" t="str">
        <x:v>2024</x:v>
      </x:c>
      <x:c r="F164" s="12" t="n">
        <x:v>2024</x:v>
      </x:c>
      <x:c r="G164" s="12" t="n">
        <x:v>2024</x:v>
      </x:c>
      <x:c r="H164" s="18" t="n">
        <x:v>45298</x:v>
      </x:c>
      <x:c r="I164" s="18" t="n">
        <x:v>45298</x:v>
      </x:c>
      <x:c r="J164" s="12" t="n">
        <x:f>COUNTIF('03_Independent_Episodes'!$A$2:$A$345,A164)</x:f>
        <x:v>1</x:v>
      </x:c>
      <x:c r="K164" s="12" t="str">
        <x:f>IF(J164=0,"0",IF(J164&lt;=3,"1-3",IF(J164&lt;=6,"4-6","&gt;=7")))</x:f>
        <x:v>1-3</x:v>
      </x:c>
      <x:c r="L164" s="12" t="str">
        <x:f>IF(J164=0,"Baseline-only",IF(J164&lt;=3,"Occasional",IF(J164&lt;=6,"Recurrent","High-frequency")))</x:f>
        <x:v>Occasional</x:v>
      </x:c>
      <x:c r="M164" s="19"/>
      <x:c r="N164" s="19"/>
      <x:c r="O164" s="12" t="str">
        <x:v>NO</x:v>
      </x:c>
      <x:c r="P164" s="12" t="str">
        <x:v>DO NOT PLOT</x:v>
      </x:c>
      <x:c r="Q164" s="12"/>
      <x:c r="R164" s="12"/>
      <x:c r="S164" s="12" t="str">
        <x:v>S2024-006</x:v>
      </x:c>
      <x:c r="T164" s="12"/>
      <x:c r="U164" s="12"/>
    </x:row>
    <x:row r="165">
      <x:c r="A165" s="12" t="str">
        <x:v>FLOC-0164</x:v>
      </x:c>
      <x:c r="B165" s="12" t="str">
        <x:v>Simpang Mados</x:v>
      </x:c>
      <x:c r="C165" s="12" t="str">
        <x:v>LOCALITY</x:v>
      </x:c>
      <x:c r="D165" s="12" t="str">
        <x:v>JBLOC-0184</x:v>
      </x:c>
      <x:c r="E165" s="12" t="str">
        <x:v>2021</x:v>
      </x:c>
      <x:c r="F165" s="12" t="n">
        <x:v>2021</x:v>
      </x:c>
      <x:c r="G165" s="12" t="n">
        <x:v>2021</x:v>
      </x:c>
      <x:c r="H165" s="18" t="n">
        <x:v>44206</x:v>
      </x:c>
      <x:c r="I165" s="18" t="n">
        <x:v>44206</x:v>
      </x:c>
      <x:c r="J165" s="12" t="n">
        <x:f>COUNTIF('03_Independent_Episodes'!$A$2:$A$345,A165)</x:f>
        <x:v>1</x:v>
      </x:c>
      <x:c r="K165" s="12" t="str">
        <x:f>IF(J165=0,"0",IF(J165&lt;=3,"1-3",IF(J165&lt;=6,"4-6","&gt;=7")))</x:f>
        <x:v>1-3</x:v>
      </x:c>
      <x:c r="L165" s="12" t="str">
        <x:f>IF(J165=0,"Baseline-only",IF(J165&lt;=3,"Occasional",IF(J165&lt;=6,"Recurrent","High-frequency")))</x:f>
        <x:v>Occasional</x:v>
      </x:c>
      <x:c r="M165" s="19"/>
      <x:c r="N165" s="19"/>
      <x:c r="O165" s="12" t="str">
        <x:v>NO</x:v>
      </x:c>
      <x:c r="P165" s="12" t="str">
        <x:v>DO NOT PLOT</x:v>
      </x:c>
      <x:c r="Q165" s="12"/>
      <x:c r="R165" s="12"/>
      <x:c r="S165" s="12" t="str">
        <x:v>S2021-012</x:v>
      </x:c>
      <x:c r="T165" s="12"/>
      <x:c r="U165" s="12"/>
    </x:row>
    <x:row r="166">
      <x:c r="A166" s="12" t="str">
        <x:v>FLOC-0165</x:v>
      </x:c>
      <x:c r="B166" s="12" t="str">
        <x:v>SK Bukit Mutiara</x:v>
      </x:c>
      <x:c r="C166" s="12" t="str">
        <x:v>CRITICAL FACILITY</x:v>
      </x:c>
      <x:c r="D166" s="12" t="str">
        <x:v>JBLOC-0178</x:v>
      </x:c>
      <x:c r="E166" s="12" t="str">
        <x:v>2024</x:v>
      </x:c>
      <x:c r="F166" s="12" t="n">
        <x:v>2024</x:v>
      </x:c>
      <x:c r="G166" s="12" t="n">
        <x:v>2024</x:v>
      </x:c>
      <x:c r="H166" s="18" t="n">
        <x:v>45298</x:v>
      </x:c>
      <x:c r="I166" s="18" t="n">
        <x:v>45298</x:v>
      </x:c>
      <x:c r="J166" s="12" t="n">
        <x:f>COUNTIF('03_Independent_Episodes'!$A$2:$A$345,A166)</x:f>
        <x:v>1</x:v>
      </x:c>
      <x:c r="K166" s="12" t="str">
        <x:f>IF(J166=0,"0",IF(J166&lt;=3,"1-3",IF(J166&lt;=6,"4-6","&gt;=7")))</x:f>
        <x:v>1-3</x:v>
      </x:c>
      <x:c r="L166" s="12" t="str">
        <x:f>IF(J166=0,"Baseline-only",IF(J166&lt;=3,"Occasional",IF(J166&lt;=6,"Recurrent","High-frequency")))</x:f>
        <x:v>Occasional</x:v>
      </x:c>
      <x:c r="M166" s="19" t="n">
        <x:v>103.741375207901</x:v>
      </x:c>
      <x:c r="N166" s="19" t="n">
        <x:v>1.54085596501295</x:v>
      </x:c>
      <x:c r="O166" s="12" t="str">
        <x:v>YES</x:v>
      </x:c>
      <x:c r="P166" s="12" t="str">
        <x:v>PLOT</x:v>
      </x:c>
      <x:c r="Q166" s="12"/>
      <x:c r="R166" s="12"/>
      <x:c r="S166" s="12" t="str">
        <x:v>S2024-011</x:v>
      </x:c>
      <x:c r="T166" s="12" t="str">
        <x:v>PLOT</x:v>
      </x:c>
      <x:c r="U166" s="12"/>
    </x:row>
    <x:row r="167">
      <x:c r="A167" s="12" t="str">
        <x:v>FLOC-0166</x:v>
      </x:c>
      <x:c r="B167" s="12" t="str">
        <x:v>SK Kampung Maju Jaya</x:v>
      </x:c>
      <x:c r="C167" s="12" t="str">
        <x:v>CRITICAL FACILITY</x:v>
      </x:c>
      <x:c r="D167" s="12" t="str">
        <x:v>JBLOC-0179</x:v>
      </x:c>
      <x:c r="E167" s="12" t="str">
        <x:v>2024;2025</x:v>
      </x:c>
      <x:c r="F167" s="12" t="n">
        <x:v>2024</x:v>
      </x:c>
      <x:c r="G167" s="12" t="n">
        <x:v>2025</x:v>
      </x:c>
      <x:c r="H167" s="18" t="n">
        <x:v>45298</x:v>
      </x:c>
      <x:c r="I167" s="18" t="n">
        <x:v>45736</x:v>
      </x:c>
      <x:c r="J167" s="12" t="n">
        <x:f>COUNTIF('03_Independent_Episodes'!$A$2:$A$345,A167)</x:f>
        <x:v>2</x:v>
      </x:c>
      <x:c r="K167" s="12" t="str">
        <x:f>IF(J167=0,"0",IF(J167&lt;=3,"1-3",IF(J167&lt;=6,"4-6","&gt;=7")))</x:f>
        <x:v>1-3</x:v>
      </x:c>
      <x:c r="L167" s="12" t="str">
        <x:f>IF(J167=0,"Baseline-only",IF(J167&lt;=3,"Occasional",IF(J167&lt;=6,"Recurrent","High-frequency")))</x:f>
        <x:v>Occasional</x:v>
      </x:c>
      <x:c r="M167" s="19" t="n">
        <x:v>103.718275204555</x:v>
      </x:c>
      <x:c r="N167" s="19" t="n">
        <x:v>1.5804887</x:v>
      </x:c>
      <x:c r="O167" s="12" t="str">
        <x:v>YES</x:v>
      </x:c>
      <x:c r="P167" s="12" t="str">
        <x:v>PLOT</x:v>
      </x:c>
      <x:c r="Q167" s="12"/>
      <x:c r="R167" s="12" t="str">
        <x:v>HF44</x:v>
      </x:c>
      <x:c r="S167" s="12" t="str">
        <x:v>S2024-010; S2025-019</x:v>
      </x:c>
      <x:c r="T167" s="12" t="str">
        <x:v>Fixed45 baseline</x:v>
      </x:c>
      <x:c r="U167" s="12"/>
    </x:row>
    <x:row r="168">
      <x:c r="A168" s="12" t="str">
        <x:v>FLOC-0167</x:v>
      </x:c>
      <x:c r="B168" s="12" t="str">
        <x:v>SK Sungai Tiram</x:v>
      </x:c>
      <x:c r="C168" s="12" t="str">
        <x:v>CRITICAL FACILITY</x:v>
      </x:c>
      <x:c r="D168" s="12" t="str">
        <x:v>JBLOC-0181</x:v>
      </x:c>
      <x:c r="E168" s="12" t="str">
        <x:v>2024</x:v>
      </x:c>
      <x:c r="F168" s="12" t="n">
        <x:v>2024</x:v>
      </x:c>
      <x:c r="G168" s="12" t="n">
        <x:v>2024</x:v>
      </x:c>
      <x:c r="H168" s="18" t="n">
        <x:v>45298</x:v>
      </x:c>
      <x:c r="I168" s="18" t="n">
        <x:v>45298</x:v>
      </x:c>
      <x:c r="J168" s="12" t="n">
        <x:f>COUNTIF('03_Independent_Episodes'!$A$2:$A$345,A168)</x:f>
        <x:v>1</x:v>
      </x:c>
      <x:c r="K168" s="12" t="str">
        <x:f>IF(J168=0,"0",IF(J168&lt;=3,"1-3",IF(J168&lt;=6,"4-6","&gt;=7")))</x:f>
        <x:v>1-3</x:v>
      </x:c>
      <x:c r="L168" s="12" t="str">
        <x:f>IF(J168=0,"Baseline-only",IF(J168&lt;=3,"Occasional",IF(J168&lt;=6,"Recurrent","High-frequency")))</x:f>
        <x:v>Occasional</x:v>
      </x:c>
      <x:c r="M168" s="19" t="n">
        <x:v>103.879771828651</x:v>
      </x:c>
      <x:c r="N168" s="19" t="n">
        <x:v>1.58516029538754</x:v>
      </x:c>
      <x:c r="O168" s="12" t="str">
        <x:v>YES</x:v>
      </x:c>
      <x:c r="P168" s="12" t="str">
        <x:v>PLOT</x:v>
      </x:c>
      <x:c r="Q168" s="12"/>
      <x:c r="R168" s="12"/>
      <x:c r="S168" s="12" t="str">
        <x:v>S2024-012</x:v>
      </x:c>
      <x:c r="T168" s="12" t="str">
        <x:v>PLOT</x:v>
      </x:c>
      <x:c r="U168" s="12"/>
    </x:row>
    <x:row r="169">
      <x:c r="A169" s="12" t="str">
        <x:v>FLOC-0168</x:v>
      </x:c>
      <x:c r="B169" s="12" t="str">
        <x:v>SK Taman Tampoi Utama</x:v>
      </x:c>
      <x:c r="C169" s="12" t="str">
        <x:v>CRITICAL FACILITY</x:v>
      </x:c>
      <x:c r="D169" s="12" t="str">
        <x:v>JBLOC-0182</x:v>
      </x:c>
      <x:c r="E169" s="12" t="str">
        <x:v>2025</x:v>
      </x:c>
      <x:c r="F169" s="12" t="n">
        <x:v>2025</x:v>
      </x:c>
      <x:c r="G169" s="12" t="n">
        <x:v>2025</x:v>
      </x:c>
      <x:c r="H169" s="18" t="n">
        <x:v>45736</x:v>
      </x:c>
      <x:c r="I169" s="18" t="n">
        <x:v>45736</x:v>
      </x:c>
      <x:c r="J169" s="12" t="n">
        <x:f>COUNTIF('03_Independent_Episodes'!$A$2:$A$345,A169)</x:f>
        <x:v>1</x:v>
      </x:c>
      <x:c r="K169" s="12" t="str">
        <x:f>IF(J169=0,"0",IF(J169&lt;=3,"1-3",IF(J169&lt;=6,"4-6","&gt;=7")))</x:f>
        <x:v>1-3</x:v>
      </x:c>
      <x:c r="L169" s="12" t="str">
        <x:f>IF(J169=0,"Baseline-only",IF(J169&lt;=3,"Occasional",IF(J169&lt;=6,"Recurrent","High-frequency")))</x:f>
        <x:v>Occasional</x:v>
      </x:c>
      <x:c r="M169" s="19" t="n">
        <x:v>103.680172562599</x:v>
      </x:c>
      <x:c r="N169" s="19" t="n">
        <x:v>1.51604363425928</x:v>
      </x:c>
      <x:c r="O169" s="12" t="str">
        <x:v>YES</x:v>
      </x:c>
      <x:c r="P169" s="12" t="str">
        <x:v>PLOT</x:v>
      </x:c>
      <x:c r="Q169" s="12"/>
      <x:c r="R169" s="12"/>
      <x:c r="S169" s="12" t="str">
        <x:v>S2025-020</x:v>
      </x:c>
      <x:c r="T169" s="12" t="str">
        <x:v>PLOT</x:v>
      </x:c>
      <x:c r="U169" s="12"/>
    </x:row>
    <x:row r="170">
      <x:c r="A170" s="12" t="str">
        <x:v>FLOC-0169</x:v>
      </x:c>
      <x:c r="B170" s="12" t="str">
        <x:v>Sungai Tiram PPS catchment</x:v>
      </x:c>
      <x:c r="C170" s="12" t="str">
        <x:v>AREA/COMMUNITY</x:v>
      </x:c>
      <x:c r="D170" s="12" t="str">
        <x:v>JBLOC-0185</x:v>
      </x:c>
      <x:c r="E170" s="12" t="str">
        <x:v>2022</x:v>
      </x:c>
      <x:c r="F170" s="12" t="n">
        <x:v>2022</x:v>
      </x:c>
      <x:c r="G170" s="12" t="n">
        <x:v>2022</x:v>
      </x:c>
      <x:c r="H170" s="18" t="n">
        <x:v>44564</x:v>
      </x:c>
      <x:c r="I170" s="18" t="n">
        <x:v>44564</x:v>
      </x:c>
      <x:c r="J170" s="12" t="n">
        <x:f>COUNTIF('03_Independent_Episodes'!$A$2:$A$345,A170)</x:f>
        <x:v>1</x:v>
      </x:c>
      <x:c r="K170" s="12" t="str">
        <x:f>IF(J170=0,"0",IF(J170&lt;=3,"1-3",IF(J170&lt;=6,"4-6","&gt;=7")))</x:f>
        <x:v>1-3</x:v>
      </x:c>
      <x:c r="L170" s="12" t="str">
        <x:f>IF(J170=0,"Baseline-only",IF(J170&lt;=3,"Occasional",IF(J170&lt;=6,"Recurrent","High-frequency")))</x:f>
        <x:v>Occasional</x:v>
      </x:c>
      <x:c r="M170" s="19" t="n">
        <x:v>103.8806315</x:v>
      </x:c>
      <x:c r="N170" s="19" t="n">
        <x:v>1.5843974</x:v>
      </x:c>
      <x:c r="O170" s="12" t="str">
        <x:v>YES</x:v>
      </x:c>
      <x:c r="P170" s="12" t="str">
        <x:v>PLOT</x:v>
      </x:c>
      <x:c r="Q170" s="12"/>
      <x:c r="R170" s="12"/>
      <x:c r="S170" s="12" t="str">
        <x:v>S2022-001</x:v>
      </x:c>
      <x:c r="T170" s="12" t="str">
        <x:v>R012 policy/reference point; Jan source identifies PPS, not exact inundated subarea</x:v>
      </x:c>
      <x:c r="U170" s="12"/>
    </x:row>
    <x:row r="171">
      <x:c r="A171" s="12" t="str">
        <x:v>FLOC-0170</x:v>
      </x:c>
      <x:c r="B171" s="12" t="str">
        <x:v>Tabika Kemas, Skudai Kiri</x:v>
      </x:c>
      <x:c r="C171" s="12" t="str">
        <x:v>FACILITY</x:v>
      </x:c>
      <x:c r="D171" s="12" t="str">
        <x:v>JBLOC-0186</x:v>
      </x:c>
      <x:c r="E171" s="12" t="str">
        <x:v>2022</x:v>
      </x:c>
      <x:c r="F171" s="12" t="n">
        <x:v>2022</x:v>
      </x:c>
      <x:c r="G171" s="12" t="n">
        <x:v>2022</x:v>
      </x:c>
      <x:c r="H171" s="18" t="n">
        <x:v>44829</x:v>
      </x:c>
      <x:c r="I171" s="18" t="n">
        <x:v>44829</x:v>
      </x:c>
      <x:c r="J171" s="12" t="n">
        <x:f>COUNTIF('03_Independent_Episodes'!$A$2:$A$345,A171)</x:f>
        <x:v>1</x:v>
      </x:c>
      <x:c r="K171" s="12" t="str">
        <x:f>IF(J171=0,"0",IF(J171&lt;=3,"1-3",IF(J171&lt;=6,"4-6","&gt;=7")))</x:f>
        <x:v>1-3</x:v>
      </x:c>
      <x:c r="L171" s="12" t="str">
        <x:f>IF(J171=0,"Baseline-only",IF(J171&lt;=3,"Occasional",IF(J171&lt;=6,"Recurrent","High-frequency")))</x:f>
        <x:v>Occasional</x:v>
      </x:c>
      <x:c r="M171" s="19"/>
      <x:c r="N171" s="19"/>
      <x:c r="O171" s="12" t="str">
        <x:v>NO</x:v>
      </x:c>
      <x:c r="P171" s="12" t="str">
        <x:v>DO NOT PLOT</x:v>
      </x:c>
      <x:c r="Q171" s="12"/>
      <x:c r="R171" s="12"/>
      <x:c r="S171" s="12" t="str">
        <x:v>S2022-028</x:v>
      </x:c>
      <x:c r="T171" s="12"/>
      <x:c r="U171" s="12"/>
    </x:row>
    <x:row r="172">
      <x:c r="A172" s="12" t="str">
        <x:v>FLOC-0171</x:v>
      </x:c>
      <x:c r="B172" s="12" t="str">
        <x:v>Tadika &amp; Taska Umiku Sayang, Jalan Mohd Amin</x:v>
      </x:c>
      <x:c r="C172" s="12" t="str">
        <x:v>FACILITY/POI</x:v>
      </x:c>
      <x:c r="D172" s="12" t="str">
        <x:v>JBLOC-0187</x:v>
      </x:c>
      <x:c r="E172" s="12" t="str">
        <x:v>2026</x:v>
      </x:c>
      <x:c r="F172" s="12" t="n">
        <x:v>2026</x:v>
      </x:c>
      <x:c r="G172" s="12" t="n">
        <x:v>2026</x:v>
      </x:c>
      <x:c r="H172" s="18" t="n">
        <x:v>46295</x:v>
      </x:c>
      <x:c r="I172" s="18" t="n">
        <x:v>46295</x:v>
      </x:c>
      <x:c r="J172" s="12" t="n">
        <x:f>COUNTIF('03_Independent_Episodes'!$A$2:$A$345,A172)</x:f>
        <x:v>1</x:v>
      </x:c>
      <x:c r="K172" s="12" t="str">
        <x:f>IF(J172=0,"0",IF(J172&lt;=3,"1-3",IF(J172&lt;=6,"4-6","&gt;=7")))</x:f>
        <x:v>1-3</x:v>
      </x:c>
      <x:c r="L172" s="12" t="str">
        <x:f>IF(J172=0,"Baseline-only",IF(J172&lt;=3,"Occasional",IF(J172&lt;=6,"Recurrent","High-frequency")))</x:f>
        <x:v>Occasional</x:v>
      </x:c>
      <x:c r="M172" s="19"/>
      <x:c r="N172" s="19"/>
      <x:c r="O172" s="12" t="str">
        <x:v>NO</x:v>
      </x:c>
      <x:c r="P172" s="12" t="str">
        <x:v>DO NOT PLOT</x:v>
      </x:c>
      <x:c r="Q172" s="12"/>
      <x:c r="R172" s="12"/>
      <x:c r="S172" s="12" t="str">
        <x:v>S2026-014</x:v>
      </x:c>
      <x:c r="T172" s="12"/>
      <x:c r="U172" s="12"/>
    </x:row>
    <x:row r="173">
      <x:c r="A173" s="12" t="str">
        <x:v>FLOC-0172</x:v>
      </x:c>
      <x:c r="B173" s="12" t="str">
        <x:v>Taman Abad</x:v>
      </x:c>
      <x:c r="C173" s="12" t="str">
        <x:v>COMMUNITY/AREA</x:v>
      </x:c>
      <x:c r="D173" s="12" t="str">
        <x:v>JBLOC-0188</x:v>
      </x:c>
      <x:c r="E173" s="12" t="str">
        <x:v>2023</x:v>
      </x:c>
      <x:c r="F173" s="12" t="n">
        <x:v>2023</x:v>
      </x:c>
      <x:c r="G173" s="12" t="n">
        <x:v>2023</x:v>
      </x:c>
      <x:c r="H173" s="18" t="n">
        <x:v>45266</x:v>
      </x:c>
      <x:c r="I173" s="18" t="n">
        <x:v>45266</x:v>
      </x:c>
      <x:c r="J173" s="12" t="n">
        <x:f>COUNTIF('03_Independent_Episodes'!$A$2:$A$345,A173)</x:f>
        <x:v>1</x:v>
      </x:c>
      <x:c r="K173" s="12" t="str">
        <x:f>IF(J173=0,"0",IF(J173&lt;=3,"1-3",IF(J173&lt;=6,"4-6","&gt;=7")))</x:f>
        <x:v>1-3</x:v>
      </x:c>
      <x:c r="L173" s="12" t="str">
        <x:f>IF(J173=0,"Baseline-only",IF(J173&lt;=3,"Occasional",IF(J173&lt;=6,"Recurrent","High-frequency")))</x:f>
        <x:v>Occasional</x:v>
      </x:c>
      <x:c r="M173" s="19" t="n">
        <x:v>103.7595973</x:v>
      </x:c>
      <x:c r="N173" s="19" t="n">
        <x:v>1.482543</x:v>
      </x:c>
      <x:c r="O173" s="12" t="str">
        <x:v>YES</x:v>
      </x:c>
      <x:c r="P173" s="12" t="str">
        <x:v>PLOT</x:v>
      </x:c>
      <x:c r="Q173" s="12"/>
      <x:c r="R173" s="12"/>
      <x:c r="S173" s="12" t="str">
        <x:v>S2023-045</x:v>
      </x:c>
      <x:c r="T173" s="12" t="str">
        <x:v>PLOT</x:v>
      </x:c>
      <x:c r="U173" s="12"/>
    </x:row>
    <x:row r="174">
      <x:c r="A174" s="12" t="str">
        <x:v>FLOC-0173</x:v>
      </x:c>
      <x:c r="B174" s="12" t="str">
        <x:v>Taman Bunga Ros</x:v>
      </x:c>
      <x:c r="C174" s="12" t="str">
        <x:v>COMMUNITY/AREA</x:v>
      </x:c>
      <x:c r="D174" s="12" t="str">
        <x:v>JBLOC-0189</x:v>
      </x:c>
      <x:c r="E174" s="12" t="str">
        <x:v>2023</x:v>
      </x:c>
      <x:c r="F174" s="12" t="n">
        <x:v>2023</x:v>
      </x:c>
      <x:c r="G174" s="12" t="n">
        <x:v>2023</x:v>
      </x:c>
      <x:c r="H174" s="18" t="n">
        <x:v>45261</x:v>
      </x:c>
      <x:c r="I174" s="18" t="n">
        <x:v>45261</x:v>
      </x:c>
      <x:c r="J174" s="12" t="n">
        <x:f>COUNTIF('03_Independent_Episodes'!$A$2:$A$345,A174)</x:f>
        <x:v>1</x:v>
      </x:c>
      <x:c r="K174" s="12" t="str">
        <x:f>IF(J174=0,"0",IF(J174&lt;=3,"1-3",IF(J174&lt;=6,"4-6","&gt;=7")))</x:f>
        <x:v>1-3</x:v>
      </x:c>
      <x:c r="L174" s="12" t="str">
        <x:f>IF(J174=0,"Baseline-only",IF(J174&lt;=3,"Occasional",IF(J174&lt;=6,"Recurrent","High-frequency")))</x:f>
        <x:v>Occasional</x:v>
      </x:c>
      <x:c r="M174" s="19" t="n">
        <x:v>103.8206509</x:v>
      </x:c>
      <x:c r="N174" s="19" t="n">
        <x:v>1.5212749</x:v>
      </x:c>
      <x:c r="O174" s="12" t="str">
        <x:v>YES</x:v>
      </x:c>
      <x:c r="P174" s="12" t="str">
        <x:v>PLOT</x:v>
      </x:c>
      <x:c r="Q174" s="12"/>
      <x:c r="R174" s="12" t="str">
        <x:v>HF37</x:v>
      </x:c>
      <x:c r="S174" s="12" t="str">
        <x:v>S2023-016</x:v>
      </x:c>
      <x:c r="T174" s="12" t="str">
        <x:v>Fixed45 baseline</x:v>
      </x:c>
      <x:c r="U174" s="12"/>
    </x:row>
    <x:row r="175">
      <x:c r="A175" s="12" t="str">
        <x:v>FLOC-0174</x:v>
      </x:c>
      <x:c r="B175" s="12" t="str">
        <x:v>Taman Damai Jaya</x:v>
      </x:c>
      <x:c r="C175" s="12" t="str">
        <x:v>Neighborhood; Residential neighbourhood</x:v>
      </x:c>
      <x:c r="D175" s="12" t="str">
        <x:v>JBLOC-0190</x:v>
      </x:c>
      <x:c r="E175" s="12" t="str">
        <x:v>2018;2020</x:v>
      </x:c>
      <x:c r="F175" s="12" t="n">
        <x:v>2018</x:v>
      </x:c>
      <x:c r="G175" s="12" t="n">
        <x:v>2020</x:v>
      </x:c>
      <x:c r="H175" s="18" t="n">
        <x:v>43395</x:v>
      </x:c>
      <x:c r="I175" s="18" t="n">
        <x:v>44017</x:v>
      </x:c>
      <x:c r="J175" s="12" t="n">
        <x:f>COUNTIF('03_Independent_Episodes'!$A$2:$A$345,A175)</x:f>
        <x:v>2</x:v>
      </x:c>
      <x:c r="K175" s="12" t="str">
        <x:f>IF(J175=0,"0",IF(J175&lt;=3,"1-3",IF(J175&lt;=6,"4-6","&gt;=7")))</x:f>
        <x:v>1-3</x:v>
      </x:c>
      <x:c r="L175" s="12" t="str">
        <x:f>IF(J175=0,"Baseline-only",IF(J175&lt;=3,"Occasional",IF(J175&lt;=6,"Recurrent","High-frequency")))</x:f>
        <x:v>Occasional</x:v>
      </x:c>
      <x:c r="M175" s="19" t="n">
        <x:v>103.64612</x:v>
      </x:c>
      <x:c r="N175" s="19" t="n">
        <x:v>1.5035</x:v>
      </x:c>
      <x:c r="O175" s="12" t="str">
        <x:v>YES</x:v>
      </x:c>
      <x:c r="P175" s="12" t="str">
        <x:v>PLOT</x:v>
      </x:c>
      <x:c r="Q175" s="12" t="str">
        <x:v>PG2018-TAMAN-DAMAI-JAYA</x:v>
      </x:c>
      <x:c r="R175" s="12"/>
      <x:c r="S175" s="12" t="str">
        <x:v>LOC-JB-TAMAN-DAMAI-JAYA</x:v>
      </x:c>
      <x:c r="T175" s="12" t="str">
        <x:v>SRC_GEO_2018_TAMAN_DAMAI_JAYA</x:v>
      </x:c>
      <x:c r="U175" s="12"/>
    </x:row>
    <x:row r="176">
      <x:c r="A176" s="12" t="str">
        <x:v>FLOC-0175</x:v>
      </x:c>
      <x:c r="B176" s="12" t="str">
        <x:v>Taman Dato Syed Mohammad Idrus</x:v>
      </x:c>
      <x:c r="C176" s="12" t="str">
        <x:v>Locality / residential area</x:v>
      </x:c>
      <x:c r="D176" s="12" t="str">
        <x:v>JBLOC-0191</x:v>
      </x:c>
      <x:c r="E176" s="12" t="str">
        <x:v>2020</x:v>
      </x:c>
      <x:c r="F176" s="12" t="n">
        <x:v>2020</x:v>
      </x:c>
      <x:c r="G176" s="12" t="n">
        <x:v>2020</x:v>
      </x:c>
      <x:c r="H176" s="18" t="n">
        <x:v>44002</x:v>
      </x:c>
      <x:c r="I176" s="18" t="n">
        <x:v>44002</x:v>
      </x:c>
      <x:c r="J176" s="12" t="n">
        <x:f>COUNTIF('03_Independent_Episodes'!$A$2:$A$345,A176)</x:f>
        <x:v>1</x:v>
      </x:c>
      <x:c r="K176" s="12" t="str">
        <x:f>IF(J176=0,"0",IF(J176&lt;=3,"1-3",IF(J176&lt;=6,"4-6","&gt;=7")))</x:f>
        <x:v>1-3</x:v>
      </x:c>
      <x:c r="L176" s="12" t="str">
        <x:f>IF(J176=0,"Baseline-only",IF(J176&lt;=3,"Occasional",IF(J176&lt;=6,"Recurrent","High-frequency")))</x:f>
        <x:v>Occasional</x:v>
      </x:c>
      <x:c r="M176" s="19" t="n">
        <x:v>103.5923</x:v>
      </x:c>
      <x:c r="N176" s="19" t="n">
        <x:v>1.4417</x:v>
      </x:c>
      <x:c r="O176" s="12" t="str">
        <x:v>YES</x:v>
      </x:c>
      <x:c r="P176" s="12" t="str">
        <x:v>PLOT</x:v>
      </x:c>
      <x:c r="Q176" s="12"/>
      <x:c r="R176" s="12"/>
      <x:c r="S176" s="12" t="str">
        <x:v>LOC-JB-TAMAN-SYED-IDRUS</x:v>
      </x:c>
      <x:c r="T176" s="12" t="str">
        <x:v>SRC_R2020_JPS_2020_TABLE</x:v>
      </x:c>
      <x:c r="U176" s="12"/>
    </x:row>
    <x:row r="177">
      <x:c r="A177" s="12" t="str">
        <x:v>FLOC-0176</x:v>
      </x:c>
      <x:c r="B177" s="12" t="str">
        <x:v>Taman Dato' Onn</x:v>
      </x:c>
      <x:c r="C177" s="12" t="str">
        <x:v>COMMUNITY/AREA</x:v>
      </x:c>
      <x:c r="D177" s="12" t="str">
        <x:v>JBLOC-0003</x:v>
      </x:c>
      <x:c r="E177" s="12"/>
      <x:c r="F177" s="12"/>
      <x:c r="G177" s="12"/>
      <x:c r="H177" s="18"/>
      <x:c r="I177" s="18"/>
      <x:c r="J177" s="12" t="n">
        <x:f>COUNTIF('03_Independent_Episodes'!$A$2:$A$345,A177)</x:f>
        <x:v>0</x:v>
      </x:c>
      <x:c r="K177" s="12" t="str">
        <x:f>IF(J177=0,"0",IF(J177&lt;=3,"1-3",IF(J177&lt;=6,"4-6","&gt;=7")))</x:f>
        <x:v>0</x:v>
      </x:c>
      <x:c r="L177" s="12" t="str">
        <x:f>IF(J177=0,"Baseline-only",IF(J177&lt;=3,"Occasional",IF(J177&lt;=6,"Recurrent","High-frequency")))</x:f>
        <x:v>Baseline-only</x:v>
      </x:c>
      <x:c r="M177" s="19" t="n">
        <x:v>103.7515869</x:v>
      </x:c>
      <x:c r="N177" s="19" t="n">
        <x:v>1.4877309</x:v>
      </x:c>
      <x:c r="O177" s="12" t="str">
        <x:v>YES</x:v>
      </x:c>
      <x:c r="P177" s="12" t="str">
        <x:v>BASELINE ONLY</x:v>
      </x:c>
      <x:c r="Q177" s="12"/>
      <x:c r="R177" s="12" t="str">
        <x:v>HF09</x:v>
      </x:c>
      <x:c r="S177" s="12"/>
      <x:c r="T177" s="12" t="str">
        <x:v>Fixed45 baseline</x:v>
      </x:c>
      <x:c r="U177" s="12" t="str">
        <x:v>Baseline-only fixed point; no annual object linked in current 2016–2026 event inventory.</x:v>
      </x:c>
    </x:row>
    <x:row r="178">
      <x:c r="A178" s="12" t="str">
        <x:v>FLOC-0177</x:v>
      </x:c>
      <x:c r="B178" s="12" t="str">
        <x:v>Taman Desa Mutiara</x:v>
      </x:c>
      <x:c r="C178" s="12" t="str">
        <x:v>AREA/RESIDENTIAL</x:v>
      </x:c>
      <x:c r="D178" s="12" t="str">
        <x:v>JBLOC-0192</x:v>
      </x:c>
      <x:c r="E178" s="12" t="str">
        <x:v>2025</x:v>
      </x:c>
      <x:c r="F178" s="12" t="n">
        <x:v>2025</x:v>
      </x:c>
      <x:c r="G178" s="12" t="n">
        <x:v>2025</x:v>
      </x:c>
      <x:c r="H178" s="18" t="n">
        <x:v>45736</x:v>
      </x:c>
      <x:c r="I178" s="18" t="n">
        <x:v>45736</x:v>
      </x:c>
      <x:c r="J178" s="12" t="n">
        <x:f>COUNTIF('03_Independent_Episodes'!$A$2:$A$345,A178)</x:f>
        <x:v>1</x:v>
      </x:c>
      <x:c r="K178" s="12" t="str">
        <x:f>IF(J178=0,"0",IF(J178&lt;=3,"1-3",IF(J178&lt;=6,"4-6","&gt;=7")))</x:f>
        <x:v>1-3</x:v>
      </x:c>
      <x:c r="L178" s="12" t="str">
        <x:f>IF(J178=0,"Baseline-only",IF(J178&lt;=3,"Occasional",IF(J178&lt;=6,"Recurrent","High-frequency")))</x:f>
        <x:v>Occasional</x:v>
      </x:c>
      <x:c r="M178" s="19" t="n">
        <x:v>103.747256167436</x:v>
      </x:c>
      <x:c r="N178" s="19" t="n">
        <x:v>1.5406298</x:v>
      </x:c>
      <x:c r="O178" s="12" t="str">
        <x:v>YES</x:v>
      </x:c>
      <x:c r="P178" s="12" t="str">
        <x:v>PLOT</x:v>
      </x:c>
      <x:c r="Q178" s="12"/>
      <x:c r="R178" s="12" t="str">
        <x:v>HF45</x:v>
      </x:c>
      <x:c r="S178" s="12" t="str">
        <x:v>S2025-011</x:v>
      </x:c>
      <x:c r="T178" s="12" t="str">
        <x:v>Fixed45 baseline</x:v>
      </x:c>
      <x:c r="U178" s="12"/>
    </x:row>
    <x:row r="179">
      <x:c r="A179" s="12" t="str">
        <x:v>FLOC-0178</x:v>
      </x:c>
      <x:c r="B179" s="12" t="str">
        <x:v>Taman Istimewa</x:v>
      </x:c>
      <x:c r="C179" s="12" t="str">
        <x:v>Neighborhood</x:v>
      </x:c>
      <x:c r="D179" s="12" t="str">
        <x:v>JBLOC-0193</x:v>
      </x:c>
      <x:c r="E179" s="12" t="str">
        <x:v>2019</x:v>
      </x:c>
      <x:c r="F179" s="12" t="n">
        <x:v>2019</x:v>
      </x:c>
      <x:c r="G179" s="12" t="n">
        <x:v>2019</x:v>
      </x:c>
      <x:c r="H179" s="18" t="n">
        <x:v>43513</x:v>
      </x:c>
      <x:c r="I179" s="18" t="n">
        <x:v>43513</x:v>
      </x:c>
      <x:c r="J179" s="12" t="n">
        <x:f>COUNTIF('03_Independent_Episodes'!$A$2:$A$345,A179)</x:f>
        <x:v>1</x:v>
      </x:c>
      <x:c r="K179" s="12" t="str">
        <x:f>IF(J179=0,"0",IF(J179&lt;=3,"1-3",IF(J179&lt;=6,"4-6","&gt;=7")))</x:f>
        <x:v>1-3</x:v>
      </x:c>
      <x:c r="L179" s="12" t="str">
        <x:f>IF(J179=0,"Baseline-only",IF(J179&lt;=3,"Occasional",IF(J179&lt;=6,"Recurrent","High-frequency")))</x:f>
        <x:v>Occasional</x:v>
      </x:c>
      <x:c r="M179" s="19" t="n">
        <x:v>103.7698568</x:v>
      </x:c>
      <x:c r="N179" s="19" t="n">
        <x:v>1.5305637</x:v>
      </x:c>
      <x:c r="O179" s="12" t="str">
        <x:v>YES</x:v>
      </x:c>
      <x:c r="P179" s="12" t="str">
        <x:v>PLOT</x:v>
      </x:c>
      <x:c r="Q179" s="12"/>
      <x:c r="R179" s="12" t="str">
        <x:v>HF19</x:v>
      </x:c>
      <x:c r="S179" s="12" t="str">
        <x:v>LOC-JB-TAMAN-ISTIMEWA</x:v>
      </x:c>
      <x:c r="T179" s="12" t="str">
        <x:v>Fixed45 baseline</x:v>
      </x:c>
      <x:c r="U179" s="12"/>
    </x:row>
    <x:row r="180">
      <x:c r="A180" s="12" t="str">
        <x:v>FLOC-0179</x:v>
      </x:c>
      <x:c r="B180" s="12" t="str">
        <x:v>Taman Johor Jaya</x:v>
      </x:c>
      <x:c r="C180" s="12" t="str">
        <x:v>RESIDENTIAL</x:v>
      </x:c>
      <x:c r="D180" s="12" t="str">
        <x:v>JBLOC-0194</x:v>
      </x:c>
      <x:c r="E180" s="12" t="str">
        <x:v>2021</x:v>
      </x:c>
      <x:c r="F180" s="12" t="n">
        <x:v>2021</x:v>
      </x:c>
      <x:c r="G180" s="12" t="n">
        <x:v>2021</x:v>
      </x:c>
      <x:c r="H180" s="18" t="n">
        <x:v>44469</x:v>
      </x:c>
      <x:c r="I180" s="18" t="n">
        <x:v>44469</x:v>
      </x:c>
      <x:c r="J180" s="12" t="n">
        <x:f>COUNTIF('03_Independent_Episodes'!$A$2:$A$345,A180)</x:f>
        <x:v>1</x:v>
      </x:c>
      <x:c r="K180" s="12" t="str">
        <x:f>IF(J180=0,"0",IF(J180&lt;=3,"1-3",IF(J180&lt;=6,"4-6","&gt;=7")))</x:f>
        <x:v>1-3</x:v>
      </x:c>
      <x:c r="L180" s="12" t="str">
        <x:f>IF(J180=0,"Baseline-only",IF(J180&lt;=3,"Occasional",IF(J180&lt;=6,"Recurrent","High-frequency")))</x:f>
        <x:v>Occasional</x:v>
      </x:c>
      <x:c r="M180" s="19" t="n">
        <x:v>103.8024</x:v>
      </x:c>
      <x:c r="N180" s="19" t="n">
        <x:v>1.5428</x:v>
      </x:c>
      <x:c r="O180" s="12" t="str">
        <x:v>YES</x:v>
      </x:c>
      <x:c r="P180" s="12" t="str">
        <x:v>PLOT</x:v>
      </x:c>
      <x:c r="Q180" s="12"/>
      <x:c r="R180" s="12"/>
      <x:c r="S180" s="12" t="str">
        <x:v>S2021-025</x:v>
      </x:c>
      <x:c r="T180" s="12" t="str">
        <x:v>OSM locality node 4938487621</x:v>
      </x:c>
      <x:c r="U180" s="12"/>
    </x:row>
    <x:row r="181">
      <x:c r="A181" s="12" t="str">
        <x:v>FLOC-0180</x:v>
      </x:c>
      <x:c r="B181" s="12" t="str">
        <x:v>Taman Kolam Air</x:v>
      </x:c>
      <x:c r="C181" s="12" t="str">
        <x:v>AREA; AREA/RESIDENTIAL</x:v>
      </x:c>
      <x:c r="D181" s="12" t="str">
        <x:v>JBLOC-0195</x:v>
      </x:c>
      <x:c r="E181" s="12" t="str">
        <x:v>2021;2026</x:v>
      </x:c>
      <x:c r="F181" s="12" t="n">
        <x:v>2021</x:v>
      </x:c>
      <x:c r="G181" s="12" t="n">
        <x:v>2026</x:v>
      </x:c>
      <x:c r="H181" s="18" t="n">
        <x:v>44469</x:v>
      </x:c>
      <x:c r="I181" s="18" t="n">
        <x:v>46295</x:v>
      </x:c>
      <x:c r="J181" s="12" t="n">
        <x:f>COUNTIF('03_Independent_Episodes'!$A$2:$A$345,A181)</x:f>
        <x:v>2</x:v>
      </x:c>
      <x:c r="K181" s="12" t="str">
        <x:f>IF(J181=0,"0",IF(J181&lt;=3,"1-3",IF(J181&lt;=6,"4-6","&gt;=7")))</x:f>
        <x:v>1-3</x:v>
      </x:c>
      <x:c r="L181" s="12" t="str">
        <x:f>IF(J181=0,"Baseline-only",IF(J181&lt;=3,"Occasional",IF(J181&lt;=6,"Recurrent","High-frequency")))</x:f>
        <x:v>Occasional</x:v>
      </x:c>
      <x:c r="M181" s="19" t="n">
        <x:v>103.736444</x:v>
      </x:c>
      <x:c r="N181" s="19" t="n">
        <x:v>1.473837</x:v>
      </x:c>
      <x:c r="O181" s="12" t="str">
        <x:v>YES</x:v>
      </x:c>
      <x:c r="P181" s="12" t="str">
        <x:v>PLOT</x:v>
      </x:c>
      <x:c r="Q181" s="12"/>
      <x:c r="R181" s="12"/>
      <x:c r="S181" s="12" t="str">
        <x:v>S2021-027; S2026-021</x:v>
      </x:c>
      <x:c r="T181" s="12" t="str">
        <x:v>30 Sep news event evidence</x:v>
      </x:c>
      <x:c r="U181" s="12"/>
    </x:row>
    <x:row r="182">
      <x:c r="A182" s="12" t="str">
        <x:v>FLOC-0181</x:v>
      </x:c>
      <x:c r="B182" s="12" t="str">
        <x:v>Taman Mawar</x:v>
      </x:c>
      <x:c r="C182" s="12" t="str">
        <x:v>RESIDENTIAL</x:v>
      </x:c>
      <x:c r="D182" s="12" t="str">
        <x:v>JBLOC-0196</x:v>
      </x:c>
      <x:c r="E182" s="12" t="str">
        <x:v>2021</x:v>
      </x:c>
      <x:c r="F182" s="12" t="n">
        <x:v>2021</x:v>
      </x:c>
      <x:c r="G182" s="12" t="n">
        <x:v>2021</x:v>
      </x:c>
      <x:c r="H182" s="18" t="n">
        <x:v>44389</x:v>
      </x:c>
      <x:c r="I182" s="18" t="n">
        <x:v>44389</x:v>
      </x:c>
      <x:c r="J182" s="12" t="n">
        <x:f>COUNTIF('03_Independent_Episodes'!$A$2:$A$345,A182)</x:f>
        <x:v>1</x:v>
      </x:c>
      <x:c r="K182" s="12" t="str">
        <x:f>IF(J182=0,"0",IF(J182&lt;=3,"1-3",IF(J182&lt;=6,"4-6","&gt;=7")))</x:f>
        <x:v>1-3</x:v>
      </x:c>
      <x:c r="L182" s="12" t="str">
        <x:f>IF(J182=0,"Baseline-only",IF(J182&lt;=3,"Occasional",IF(J182&lt;=6,"Recurrent","High-frequency")))</x:f>
        <x:v>Occasional</x:v>
      </x:c>
      <x:c r="M182" s="19" t="n">
        <x:v>103.8948094913</x:v>
      </x:c>
      <x:c r="N182" s="19" t="n">
        <x:v>1.4696218674</x:v>
      </x:c>
      <x:c r="O182" s="12" t="str">
        <x:v>YES</x:v>
      </x:c>
      <x:c r="P182" s="12" t="str">
        <x:v>PLOT</x:v>
      </x:c>
      <x:c r="Q182" s="12" t="str">
        <x:v>PG2021-TAMAN-MAWAR</x:v>
      </x:c>
      <x:c r="R182" s="12"/>
      <x:c r="S182" s="12" t="str">
        <x:v>S2021-016</x:v>
      </x:c>
      <x:c r="T182" s="12" t="str">
        <x:v>OSM way 617816429 polygon centroid</x:v>
      </x:c>
      <x:c r="U182" s="12"/>
    </x:row>
    <x:row r="183">
      <x:c r="A183" s="12" t="str">
        <x:v>FLOC-0182</x:v>
      </x:c>
      <x:c r="B183" s="12" t="str">
        <x:v>Taman Melodies</x:v>
      </x:c>
      <x:c r="C183" s="12" t="str">
        <x:v>COMMUNITY/AREA; RESIDENTIAL</x:v>
      </x:c>
      <x:c r="D183" s="12" t="str">
        <x:v>JBLOC-0197</x:v>
      </x:c>
      <x:c r="E183" s="12" t="str">
        <x:v>2022;2023</x:v>
      </x:c>
      <x:c r="F183" s="12" t="n">
        <x:v>2022</x:v>
      </x:c>
      <x:c r="G183" s="12" t="n">
        <x:v>2023</x:v>
      </x:c>
      <x:c r="H183" s="18" t="n">
        <x:v>44872</x:v>
      </x:c>
      <x:c r="I183" s="18" t="n">
        <x:v>45266</x:v>
      </x:c>
      <x:c r="J183" s="12" t="n">
        <x:f>COUNTIF('03_Independent_Episodes'!$A$2:$A$345,A183)</x:f>
        <x:v>2</x:v>
      </x:c>
      <x:c r="K183" s="12" t="str">
        <x:f>IF(J183=0,"0",IF(J183&lt;=3,"1-3",IF(J183&lt;=6,"4-6","&gt;=7")))</x:f>
        <x:v>1-3</x:v>
      </x:c>
      <x:c r="L183" s="12" t="str">
        <x:f>IF(J183=0,"Baseline-only",IF(J183&lt;=3,"Occasional",IF(J183&lt;=6,"Recurrent","High-frequency")))</x:f>
        <x:v>Occasional</x:v>
      </x:c>
      <x:c r="M183" s="19" t="n">
        <x:v>103.7613894</x:v>
      </x:c>
      <x:c r="N183" s="19" t="n">
        <x:v>1.49019649999999</x:v>
      </x:c>
      <x:c r="O183" s="12" t="str">
        <x:v>YES</x:v>
      </x:c>
      <x:c r="P183" s="12" t="str">
        <x:v>PLOT</x:v>
      </x:c>
      <x:c r="Q183" s="12"/>
      <x:c r="R183" s="12" t="str">
        <x:v>HF34</x:v>
      </x:c>
      <x:c r="S183" s="12" t="str">
        <x:v>S2022-037; S2023-043</x:v>
      </x:c>
      <x:c r="T183" s="12" t="str">
        <x:v>Fixed45 baseline</x:v>
      </x:c>
      <x:c r="U183" s="12"/>
    </x:row>
    <x:row r="184">
      <x:c r="A184" s="12" t="str">
        <x:v>FLOC-0183</x:v>
      </x:c>
      <x:c r="B184" s="12" t="str">
        <x:v>Taman Nong Chik</x:v>
      </x:c>
      <x:c r="C184" s="12" t="str">
        <x:v>AREA/RESIDENTIAL; COMMUNITY/AREA</x:v>
      </x:c>
      <x:c r="D184" s="12" t="str">
        <x:v>JBLOC-0198</x:v>
      </x:c>
      <x:c r="E184" s="12" t="str">
        <x:v>2023;2025</x:v>
      </x:c>
      <x:c r="F184" s="12" t="n">
        <x:v>2023</x:v>
      </x:c>
      <x:c r="G184" s="12" t="n">
        <x:v>2025</x:v>
      </x:c>
      <x:c r="H184" s="18" t="n">
        <x:v>45266</x:v>
      </x:c>
      <x:c r="I184" s="18" t="n">
        <x:v>46003</x:v>
      </x:c>
      <x:c r="J184" s="12" t="n">
        <x:f>COUNTIF('03_Independent_Episodes'!$A$2:$A$345,A184)</x:f>
        <x:v>2</x:v>
      </x:c>
      <x:c r="K184" s="12" t="str">
        <x:f>IF(J184=0,"0",IF(J184&lt;=3,"1-3",IF(J184&lt;=6,"4-6","&gt;=7")))</x:f>
        <x:v>1-3</x:v>
      </x:c>
      <x:c r="L184" s="12" t="str">
        <x:f>IF(J184=0,"Baseline-only",IF(J184&lt;=3,"Occasional",IF(J184&lt;=6,"Recurrent","High-frequency")))</x:f>
        <x:v>Occasional</x:v>
      </x:c>
      <x:c r="M184" s="19" t="n">
        <x:v>103.7395647</x:v>
      </x:c>
      <x:c r="N184" s="19" t="n">
        <x:v>1.47655640000002</x:v>
      </x:c>
      <x:c r="O184" s="12" t="str">
        <x:v>YES</x:v>
      </x:c>
      <x:c r="P184" s="12" t="str">
        <x:v>PLOT</x:v>
      </x:c>
      <x:c r="Q184" s="12"/>
      <x:c r="R184" s="12" t="str">
        <x:v>HF35</x:v>
      </x:c>
      <x:c r="S184" s="12" t="str">
        <x:v>S2023-041; S2025-035</x:v>
      </x:c>
      <x:c r="T184" s="12" t="str">
        <x:v>Fixed45 baseline</x:v>
      </x:c>
      <x:c r="U184" s="12"/>
    </x:row>
    <x:row r="185">
      <x:c r="A185" s="12" t="str">
        <x:v>FLOC-0184</x:v>
      </x:c>
      <x:c r="B185" s="12" t="str">
        <x:v>Taman Nusa Bayu</x:v>
      </x:c>
      <x:c r="C185" s="12" t="str">
        <x:v>Residential neighborhood</x:v>
      </x:c>
      <x:c r="D185" s="12" t="str">
        <x:v>JBLOC-0199</x:v>
      </x:c>
      <x:c r="E185" s="12" t="str">
        <x:v>2019</x:v>
      </x:c>
      <x:c r="F185" s="12" t="n">
        <x:v>2019</x:v>
      </x:c>
      <x:c r="G185" s="12" t="n">
        <x:v>2019</x:v>
      </x:c>
      <x:c r="H185" s="18" t="n">
        <x:v>43760</x:v>
      </x:c>
      <x:c r="I185" s="18" t="n">
        <x:v>43760</x:v>
      </x:c>
      <x:c r="J185" s="12" t="n">
        <x:f>COUNTIF('03_Independent_Episodes'!$A$2:$A$345,A185)</x:f>
        <x:v>1</x:v>
      </x:c>
      <x:c r="K185" s="12" t="str">
        <x:f>IF(J185=0,"0",IF(J185&lt;=3,"1-3",IF(J185&lt;=6,"4-6","&gt;=7")))</x:f>
        <x:v>1-3</x:v>
      </x:c>
      <x:c r="L185" s="12" t="str">
        <x:f>IF(J185=0,"Baseline-only",IF(J185&lt;=3,"Occasional",IF(J185&lt;=6,"Recurrent","High-frequency")))</x:f>
        <x:v>Occasional</x:v>
      </x:c>
      <x:c r="M185" s="19" t="n">
        <x:v>103.60088</x:v>
      </x:c>
      <x:c r="N185" s="19" t="n">
        <x:v>1.48009</x:v>
      </x:c>
      <x:c r="O185" s="12" t="str">
        <x:v>YES</x:v>
      </x:c>
      <x:c r="P185" s="12" t="str">
        <x:v>PLOT</x:v>
      </x:c>
      <x:c r="Q185" s="12" t="str">
        <x:v>PG2019-TAMAN-NUSA-BAYU</x:v>
      </x:c>
      <x:c r="R185" s="12"/>
      <x:c r="S185" s="12" t="str">
        <x:v>LOC-JB-TAMAN-NUSA-BAYU</x:v>
      </x:c>
      <x:c r="T185" s="12" t="str">
        <x:v>SRC_GEO_2019_NUSA_BAYU</x:v>
      </x:c>
      <x:c r="U185" s="12"/>
    </x:row>
    <x:row r="186">
      <x:c r="A186" s="12" t="str">
        <x:v>FLOC-0185</x:v>
      </x:c>
      <x:c r="B186" s="12" t="str">
        <x:v>Taman Nusantara Prima</x:v>
      </x:c>
      <x:c r="C186" s="12" t="str">
        <x:v>Neighborhood</x:v>
      </x:c>
      <x:c r="D186" s="12" t="str">
        <x:v>JBLOC-0200</x:v>
      </x:c>
      <x:c r="E186" s="12" t="str">
        <x:v>2019</x:v>
      </x:c>
      <x:c r="F186" s="12" t="n">
        <x:v>2019</x:v>
      </x:c>
      <x:c r="G186" s="12" t="n">
        <x:v>2019</x:v>
      </x:c>
      <x:c r="H186" s="18" t="n">
        <x:v>43760</x:v>
      </x:c>
      <x:c r="I186" s="18" t="n">
        <x:v>43760</x:v>
      </x:c>
      <x:c r="J186" s="12" t="n">
        <x:f>COUNTIF('03_Independent_Episodes'!$A$2:$A$345,A186)</x:f>
        <x:v>1</x:v>
      </x:c>
      <x:c r="K186" s="12" t="str">
        <x:f>IF(J186=0,"0",IF(J186&lt;=3,"1-3",IF(J186&lt;=6,"4-6","&gt;=7")))</x:f>
        <x:v>1-3</x:v>
      </x:c>
      <x:c r="L186" s="12" t="str">
        <x:f>IF(J186=0,"Baseline-only",IF(J186&lt;=3,"Occasional",IF(J186&lt;=6,"Recurrent","High-frequency")))</x:f>
        <x:v>Occasional</x:v>
      </x:c>
      <x:c r="M186" s="19" t="n">
        <x:v>103.58949</x:v>
      </x:c>
      <x:c r="N186" s="19" t="n">
        <x:v>1.47979</x:v>
      </x:c>
      <x:c r="O186" s="12" t="str">
        <x:v>YES</x:v>
      </x:c>
      <x:c r="P186" s="12" t="str">
        <x:v>PLOT</x:v>
      </x:c>
      <x:c r="Q186" s="12"/>
      <x:c r="R186" s="12"/>
      <x:c r="S186" s="12" t="str">
        <x:v>LOC-CAND-JB-TAMAN-NUSA-PRIMA-2019</x:v>
      </x:c>
      <x:c r="T186" s="12" t="str">
        <x:v>RESOLVED_NORMALIZED_POINT</x:v>
      </x:c>
      <x:c r="U186" s="12"/>
    </x:row>
    <x:row r="187">
      <x:c r="A187" s="12" t="str">
        <x:v>FLOC-0186</x:v>
      </x:c>
      <x:c r="B187" s="12" t="str">
        <x:v>Taman Pasir Putih</x:v>
      </x:c>
      <x:c r="C187" s="12" t="str">
        <x:v>RESIDENTIAL</x:v>
      </x:c>
      <x:c r="D187" s="12" t="str">
        <x:v>JBLOC-0201</x:v>
      </x:c>
      <x:c r="E187" s="12" t="str">
        <x:v>2021</x:v>
      </x:c>
      <x:c r="F187" s="12" t="n">
        <x:v>2021</x:v>
      </x:c>
      <x:c r="G187" s="12" t="n">
        <x:v>2021</x:v>
      </x:c>
      <x:c r="H187" s="18" t="n">
        <x:v>44441</x:v>
      </x:c>
      <x:c r="I187" s="18" t="n">
        <x:v>44441</x:v>
      </x:c>
      <x:c r="J187" s="12" t="n">
        <x:f>COUNTIF('03_Independent_Episodes'!$A$2:$A$345,A187)</x:f>
        <x:v>1</x:v>
      </x:c>
      <x:c r="K187" s="12" t="str">
        <x:f>IF(J187=0,"0",IF(J187&lt;=3,"1-3",IF(J187&lt;=6,"4-6","&gt;=7")))</x:f>
        <x:v>1-3</x:v>
      </x:c>
      <x:c r="L187" s="12" t="str">
        <x:f>IF(J187=0,"Baseline-only",IF(J187&lt;=3,"Occasional",IF(J187&lt;=6,"Recurrent","High-frequency")))</x:f>
        <x:v>Occasional</x:v>
      </x:c>
      <x:c r="M187" s="19" t="n">
        <x:v>103.93887</x:v>
      </x:c>
      <x:c r="N187" s="19" t="n">
        <x:v>1.47292</x:v>
      </x:c>
      <x:c r="O187" s="12" t="str">
        <x:v>YES</x:v>
      </x:c>
      <x:c r="P187" s="12" t="str">
        <x:v>PLOT</x:v>
      </x:c>
      <x:c r="Q187" s="12"/>
      <x:c r="R187" s="12"/>
      <x:c r="S187" s="12" t="str">
        <x:v>S2021-020</x:v>
      </x:c>
      <x:c r="T187" s="12" t="str">
        <x:v>OSM node 2409009368</x:v>
      </x:c>
      <x:c r="U187" s="12"/>
    </x:row>
    <x:row r="188">
      <x:c r="A188" s="12" t="str">
        <x:v>FLOC-0187</x:v>
      </x:c>
      <x:c r="B188" s="12" t="str">
        <x:v>Taman Pelangi</x:v>
      </x:c>
      <x:c r="C188" s="12" t="str">
        <x:v>AREA/RESIDENTIAL</x:v>
      </x:c>
      <x:c r="D188" s="12" t="str">
        <x:v>JBLOC-0202</x:v>
      </x:c>
      <x:c r="E188" s="12" t="str">
        <x:v>2025</x:v>
      </x:c>
      <x:c r="F188" s="12" t="n">
        <x:v>2025</x:v>
      </x:c>
      <x:c r="G188" s="12" t="n">
        <x:v>2025</x:v>
      </x:c>
      <x:c r="H188" s="18" t="n">
        <x:v>46003</x:v>
      </x:c>
      <x:c r="I188" s="18" t="n">
        <x:v>46003</x:v>
      </x:c>
      <x:c r="J188" s="12" t="n">
        <x:f>COUNTIF('03_Independent_Episodes'!$A$2:$A$345,A188)</x:f>
        <x:v>1</x:v>
      </x:c>
      <x:c r="K188" s="12" t="str">
        <x:f>IF(J188=0,"0",IF(J188&lt;=3,"1-3",IF(J188&lt;=6,"4-6","&gt;=7")))</x:f>
        <x:v>1-3</x:v>
      </x:c>
      <x:c r="L188" s="12" t="str">
        <x:f>IF(J188=0,"Baseline-only",IF(J188&lt;=3,"Occasional",IF(J188&lt;=6,"Recurrent","High-frequency")))</x:f>
        <x:v>Occasional</x:v>
      </x:c>
      <x:c r="M188" s="19" t="n">
        <x:v>103.7738869</x:v>
      </x:c>
      <x:c r="N188" s="19" t="n">
        <x:v>1.478838</x:v>
      </x:c>
      <x:c r="O188" s="12" t="str">
        <x:v>YES</x:v>
      </x:c>
      <x:c r="P188" s="12" t="str">
        <x:v>PLOT</x:v>
      </x:c>
      <x:c r="Q188" s="12"/>
      <x:c r="R188" s="12"/>
      <x:c r="S188" s="12" t="str">
        <x:v>S2025-041</x:v>
      </x:c>
      <x:c r="T188" s="12" t="str">
        <x:v>PLOT</x:v>
      </x:c>
      <x:c r="U188" s="12"/>
    </x:row>
    <x:row r="189">
      <x:c r="A189" s="12" t="str">
        <x:v>FLOC-0188</x:v>
      </x:c>
      <x:c r="B189" s="12" t="str">
        <x:v>Taman Perling</x:v>
      </x:c>
      <x:c r="C189" s="12" t="str">
        <x:v>AREA/RESIDENTIAL</x:v>
      </x:c>
      <x:c r="D189" s="12" t="str">
        <x:v>JBLOC-0203</x:v>
      </x:c>
      <x:c r="E189" s="12" t="str">
        <x:v>2026</x:v>
      </x:c>
      <x:c r="F189" s="12" t="n">
        <x:v>2026</x:v>
      </x:c>
      <x:c r="G189" s="12" t="n">
        <x:v>2026</x:v>
      </x:c>
      <x:c r="H189" s="18" t="n">
        <x:v>46295</x:v>
      </x:c>
      <x:c r="I189" s="18" t="n">
        <x:v>46295</x:v>
      </x:c>
      <x:c r="J189" s="12" t="n">
        <x:f>COUNTIF('03_Independent_Episodes'!$A$2:$A$345,A189)</x:f>
        <x:v>1</x:v>
      </x:c>
      <x:c r="K189" s="12" t="str">
        <x:f>IF(J189=0,"0",IF(J189&lt;=3,"1-3",IF(J189&lt;=6,"4-6","&gt;=7")))</x:f>
        <x:v>1-3</x:v>
      </x:c>
      <x:c r="L189" s="12" t="str">
        <x:f>IF(J189=0,"Baseline-only",IF(J189&lt;=3,"Occasional",IF(J189&lt;=6,"Recurrent","High-frequency")))</x:f>
        <x:v>Occasional</x:v>
      </x:c>
      <x:c r="M189" s="19" t="n">
        <x:v>103.6827079</x:v>
      </x:c>
      <x:c r="N189" s="19" t="n">
        <x:v>1.481217</x:v>
      </x:c>
      <x:c r="O189" s="12" t="str">
        <x:v>YES</x:v>
      </x:c>
      <x:c r="P189" s="12" t="str">
        <x:v>PLOT</x:v>
      </x:c>
      <x:c r="Q189" s="12"/>
      <x:c r="R189" s="12"/>
      <x:c r="S189" s="12" t="str">
        <x:v>S2026-008</x:v>
      </x:c>
      <x:c r="T189" s="12" t="str">
        <x:v>PLOT</x:v>
      </x:c>
      <x:c r="U189" s="12"/>
    </x:row>
    <x:row r="190">
      <x:c r="A190" s="12" t="str">
        <x:v>FLOC-0189</x:v>
      </x:c>
      <x:c r="B190" s="12" t="str">
        <x:v>Taman Rinting</x:v>
      </x:c>
      <x:c r="C190" s="12" t="str">
        <x:v>RESIDENTIAL</x:v>
      </x:c>
      <x:c r="D190" s="12" t="str">
        <x:v>JBLOC-0204</x:v>
      </x:c>
      <x:c r="E190" s="12" t="str">
        <x:v>2021</x:v>
      </x:c>
      <x:c r="F190" s="12" t="n">
        <x:v>2021</x:v>
      </x:c>
      <x:c r="G190" s="12" t="n">
        <x:v>2021</x:v>
      </x:c>
      <x:c r="H190" s="18" t="n">
        <x:v>44389</x:v>
      </x:c>
      <x:c r="I190" s="18" t="n">
        <x:v>44389</x:v>
      </x:c>
      <x:c r="J190" s="12" t="n">
        <x:f>COUNTIF('03_Independent_Episodes'!$A$2:$A$345,A190)</x:f>
        <x:v>1</x:v>
      </x:c>
      <x:c r="K190" s="12" t="str">
        <x:f>IF(J190=0,"0",IF(J190&lt;=3,"1-3",IF(J190&lt;=6,"4-6","&gt;=7")))</x:f>
        <x:v>1-3</x:v>
      </x:c>
      <x:c r="L190" s="12" t="str">
        <x:f>IF(J190=0,"Baseline-only",IF(J190&lt;=3,"Occasional",IF(J190&lt;=6,"Recurrent","High-frequency")))</x:f>
        <x:v>Occasional</x:v>
      </x:c>
      <x:c r="M190" s="19" t="n">
        <x:v>103.8788</x:v>
      </x:c>
      <x:c r="N190" s="19" t="n">
        <x:v>1.4959</x:v>
      </x:c>
      <x:c r="O190" s="12" t="str">
        <x:v>YES</x:v>
      </x:c>
      <x:c r="P190" s="12" t="str">
        <x:v>PLOT</x:v>
      </x:c>
      <x:c r="Q190" s="12"/>
      <x:c r="R190" s="12"/>
      <x:c r="S190" s="12" t="str">
        <x:v>S2021-017</x:v>
      </x:c>
      <x:c r="T190" s="12" t="str">
        <x:v>GeoNames locality</x:v>
      </x:c>
      <x:c r="U190" s="12"/>
    </x:row>
    <x:row r="191">
      <x:c r="A191" s="12" t="str">
        <x:v>FLOC-0190</x:v>
      </x:c>
      <x:c r="B191" s="12" t="str">
        <x:v>Taman Setia Indah</x:v>
      </x:c>
      <x:c r="C191" s="12" t="str">
        <x:v>COMMUNITY/AREA; Township / quarter</x:v>
      </x:c>
      <x:c r="D191" s="12" t="str">
        <x:v>JBLOC-0205</x:v>
      </x:c>
      <x:c r="E191" s="12" t="str">
        <x:v>2019;2024</x:v>
      </x:c>
      <x:c r="F191" s="12" t="n">
        <x:v>2019</x:v>
      </x:c>
      <x:c r="G191" s="12" t="n">
        <x:v>2024</x:v>
      </x:c>
      <x:c r="H191" s="18" t="n">
        <x:v>43760</x:v>
      </x:c>
      <x:c r="I191" s="18" t="n">
        <x:v>45302</x:v>
      </x:c>
      <x:c r="J191" s="12" t="n">
        <x:f>COUNTIF('03_Independent_Episodes'!$A$2:$A$345,A191)</x:f>
        <x:v>2</x:v>
      </x:c>
      <x:c r="K191" s="12" t="str">
        <x:f>IF(J191=0,"0",IF(J191&lt;=3,"1-3",IF(J191&lt;=6,"4-6","&gt;=7")))</x:f>
        <x:v>1-3</x:v>
      </x:c>
      <x:c r="L191" s="12" t="str">
        <x:f>IF(J191=0,"Baseline-only",IF(J191&lt;=3,"Occasional",IF(J191&lt;=6,"Recurrent","High-frequency")))</x:f>
        <x:v>Occasional</x:v>
      </x:c>
      <x:c r="M191" s="19" t="n">
        <x:v>103.7592769</x:v>
      </x:c>
      <x:c r="N191" s="19" t="n">
        <x:v>1.56898939999998</x:v>
      </x:c>
      <x:c r="O191" s="12" t="str">
        <x:v>YES</x:v>
      </x:c>
      <x:c r="P191" s="12" t="str">
        <x:v>PLOT</x:v>
      </x:c>
      <x:c r="Q191" s="12"/>
      <x:c r="R191" s="12" t="str">
        <x:v>HF20</x:v>
      </x:c>
      <x:c r="S191" s="12" t="str">
        <x:v>LOC-JB-TAMAN-SETIA-INDAH; S2024-014</x:v>
      </x:c>
      <x:c r="T191" s="12" t="str">
        <x:v>Fixed45 baseline</x:v>
      </x:c>
      <x:c r="U191" s="12"/>
    </x:row>
    <x:row r="192">
      <x:c r="A192" s="12" t="str">
        <x:v>FLOC-0191</x:v>
      </x:c>
      <x:c r="B192" s="12" t="str">
        <x:v>Taman Skudai Baru</x:v>
      </x:c>
      <x:c r="C192" s="12" t="str">
        <x:v>RESIDENTIAL</x:v>
      </x:c>
      <x:c r="D192" s="12" t="str">
        <x:v>JBLOC-0206</x:v>
      </x:c>
      <x:c r="E192" s="12" t="str">
        <x:v>2021</x:v>
      </x:c>
      <x:c r="F192" s="12" t="n">
        <x:v>2021</x:v>
      </x:c>
      <x:c r="G192" s="12" t="n">
        <x:v>2021</x:v>
      </x:c>
      <x:c r="H192" s="18" t="n">
        <x:v>44469</x:v>
      </x:c>
      <x:c r="I192" s="18" t="n">
        <x:v>44469</x:v>
      </x:c>
      <x:c r="J192" s="12" t="n">
        <x:f>COUNTIF('03_Independent_Episodes'!$A$2:$A$345,A192)</x:f>
        <x:v>1</x:v>
      </x:c>
      <x:c r="K192" s="12" t="str">
        <x:f>IF(J192=0,"0",IF(J192&lt;=3,"1-3",IF(J192&lt;=6,"4-6","&gt;=7")))</x:f>
        <x:v>1-3</x:v>
      </x:c>
      <x:c r="L192" s="12" t="str">
        <x:f>IF(J192=0,"Baseline-only",IF(J192&lt;=3,"Occasional",IF(J192&lt;=6,"Recurrent","High-frequency")))</x:f>
        <x:v>Occasional</x:v>
      </x:c>
      <x:c r="M192" s="19" t="n">
        <x:v>103.6448842</x:v>
      </x:c>
      <x:c r="N192" s="19" t="n">
        <x:v>1.510224</x:v>
      </x:c>
      <x:c r="O192" s="12" t="str">
        <x:v>YES</x:v>
      </x:c>
      <x:c r="P192" s="12" t="str">
        <x:v>PLOT</x:v>
      </x:c>
      <x:c r="Q192" s="12"/>
      <x:c r="R192" s="12"/>
      <x:c r="S192" s="12" t="str">
        <x:v>S2021-024</x:v>
      </x:c>
      <x:c r="T192" s="12" t="str">
        <x:v>Multiple same-name OSM objects</x:v>
      </x:c>
      <x:c r="U192" s="12"/>
    </x:row>
    <x:row r="193">
      <x:c r="A193" s="12" t="str">
        <x:v>FLOC-0192</x:v>
      </x:c>
      <x:c r="B193" s="12" t="str">
        <x:v>Taman Sri Bahagia</x:v>
      </x:c>
      <x:c r="C193" s="12" t="str">
        <x:v>COMMUNITY/AREA</x:v>
      </x:c>
      <x:c r="D193" s="12" t="str">
        <x:v>JBLOC-0207</x:v>
      </x:c>
      <x:c r="E193" s="12" t="str">
        <x:v>2023</x:v>
      </x:c>
      <x:c r="F193" s="12" t="n">
        <x:v>2023</x:v>
      </x:c>
      <x:c r="G193" s="12" t="n">
        <x:v>2023</x:v>
      </x:c>
      <x:c r="H193" s="18" t="n">
        <x:v>44971</x:v>
      </x:c>
      <x:c r="I193" s="18" t="n">
        <x:v>44971</x:v>
      </x:c>
      <x:c r="J193" s="12" t="n">
        <x:f>COUNTIF('03_Independent_Episodes'!$A$2:$A$345,A193)</x:f>
        <x:v>1</x:v>
      </x:c>
      <x:c r="K193" s="12" t="str">
        <x:f>IF(J193=0,"0",IF(J193&lt;=3,"1-3",IF(J193&lt;=6,"4-6","&gt;=7")))</x:f>
        <x:v>1-3</x:v>
      </x:c>
      <x:c r="L193" s="12" t="str">
        <x:f>IF(J193=0,"Baseline-only",IF(J193&lt;=3,"Occasional",IF(J193&lt;=6,"Recurrent","High-frequency")))</x:f>
        <x:v>Occasional</x:v>
      </x:c>
      <x:c r="M193" s="19" t="n">
        <x:v>103.72822</x:v>
      </x:c>
      <x:c r="N193" s="19" t="n">
        <x:v>1.51083</x:v>
      </x:c>
      <x:c r="O193" s="12" t="str">
        <x:v>YES</x:v>
      </x:c>
      <x:c r="P193" s="12" t="str">
        <x:v>PLOT</x:v>
      </x:c>
      <x:c r="Q193" s="12"/>
      <x:c r="R193" s="12"/>
      <x:c r="S193" s="12" t="str">
        <x:v>S2023-003</x:v>
      </x:c>
      <x:c r="T193" s="12" t="str">
        <x:v>PLOT</x:v>
      </x:c>
      <x:c r="U193" s="12"/>
    </x:row>
    <x:row r="194">
      <x:c r="A194" s="12" t="str">
        <x:v>FLOC-0193</x:v>
      </x:c>
      <x:c r="B194" s="12" t="str">
        <x:v>Taman Tampoi Indah</x:v>
      </x:c>
      <x:c r="C194" s="12" t="str">
        <x:v>AREA/RESIDENTIAL</x:v>
      </x:c>
      <x:c r="D194" s="12" t="str">
        <x:v>JBLOC-0208</x:v>
      </x:c>
      <x:c r="E194" s="12" t="str">
        <x:v>2025</x:v>
      </x:c>
      <x:c r="F194" s="12" t="n">
        <x:v>2025</x:v>
      </x:c>
      <x:c r="G194" s="12" t="n">
        <x:v>2025</x:v>
      </x:c>
      <x:c r="H194" s="18" t="n">
        <x:v>45736</x:v>
      </x:c>
      <x:c r="I194" s="18" t="n">
        <x:v>45736</x:v>
      </x:c>
      <x:c r="J194" s="12" t="n">
        <x:f>COUNTIF('03_Independent_Episodes'!$A$2:$A$345,A194)</x:f>
        <x:v>1</x:v>
      </x:c>
      <x:c r="K194" s="12" t="str">
        <x:f>IF(J194=0,"0",IF(J194&lt;=3,"1-3",IF(J194&lt;=6,"4-6","&gt;=7")))</x:f>
        <x:v>1-3</x:v>
      </x:c>
      <x:c r="L194" s="12" t="str">
        <x:f>IF(J194=0,"Baseline-only",IF(J194&lt;=3,"Occasional",IF(J194&lt;=6,"Recurrent","High-frequency")))</x:f>
        <x:v>Occasional</x:v>
      </x:c>
      <x:c r="M194" s="19" t="n">
        <x:v>103.6818886</x:v>
      </x:c>
      <x:c r="N194" s="19" t="n">
        <x:v>1.51047560000001</x:v>
      </x:c>
      <x:c r="O194" s="12" t="str">
        <x:v>YES</x:v>
      </x:c>
      <x:c r="P194" s="12" t="str">
        <x:v>PLOT</x:v>
      </x:c>
      <x:c r="Q194" s="12"/>
      <x:c r="R194" s="12" t="str">
        <x:v>HF16</x:v>
      </x:c>
      <x:c r="S194" s="12" t="str">
        <x:v>S2025-016</x:v>
      </x:c>
      <x:c r="T194" s="12" t="str">
        <x:v>Fixed45 baseline</x:v>
      </x:c>
      <x:c r="U194" s="12"/>
    </x:row>
    <x:row r="195">
      <x:c r="A195" s="12" t="str">
        <x:v>FLOC-0194</x:v>
      </x:c>
      <x:c r="B195" s="12" t="str">
        <x:v>Taman Tampoi Utama</x:v>
      </x:c>
      <x:c r="C195" s="12" t="str">
        <x:v>AREA/RESIDENTIAL; Neighborhood</x:v>
      </x:c>
      <x:c r="D195" s="12" t="str">
        <x:v>JBLOC-0209</x:v>
      </x:c>
      <x:c r="E195" s="12" t="str">
        <x:v>2020;2025</x:v>
      </x:c>
      <x:c r="F195" s="12" t="n">
        <x:v>2020</x:v>
      </x:c>
      <x:c r="G195" s="12" t="n">
        <x:v>2025</x:v>
      </x:c>
      <x:c r="H195" s="18" t="n">
        <x:v>44156</x:v>
      </x:c>
      <x:c r="I195" s="18" t="n">
        <x:v>45736</x:v>
      </x:c>
      <x:c r="J195" s="12" t="n">
        <x:f>COUNTIF('03_Independent_Episodes'!$A$2:$A$345,A195)</x:f>
        <x:v>2</x:v>
      </x:c>
      <x:c r="K195" s="12" t="str">
        <x:f>IF(J195=0,"0",IF(J195&lt;=3,"1-3",IF(J195&lt;=6,"4-6","&gt;=7")))</x:f>
        <x:v>1-3</x:v>
      </x:c>
      <x:c r="L195" s="12" t="str">
        <x:f>IF(J195=0,"Baseline-only",IF(J195&lt;=3,"Occasional",IF(J195&lt;=6,"Recurrent","High-frequency")))</x:f>
        <x:v>Occasional</x:v>
      </x:c>
      <x:c r="M195" s="19" t="n">
        <x:v>103.6859554</x:v>
      </x:c>
      <x:c r="N195" s="19" t="n">
        <x:v>1.50251799999999</x:v>
      </x:c>
      <x:c r="O195" s="12" t="str">
        <x:v>YES</x:v>
      </x:c>
      <x:c r="P195" s="12" t="str">
        <x:v>PLOT</x:v>
      </x:c>
      <x:c r="Q195" s="12"/>
      <x:c r="R195" s="12" t="str">
        <x:v>HF40</x:v>
      </x:c>
      <x:c r="S195" s="12" t="str">
        <x:v>LOC-JB-TAMAN-TAMPOI-UTAMA; S2025-012</x:v>
      </x:c>
      <x:c r="T195" s="12" t="str">
        <x:v>Fixed45 baseline</x:v>
      </x:c>
      <x:c r="U195" s="12"/>
    </x:row>
    <x:row r="196">
      <x:c r="A196" s="12" t="str">
        <x:v>FLOC-0195</x:v>
      </x:c>
      <x:c r="B196" s="12" t="str">
        <x:v>Taman Tasik / Taman Merdeka</x:v>
      </x:c>
      <x:c r="C196" s="12" t="str">
        <x:v>AREA/RESIDENTIAL; COMMUNITY/AREA</x:v>
      </x:c>
      <x:c r="D196" s="12" t="str">
        <x:v>JBLOC-0210</x:v>
      </x:c>
      <x:c r="E196" s="12" t="str">
        <x:v>2023;2025</x:v>
      </x:c>
      <x:c r="F196" s="12" t="n">
        <x:v>2023</x:v>
      </x:c>
      <x:c r="G196" s="12" t="n">
        <x:v>2025</x:v>
      </x:c>
      <x:c r="H196" s="18" t="n">
        <x:v>45266</x:v>
      </x:c>
      <x:c r="I196" s="18" t="n">
        <x:v>46003</x:v>
      </x:c>
      <x:c r="J196" s="12" t="n">
        <x:f>COUNTIF('03_Independent_Episodes'!$A$2:$A$345,A196)</x:f>
        <x:v>2</x:v>
      </x:c>
      <x:c r="K196" s="12" t="str">
        <x:f>IF(J196=0,"0",IF(J196&lt;=3,"1-3",IF(J196&lt;=6,"4-6","&gt;=7")))</x:f>
        <x:v>1-3</x:v>
      </x:c>
      <x:c r="L196" s="12" t="str">
        <x:f>IF(J196=0,"Baseline-only",IF(J196&lt;=3,"Occasional",IF(J196&lt;=6,"Recurrent","High-frequency")))</x:f>
        <x:v>Occasional</x:v>
      </x:c>
      <x:c r="M196" s="19" t="n">
        <x:v>103.7359187</x:v>
      </x:c>
      <x:c r="N196" s="19" t="n">
        <x:v>1.4794199</x:v>
      </x:c>
      <x:c r="O196" s="12" t="str">
        <x:v>YES</x:v>
      </x:c>
      <x:c r="P196" s="12" t="str">
        <x:v>PLOT</x:v>
      </x:c>
      <x:c r="Q196" s="12"/>
      <x:c r="R196" s="12"/>
      <x:c r="S196" s="12" t="str">
        <x:v>S2023-046; S2025-037</x:v>
      </x:c>
      <x:c r="T196" s="12" t="str">
        <x:v>PLOT</x:v>
      </x:c>
      <x:c r="U196" s="12"/>
    </x:row>
    <x:row r="197">
      <x:c r="A197" s="12" t="str">
        <x:v>FLOC-0196</x:v>
      </x:c>
      <x:c r="B197" s="12" t="str">
        <x:v>Wisma Persekutuan Johor Bahru</x:v>
      </x:c>
      <x:c r="C197" s="12" t="str">
        <x:v>FACILITY/POI</x:v>
      </x:c>
      <x:c r="D197" s="12" t="str">
        <x:v>JBLOC-0211</x:v>
      </x:c>
      <x:c r="E197" s="12" t="str">
        <x:v>2026</x:v>
      </x:c>
      <x:c r="F197" s="12" t="n">
        <x:v>2026</x:v>
      </x:c>
      <x:c r="G197" s="12" t="n">
        <x:v>2026</x:v>
      </x:c>
      <x:c r="H197" s="18" t="n">
        <x:v>46295</x:v>
      </x:c>
      <x:c r="I197" s="18" t="n">
        <x:v>46295</x:v>
      </x:c>
      <x:c r="J197" s="12" t="n">
        <x:f>COUNTIF('03_Independent_Episodes'!$A$2:$A$345,A197)</x:f>
        <x:v>1</x:v>
      </x:c>
      <x:c r="K197" s="12" t="str">
        <x:f>IF(J197=0,"0",IF(J197&lt;=3,"1-3",IF(J197&lt;=6,"4-6","&gt;=7")))</x:f>
        <x:v>1-3</x:v>
      </x:c>
      <x:c r="L197" s="12" t="str">
        <x:f>IF(J197=0,"Baseline-only",IF(J197&lt;=3,"Occasional",IF(J197&lt;=6,"Recurrent","High-frequency")))</x:f>
        <x:v>Occasional</x:v>
      </x:c>
      <x:c r="M197" s="19" t="n">
        <x:v>103.75878</x:v>
      </x:c>
      <x:c r="N197" s="19" t="n">
        <x:v>1.46036</x:v>
      </x:c>
      <x:c r="O197" s="12" t="str">
        <x:v>YES</x:v>
      </x:c>
      <x:c r="P197" s="12" t="str">
        <x:v>PLOT</x:v>
      </x:c>
      <x:c r="Q197" s="12"/>
      <x:c r="R197" s="12"/>
      <x:c r="S197" s="12" t="str">
        <x:v>S2026-012</x:v>
      </x:c>
      <x:c r="T197" s="12" t="str">
        <x:v>PLOT</x:v>
      </x:c>
      <x:c r="U197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9" hidden="0" customWidth="1"/>
    <x:col min="5" max="5" width="30" hidden="0" customWidth="1"/>
    <x:col min="6" max="6" width="13" hidden="0" customWidth="1"/>
    <x:col min="7" max="7" width="24" hidden="0" customWidth="1"/>
    <x:col min="8" max="8" width="18" hidden="0" customWidth="1"/>
    <x:col min="9" max="9" width="18" hidden="0" customWidth="1"/>
    <x:col min="10" max="10" width="34" hidden="0" customWidth="1"/>
    <x:col min="11" max="11" width="34" hidden="0" customWidth="1"/>
    <x:col min="12" max="12" width="22" hidden="0" customWidth="1"/>
    <x:col min="13" max="13" width="20" hidden="0" customWidth="1"/>
    <x:col min="14" max="14" width="18" hidden="0" customWidth="1"/>
    <x:col min="15" max="15" width="18" hidden="0" customWidth="1"/>
    <x:col min="16" max="16" width="18" hidden="0" customWidth="1"/>
    <x:col min="17" max="17" width="15" hidden="0" customWidth="1"/>
    <x:col min="18" max="18" width="15" hidden="0" customWidth="1"/>
    <x:col min="19" max="19" width="10" hidden="0" customWidth="1"/>
    <x:col min="20" max="20" width="14" hidden="0" customWidth="1"/>
    <x:col min="21" max="21" width="28" hidden="0" customWidth="1"/>
    <x:col min="22" max="22" width="32" hidden="0" customWidth="1"/>
    <x:col min="23" max="23" width="50" hidden="0" customWidth="1"/>
    <x:col min="24" max="24" width="50" hidden="0" customWidth="1"/>
  </x:cols>
  <x:sheetData>
    <x:row r="1">
      <x:c r="A1" s="6" t="str">
        <x:v>Final_Location_ID</x:v>
      </x:c>
      <x:c r="B1" s="6" t="str">
        <x:v>Final_Standardized_Location</x:v>
      </x:c>
      <x:c r="C1" s="6" t="str">
        <x:v>Frequency_Count_Flag</x:v>
      </x:c>
      <x:c r="D1" s="6" t="str">
        <x:v>Year</x:v>
      </x:c>
      <x:c r="E1" s="6" t="str">
        <x:v>Event_ID</x:v>
      </x:c>
      <x:c r="F1" s="6" t="str">
        <x:v>Event_Date</x:v>
      </x:c>
      <x:c r="G1" s="6" t="str">
        <x:v>Dedup_Group_ID</x:v>
      </x:c>
      <x:c r="H1" s="6" t="str">
        <x:v>Master_Location_ID</x:v>
      </x:c>
      <x:c r="I1" s="6" t="str">
        <x:v>Object_ID</x:v>
      </x:c>
      <x:c r="J1" s="6" t="str">
        <x:v>Source_Location_Label</x:v>
      </x:c>
      <x:c r="K1" s="6" t="str">
        <x:v>Standardized_Location</x:v>
      </x:c>
      <x:c r="L1" s="6" t="str">
        <x:v>Object_Type</x:v>
      </x:c>
      <x:c r="M1" s="6" t="str">
        <x:v>Event_Type</x:v>
      </x:c>
      <x:c r="N1" s="6" t="str">
        <x:v>Evidence_Tier</x:v>
      </x:c>
      <x:c r="O1" s="6" t="str">
        <x:v>Primary_Source_ID</x:v>
      </x:c>
      <x:c r="P1" s="6" t="str">
        <x:v>Secondary_Source_ID</x:v>
      </x:c>
      <x:c r="Q1" s="6" t="str">
        <x:v>Longitude</x:v>
      </x:c>
      <x:c r="R1" s="6" t="str">
        <x:v>Latitude</x:v>
      </x:c>
      <x:c r="S1" s="6" t="str">
        <x:v>GIS_Ready</x:v>
      </x:c>
      <x:c r="T1" s="6" t="str">
        <x:v>Plot_Status</x:v>
      </x:c>
      <x:c r="U1" s="6" t="str">
        <x:v>Polygon_ID</x:v>
      </x:c>
      <x:c r="V1" s="6" t="str">
        <x:v>Geometry_Status</x:v>
      </x:c>
      <x:c r="W1" s="6" t="str">
        <x:v>Evidence_URL</x:v>
      </x:c>
      <x:c r="X1" s="6" t="str">
        <x:v>Notes</x:v>
      </x:c>
    </x:row>
    <x:row r="2">
      <x:c r="A2" s="12" t="str">
        <x:v>FLOC-0070</x:v>
      </x:c>
      <x:c r="B2" s="12" t="str">
        <x:v>Jalan Wong Ah Fook / Sungai Segget Project Area</x:v>
      </x:c>
      <x:c r="C2" s="12" t="str">
        <x:v>YES</x:v>
      </x:c>
      <x:c r="D2" s="12" t="n">
        <x:v>2016</x:v>
      </x:c>
      <x:c r="E2" s="12" t="str">
        <x:v>EVT-JB-20160117-WONG-AH-FOOK-SEGGET</x:v>
      </x:c>
      <x:c r="F2" s="18" t="n">
        <x:v>42386</x:v>
      </x:c>
      <x:c r="G2" s="12" t="str">
        <x:v>DG-JB-20160117</x:v>
      </x:c>
      <x:c r="H2" s="12" t="str">
        <x:v>JBLOC-0072</x:v>
      </x:c>
      <x:c r="I2" s="12" t="str">
        <x:v>LOC-JB-CBD-WAF-SEGGET</x:v>
      </x:c>
      <x:c r="J2" s="12" t="str">
        <x:v>Jalan Wong Ah Fook / Sungai Segget project area, Johor Bahru city centre; event spatially anchored near No. 49 Jalan Wong Ah Fook.</x:v>
      </x:c>
      <x:c r="K2" s="12" t="str">
        <x:v>Jalan Wong Ah Fook / Sungai Segget Project Area</x:v>
      </x:c>
      <x:c r="L2" s="12" t="str">
        <x:v>ROAD</x:v>
      </x:c>
      <x:c r="M2" s="12" t="str">
        <x:v>Flash flood</x:v>
      </x:c>
      <x:c r="N2" s="12" t="str">
        <x:v>Verified - Malaysian High Court judgment records the date and project-area flood</x:v>
      </x:c>
      <x:c r="O2" s="12" t="str">
        <x:v>SRC_R2016_COURT_HOTEL77</x:v>
      </x:c>
      <x:c r="P2" s="12"/>
      <x:c r="Q2" s="12" t="n">
        <x:v>103.76189</x:v>
      </x:c>
      <x:c r="R2" s="12" t="n">
        <x:v>1.46395</x:v>
      </x:c>
      <x:c r="S2" s="12" t="str">
        <x:v>YES</x:v>
      </x:c>
      <x:c r="T2" s="12" t="str">
        <x:v>PLOT</x:v>
      </x:c>
      <x:c r="U2" s="12" t="str">
        <x:v>PG2016-CBD-SEGGET</x:v>
      </x:c>
      <x:c r="V2" s="12" t="str">
        <x:v>CLOSED - reuse PG2016-CBD-SEGGET</x:v>
      </x:c>
      <x:c r="W2" s="12" t="str">
        <x:v>https://supremetoday.ai/doc/judgement/MYS00000119253</x:v>
      </x:c>
      <x:c r="X2" s="12" t="str">
        <x:v>Court judgment states flash flood struck the Jalan Wong Ah Fook/Sungai Segget project area on 17 Jan 2016. Historical hotel anchor: No.49 Jalan Wong Ah Fook, in front of Sungai Segget.</x:v>
      </x:c>
    </x:row>
    <x:row r="3">
      <x:c r="A3" s="12" t="str">
        <x:v>FLOC-0014</x:v>
      </x:c>
      <x:c r="B3" s="12" t="str">
        <x:v>Hospital Sultanah Aminah</x:v>
      </x:c>
      <x:c r="C3" s="12" t="str">
        <x:v>YES</x:v>
      </x:c>
      <x:c r="D3" s="12" t="n">
        <x:v>2016</x:v>
      </x:c>
      <x:c r="E3" s="12" t="str">
        <x:v>EVT-JB-20161025-HSA</x:v>
      </x:c>
      <x:c r="F3" s="18" t="n">
        <x:v>42668</x:v>
      </x:c>
      <x:c r="G3" s="12" t="str">
        <x:v>DG-JB-20161025</x:v>
      </x:c>
      <x:c r="H3" s="12" t="str">
        <x:v>JBLOC-0016</x:v>
      </x:c>
      <x:c r="I3" s="12" t="str">
        <x:v>LOC-JB-HSA</x:v>
      </x:c>
      <x:c r="J3" s="12" t="str">
        <x:v>Around Hospital Sultanah Aminah, Johor Bahru; flooding caused power outages and complicated patient evacuation.</x:v>
      </x:c>
      <x:c r="K3" s="12" t="str">
        <x:v>Hospital Sultanah Aminah</x:v>
      </x:c>
      <x:c r="L3" s="12" t="str">
        <x:v>Hospital campus / access area</x:v>
      </x:c>
      <x:c r="M3" s="12" t="str">
        <x:v>Flash flood</x:v>
      </x:c>
      <x:c r="N3" s="12" t="str">
        <x:v>Verified - established news report citing Health Ministry evacuation</x:v>
      </x:c>
      <x:c r="O3" s="12" t="str">
        <x:v>SRC_R2016_FMT_20161025_HSA</x:v>
      </x:c>
      <x:c r="P3" s="12"/>
      <x:c r="Q3" s="12" t="n">
        <x:v>103.7466457</x:v>
      </x:c>
      <x:c r="R3" s="12" t="n">
        <x:v>1.4575013</x:v>
      </x:c>
      <x:c r="S3" s="12" t="str">
        <x:v>YES</x:v>
      </x:c>
      <x:c r="T3" s="12" t="str">
        <x:v>PLOT</x:v>
      </x:c>
      <x:c r="U3" s="12" t="str">
        <x:v>PG2016-HSA-CAMPUS</x:v>
      </x:c>
      <x:c r="V3" s="12" t="str">
        <x:v>CLOSED - OSM hospital facility polygon frozen in PG2016-HSA-CAMPUS</x:v>
      </x:c>
      <x:c r="W3" s="12" t="str">
        <x:v>https://www.freemalaysiatoday.com/category/nation/2016/10/25/flash-floods-force-sultanah-aminah-hospital-evacuations</x:v>
      </x:c>
      <x:c r="X3" s="12" t="str">
        <x:v>Distinct 25 Oct episode. Hospital campus is a uniquely resolvable spatial object with a closed facility boundary source.</x:v>
      </x:c>
    </x:row>
    <x:row r="4">
      <x:c r="A4" s="12" t="str">
        <x:v>FLOC-0014</x:v>
      </x:c>
      <x:c r="B4" s="12" t="str">
        <x:v>Hospital Sultanah Aminah</x:v>
      </x:c>
      <x:c r="C4" s="12" t="str">
        <x:v>YES</x:v>
      </x:c>
      <x:c r="D4" s="12" t="n">
        <x:v>2016</x:v>
      </x:c>
      <x:c r="E4" s="12" t="str">
        <x:v>EVT-JB-20161114-HSA-ENTRANCE</x:v>
      </x:c>
      <x:c r="F4" s="18" t="n">
        <x:v>42688</x:v>
      </x:c>
      <x:c r="G4" s="12" t="str">
        <x:v>DG-JB-20161114</x:v>
      </x:c>
      <x:c r="H4" s="12" t="str">
        <x:v>JBLOC-0016</x:v>
      </x:c>
      <x:c r="I4" s="12" t="str">
        <x:v>LOC-JB-HSA</x:v>
      </x:c>
      <x:c r="J4" s="12" t="str">
        <x:v>Entrance to Hospital Sultanah Aminah along Jalan Skudai, Johor Bahru.</x:v>
      </x:c>
      <x:c r="K4" s="12" t="str">
        <x:v>Hospital Sultanah Aminah</x:v>
      </x:c>
      <x:c r="L4" s="12" t="str">
        <x:v>Hospital campus / access area</x:v>
      </x:c>
      <x:c r="M4" s="12" t="str">
        <x:v>Flash flood / pluvial-tidal interaction</x:v>
      </x:c>
      <x:c r="N4" s="12" t="str">
        <x:v>Verified - established news report citing Johor Civil Defence</x:v>
      </x:c>
      <x:c r="O4" s="12" t="str">
        <x:v>SRC_R2016_MSTAR_20161114_JB</x:v>
      </x:c>
      <x:c r="P4" s="12"/>
      <x:c r="Q4" s="12" t="n">
        <x:v>103.7466457</x:v>
      </x:c>
      <x:c r="R4" s="12" t="n">
        <x:v>1.4575013</x:v>
      </x:c>
      <x:c r="S4" s="12" t="str">
        <x:v>YES</x:v>
      </x:c>
      <x:c r="T4" s="12" t="str">
        <x:v>PLOT</x:v>
      </x:c>
      <x:c r="U4" s="12" t="str">
        <x:v>PG2016-HSA-CAMPUS</x:v>
      </x:c>
      <x:c r="V4" s="12" t="str">
        <x:v>CLOSED - OSM hospital facility polygon frozen in PG2016-HSA-CAMPUS</x:v>
      </x:c>
      <x:c r="W4" s="12" t="str">
        <x:v>https://www.mstar.com.my/lokal/semasa/2016/11/14/banjir-jb</x:v>
      </x:c>
      <x:c r="X4" s="12" t="str">
        <x:v>Flooding reported around 10:30-11:00 after heavy rain and high tide. Stulang Laut was precautionary deployment only and is not entered as a flooded location.</x:v>
      </x:c>
    </x:row>
    <x:row r="5">
      <x:c r="A5" s="12" t="str">
        <x:v>FLOC-0070</x:v>
      </x:c>
      <x:c r="B5" s="12" t="str">
        <x:v>Jalan Wong Ah Fook / Sungai Segget Project Area</x:v>
      </x:c>
      <x:c r="C5" s="12" t="str">
        <x:v>YES</x:v>
      </x:c>
      <x:c r="D5" s="12" t="n">
        <x:v>2017</x:v>
      </x:c>
      <x:c r="E5" s="12" t="str">
        <x:v>EVT-JB-20170102-JALAN-WONG-AH-FOOK-SUNGAI-SEGGET</x:v>
      </x:c>
      <x:c r="F5" s="18" t="n">
        <x:v>42737</x:v>
      </x:c>
      <x:c r="G5" s="12" t="str">
        <x:v>DG-JB-20170102</x:v>
      </x:c>
      <x:c r="H5" s="12" t="str">
        <x:v>JBLOC-0072</x:v>
      </x:c>
      <x:c r="I5" s="12" t="str">
        <x:v>LOC-JB-CBD-WAF-SEGGET</x:v>
      </x:c>
      <x:c r="J5" s="12" t="str">
        <x:v>Jalan Wong Ah Fook / Sungai Segget</x:v>
      </x:c>
      <x:c r="K5" s="12" t="str">
        <x:v>Jalan Wong Ah Fook / Sungai Segget Project Area</x:v>
      </x:c>
      <x:c r="L5" s="12" t="str">
        <x:v>ROAD</x:v>
      </x:c>
      <x:c r="M5" s="12" t="str">
        <x:v>Flood / flash flood</x:v>
      </x:c>
      <x:c r="N5" s="12" t="str">
        <x:v>Verified event evidence; spatial status per Location_Master</x:v>
      </x:c>
      <x:c r="O5" s="12" t="str">
        <x:v>SRC_R2017_MKINI_20170103</x:v>
      </x:c>
      <x:c r="P5" s="12"/>
      <x:c r="Q5" s="12" t="n">
        <x:v>103.76189</x:v>
      </x:c>
      <x:c r="R5" s="12" t="n">
        <x:v>1.46395</x:v>
      </x:c>
      <x:c r="S5" s="12" t="str">
        <x:v>YES</x:v>
      </x:c>
      <x:c r="T5" s="12" t="str">
        <x:v>PLOT</x:v>
      </x:c>
      <x:c r="U5" s="12" t="str">
        <x:v>PG2016-CBD-SEGGET</x:v>
      </x:c>
      <x:c r="V5" s="12" t="str">
        <x:v>CLOSED - reuse PG2016-CBD-SEGGET</x:v>
      </x:c>
      <x:c r="W5" s="12" t="str">
        <x:v>https://www.malaysiakini.com/news/367964</x:v>
      </x:c>
      <x:c r="X5" s="12" t="str">
        <x:v>One of five JB areas reported flooded; existing 2016 spatial location reused.</x:v>
      </x:c>
    </x:row>
    <x:row r="6">
      <x:c r="A6" s="12" t="str">
        <x:v>FLOC-0073</x:v>
      </x:c>
      <x:c r="B6" s="12" t="str">
        <x:v>Kampung Bakar Batu</x:v>
      </x:c>
      <x:c r="C6" s="12" t="str">
        <x:v>YES</x:v>
      </x:c>
      <x:c r="D6" s="12" t="n">
        <x:v>2017</x:v>
      </x:c>
      <x:c r="E6" s="12" t="str">
        <x:v>EVT-JB-20170102-KAMPUNG-BAKAR-BATU</x:v>
      </x:c>
      <x:c r="F6" s="18" t="n">
        <x:v>42737</x:v>
      </x:c>
      <x:c r="G6" s="12" t="str">
        <x:v>DG-JB-20170102</x:v>
      </x:c>
      <x:c r="H6" s="12" t="str">
        <x:v>JBLOC-0075</x:v>
      </x:c>
      <x:c r="I6" s="12" t="str">
        <x:v>LOC-JB-KG-BAKAR-BATU</x:v>
      </x:c>
      <x:c r="J6" s="12" t="str">
        <x:v>Kampung Bakar Batu</x:v>
      </x:c>
      <x:c r="K6" s="12" t="str">
        <x:v>Kampung Bakar Batu</x:v>
      </x:c>
      <x:c r="L6" s="12" t="str">
        <x:v>COMMUNITY/AREA</x:v>
      </x:c>
      <x:c r="M6" s="12" t="str">
        <x:v>Flood / flash flood</x:v>
      </x:c>
      <x:c r="N6" s="12" t="str">
        <x:v>Verified event evidence; spatial status per Location_Master</x:v>
      </x:c>
      <x:c r="O6" s="12" t="str">
        <x:v>SRC_R2017_MKINI_20170103</x:v>
      </x:c>
      <x:c r="P6" s="12"/>
      <x:c r="Q6" s="12" t="n">
        <x:v>103.708604</x:v>
      </x:c>
      <x:c r="R6" s="12" t="n">
        <x:v>1.473954</x:v>
      </x:c>
      <x:c r="S6" s="12" t="str">
        <x:v>YES</x:v>
      </x:c>
      <x:c r="T6" s="12" t="str">
        <x:v>PLOT</x:v>
      </x:c>
      <x:c r="U6" s="12"/>
      <x:c r="V6" s="12" t="str">
        <x:v>POINT RESOLVED; community polygon pending</x:v>
      </x:c>
      <x:c r="W6" s="12" t="str">
        <x:v>https://www.malaysiakini.com/news/367964</x:v>
      </x:c>
      <x:c r="X6" s="12" t="str">
        <x:v>Name appears as Bakar Batu in news; canonical village name resolved via gazetteer.</x:v>
      </x:c>
    </x:row>
    <x:row r="7">
      <x:c r="A7" s="12" t="str">
        <x:v>FLOC-0066</x:v>
      </x:c>
      <x:c r="B7" s="12" t="str">
        <x:v>Jalan Tebrau near Wisma Daiman</x:v>
      </x:c>
      <x:c r="C7" s="12" t="str">
        <x:v>YES</x:v>
      </x:c>
      <x:c r="D7" s="12" t="n">
        <x:v>2017</x:v>
      </x:c>
      <x:c r="E7" s="12" t="str">
        <x:v>EVT-JB-20170102-JALAN-TEBRAU-NEAR-WISMA-DAIMAN</x:v>
      </x:c>
      <x:c r="F7" s="18" t="n">
        <x:v>42737</x:v>
      </x:c>
      <x:c r="G7" s="12" t="str">
        <x:v>DG-JB-20170102</x:v>
      </x:c>
      <x:c r="H7" s="12" t="str">
        <x:v>JBLOC-0068</x:v>
      </x:c>
      <x:c r="I7" s="12" t="str">
        <x:v>LOC-JB-JLN-TEBRAU-WISMA-DAIMAN</x:v>
      </x:c>
      <x:c r="J7" s="12" t="str">
        <x:v>Jalan Tebrau near Wisma Daiman</x:v>
      </x:c>
      <x:c r="K7" s="12" t="str">
        <x:v>Jalan Tebrau near Wisma Daiman</x:v>
      </x:c>
      <x:c r="L7" s="12" t="str">
        <x:v>ROAD</x:v>
      </x:c>
      <x:c r="M7" s="12" t="str">
        <x:v>Flood / flash flood</x:v>
      </x:c>
      <x:c r="N7" s="12" t="str">
        <x:v>Verified event evidence; spatial status per Location_Master</x:v>
      </x:c>
      <x:c r="O7" s="12" t="str">
        <x:v>SRC_R2017_MKINI_20170103</x:v>
      </x:c>
      <x:c r="P7" s="12"/>
      <x:c r="Q7" s="12" t="n">
        <x:v>103.76676</x:v>
      </x:c>
      <x:c r="R7" s="12" t="n">
        <x:v>1.49464</x:v>
      </x:c>
      <x:c r="S7" s="12" t="str">
        <x:v>YES</x:v>
      </x:c>
      <x:c r="T7" s="12" t="str">
        <x:v>PLOT</x:v>
      </x:c>
      <x:c r="U7" s="12"/>
      <x:c r="V7" s="12" t="str">
        <x:v>CLOSED LANDMARK ANCHOR ONLY; road polygon pending</x:v>
      </x:c>
      <x:c r="W7" s="12" t="str">
        <x:v>https://www.malaysiakini.com/news/367964</x:v>
      </x:c>
      <x:c r="X7" s="12" t="str">
        <x:v>Event location is the road near Wisma Daiman, not the whole Jalan Tebrau.</x:v>
      </x:c>
    </x:row>
    <x:row r="8">
      <x:c r="A8" s="12" t="str">
        <x:v>FLOC-0139</x:v>
      </x:c>
      <x:c r="B8" s="12" t="str">
        <x:v>KIPMall Tampoi</x:v>
      </x:c>
      <x:c r="C8" s="12" t="str">
        <x:v>YES</x:v>
      </x:c>
      <x:c r="D8" s="12" t="n">
        <x:v>2017</x:v>
      </x:c>
      <x:c r="E8" s="12" t="str">
        <x:v>EVT-JB-20170102-KIPMART-KIPMALL-TAMPOI</x:v>
      </x:c>
      <x:c r="F8" s="18" t="n">
        <x:v>42737</x:v>
      </x:c>
      <x:c r="G8" s="12" t="str">
        <x:v>DG-JB-20170102</x:v>
      </x:c>
      <x:c r="H8" s="12" t="str">
        <x:v>JBLOC-0155</x:v>
      </x:c>
      <x:c r="I8" s="12" t="str">
        <x:v>LOC-JB-KIPMALL-TAMPOI</x:v>
      </x:c>
      <x:c r="J8" s="12" t="str">
        <x:v>KIPMart/KIPMall Tampoi</x:v>
      </x:c>
      <x:c r="K8" s="12" t="str">
        <x:v>KIPMall Tampoi</x:v>
      </x:c>
      <x:c r="L8" s="12" t="str">
        <x:v>AREA/LOCALITY</x:v>
      </x:c>
      <x:c r="M8" s="12" t="str">
        <x:v>Flood / flash flood</x:v>
      </x:c>
      <x:c r="N8" s="12" t="str">
        <x:v>Verified event evidence; spatial status per Location_Master</x:v>
      </x:c>
      <x:c r="O8" s="12" t="str">
        <x:v>SRC_R2017_MKINI_20170103</x:v>
      </x:c>
      <x:c r="P8" s="12"/>
      <x:c r="Q8" s="12" t="n">
        <x:v>103.687206</x:v>
      </x:c>
      <x:c r="R8" s="12" t="n">
        <x:v>1.508748</x:v>
      </x:c>
      <x:c r="S8" s="12" t="str">
        <x:v>YES</x:v>
      </x:c>
      <x:c r="T8" s="12" t="str">
        <x:v>PLOT</x:v>
      </x:c>
      <x:c r="U8" s="12" t="str">
        <x:v>PG2017-KIPMALL-TAMPOI</x:v>
      </x:c>
      <x:c r="V8" s="12" t="str">
        <x:v>CLOSED - PG2017-KIPMALL-TAMPOI</x:v>
      </x:c>
      <x:c r="W8" s="12" t="str">
        <x:v>https://www.malaysiakini.com/news/367964</x:v>
      </x:c>
      <x:c r="X8" s="12" t="str">
        <x:v>2017 source uses Kipmart; current facility is KIPMall Tampoi.</x:v>
      </x:c>
    </x:row>
    <x:row r="9">
      <x:c r="A9" s="12" t="str">
        <x:v>FLOC-0087</x:v>
      </x:c>
      <x:c r="B9" s="12" t="str">
        <x:v>Kampung Kempas Permatang</x:v>
      </x:c>
      <x:c r="C9" s="12" t="str">
        <x:v>YES</x:v>
      </x:c>
      <x:c r="D9" s="12" t="n">
        <x:v>2017</x:v>
      </x:c>
      <x:c r="E9" s="12" t="str">
        <x:v>EVT-JB-20170102-KAMPUNG-PERMATANG-KEMPAS</x:v>
      </x:c>
      <x:c r="F9" s="18" t="n">
        <x:v>42737</x:v>
      </x:c>
      <x:c r="G9" s="12" t="str">
        <x:v>DG-JB-20170102</x:v>
      </x:c>
      <x:c r="H9" s="12" t="str">
        <x:v>JBLOC-0091</x:v>
      </x:c>
      <x:c r="I9" s="12" t="str">
        <x:v>LOC-JB-KG-KEMPAS-PERMATANG</x:v>
      </x:c>
      <x:c r="J9" s="12" t="str">
        <x:v>Kampung Permatang, Kempas</x:v>
      </x:c>
      <x:c r="K9" s="12" t="str">
        <x:v>Kampung Kempas Permatang</x:v>
      </x:c>
      <x:c r="L9" s="12" t="str">
        <x:v>COMMUNITY/AREA</x:v>
      </x:c>
      <x:c r="M9" s="12" t="str">
        <x:v>Flood / flash flood</x:v>
      </x:c>
      <x:c r="N9" s="12" t="str">
        <x:v>Verified event evidence; spatial status per Location_Master</x:v>
      </x:c>
      <x:c r="O9" s="12" t="str">
        <x:v>SRC_R2017_MKINI_20170103</x:v>
      </x:c>
      <x:c r="P9" s="12"/>
      <x:c r="Q9" s="12" t="n">
        <x:v>103.72438747</x:v>
      </x:c>
      <x:c r="R9" s="12" t="n">
        <x:v>1.52886592</x:v>
      </x:c>
      <x:c r="S9" s="12" t="str">
        <x:v>YES</x:v>
      </x:c>
      <x:c r="T9" s="12" t="str">
        <x:v>PLOT</x:v>
      </x:c>
      <x:c r="U9" s="12"/>
      <x:c r="V9" s="12" t="str">
        <x:v>POINT RESOLVED; community polygon pending</x:v>
      </x:c>
      <x:c r="W9" s="12" t="str">
        <x:v>https://www.malaysiakini.com/news/367964</x:v>
      </x:c>
      <x:c r="X9" s="12" t="str">
        <x:v>Normalised to official gazetteer Kg Kempas Permatang.</x:v>
      </x:c>
    </x:row>
    <x:row r="10">
      <x:c r="A10" s="12" t="str">
        <x:v>FLOC-0133</x:v>
      </x:c>
      <x:c r="B10" s="12" t="str">
        <x:v>Kg. Paya Sg Redan</x:v>
      </x:c>
      <x:c r="C10" s="12" t="str">
        <x:v>YES</x:v>
      </x:c>
      <x:c r="D10" s="12" t="n">
        <x:v>2017</x:v>
      </x:c>
      <x:c r="E10" s="12" t="str">
        <x:v>EVT-JB-20170123-KAMPUNG-PAYA-ULU-TIRAM</x:v>
      </x:c>
      <x:c r="F10" s="18" t="n">
        <x:v>42758</x:v>
      </x:c>
      <x:c r="G10" s="12" t="str">
        <x:v>DG-JB-20170123</x:v>
      </x:c>
      <x:c r="H10" s="12" t="str">
        <x:v>JBLOC-0113</x:v>
      </x:c>
      <x:c r="I10" s="12" t="str">
        <x:v>LOC-JB-KG-PAYA-ULU-TIRAM</x:v>
      </x:c>
      <x:c r="J10" s="12" t="str">
        <x:v>Kampung Paya, Ulu Tiram</x:v>
      </x:c>
      <x:c r="K10" s="12" t="str">
        <x:v>Kg. Paya Sg Redan</x:v>
      </x:c>
      <x:c r="L10" s="12" t="str">
        <x:v>COMMUNITY/AREA</x:v>
      </x:c>
      <x:c r="M10" s="12" t="str">
        <x:v>Flood / flash flood</x:v>
      </x:c>
      <x:c r="N10" s="12" t="str">
        <x:v>Verified event evidence; spatial status per Location_Master</x:v>
      </x:c>
      <x:c r="O10" s="12" t="str">
        <x:v>SRC_R2017_JPS_2017_2018_TABLE</x:v>
      </x:c>
      <x:c r="P10" s="12"/>
      <x:c r="Q10" s="12" t="n">
        <x:v>103.931586</x:v>
      </x:c>
      <x:c r="R10" s="12" t="n">
        <x:v>1.619208</x:v>
      </x:c>
      <x:c r="S10" s="12" t="str">
        <x:v>YES</x:v>
      </x:c>
      <x:c r="T10" s="12" t="str">
        <x:v>PLOT</x:v>
      </x:c>
      <x:c r="U10" s="12"/>
      <x:c r="V10" s="12" t="str">
        <x:v>GEOCODE/POLYGON PENDING</x:v>
      </x:c>
      <x:c r="W10" s="12" t="str">
        <x:v>https://bangi.pulasan.my/_media/lampiran/lbt2017-2018.pdf</x:v>
      </x:c>
      <x:c r="X10" s="12"/>
    </x:row>
    <x:row r="11">
      <x:c r="A11" s="12" t="str">
        <x:v>FLOC-0134</x:v>
      </x:c>
      <x:c r="B11" s="12" t="str">
        <x:v>Kg. Sentosa (Cahaya Baru / eastern Johor Bahru)</x:v>
      </x:c>
      <x:c r="C11" s="12" t="str">
        <x:v>YES</x:v>
      </x:c>
      <x:c r="D11" s="12" t="n">
        <x:v>2017</x:v>
      </x:c>
      <x:c r="E11" s="12" t="str">
        <x:v>EVT-JB-20170124-KAMPUNG-SENTOSA</x:v>
      </x:c>
      <x:c r="F11" s="18" t="n">
        <x:v>42759</x:v>
      </x:c>
      <x:c r="G11" s="12" t="str">
        <x:v>DG-JB-20170124-20170125</x:v>
      </x:c>
      <x:c r="H11" s="12" t="str">
        <x:v>JBLOC-0122</x:v>
      </x:c>
      <x:c r="I11" s="12" t="str">
        <x:v>LOC-JB-KG-SENTOSA-2017</x:v>
      </x:c>
      <x:c r="J11" s="12" t="str">
        <x:v>Kampung Sentosa</x:v>
      </x:c>
      <x:c r="K11" s="12" t="str">
        <x:v>Kg. Sentosa</x:v>
      </x:c>
      <x:c r="L11" s="12" t="str">
        <x:v>COMMUNITY/AREA</x:v>
      </x:c>
      <x:c r="M11" s="12" t="str">
        <x:v>Flood / flash flood</x:v>
      </x:c>
      <x:c r="N11" s="12" t="str">
        <x:v>Verified event evidence; spatial status per Location_Master</x:v>
      </x:c>
      <x:c r="O11" s="12" t="str">
        <x:v>SRC_R2017_JPS_2016_2017_TABLE</x:v>
      </x:c>
      <x:c r="P11" s="12"/>
      <x:c r="Q11" s="12" t="n">
        <x:v>103.92735539</x:v>
      </x:c>
      <x:c r="R11" s="12" t="n">
        <x:v>1.52125286</x:v>
      </x:c>
      <x:c r="S11" s="12" t="str">
        <x:v>YES</x:v>
      </x:c>
      <x:c r="T11" s="12" t="str">
        <x:v>PLOT</x:v>
      </x:c>
      <x:c r="U11" s="12"/>
      <x:c r="V11" s="12" t="str">
        <x:v>Identity resolved; polygon pending</x:v>
      </x:c>
      <x:c r="W11" s="12" t="str">
        <x:v>https://www.scribd.com/document/389922687/Banjir-Tahun1617</x:v>
      </x:c>
      <x:c r="X11" s="12" t="str">
        <x:v>JPS 2016/2017 annual report lists this location in the Johor Bahru 24-25 Jan flood period.</x:v>
      </x:c>
    </x:row>
    <x:row r="12">
      <x:c r="A12" s="12" t="str">
        <x:v>FLOC-0097</x:v>
      </x:c>
      <x:c r="B12" s="12" t="str">
        <x:v>Kampung Paya (24-25 Jan 2017 source)</x:v>
      </x:c>
      <x:c r="C12" s="12" t="str">
        <x:v>YES</x:v>
      </x:c>
      <x:c r="D12" s="12" t="n">
        <x:v>2017</x:v>
      </x:c>
      <x:c r="E12" s="12" t="str">
        <x:v>EVT-JB-20170124-KAMPUNG-PAYA</x:v>
      </x:c>
      <x:c r="F12" s="18" t="n">
        <x:v>42759</x:v>
      </x:c>
      <x:c r="G12" s="12" t="str">
        <x:v>DG-JB-20170124-20170125</x:v>
      </x:c>
      <x:c r="H12" s="12" t="str">
        <x:v>JBLOC-0108</x:v>
      </x:c>
      <x:c r="I12" s="12" t="str">
        <x:v>LOC-CAND-JB-KG-PAYA-UNSPEC-2017</x:v>
      </x:c>
      <x:c r="J12" s="12" t="str">
        <x:v>Kampung Paya</x:v>
      </x:c>
      <x:c r="K12" s="12" t="str">
        <x:v>Kampung Paya (24-25 Jan 2017 source)</x:v>
      </x:c>
      <x:c r="L12" s="12" t="str">
        <x:v>COMMUNITY/AREA</x:v>
      </x:c>
      <x:c r="M12" s="12" t="str">
        <x:v>Flood / flash flood</x:v>
      </x:c>
      <x:c r="N12" s="12" t="str">
        <x:v>Verified event evidence; spatial status per Location_Master</x:v>
      </x:c>
      <x:c r="O12" s="12" t="str">
        <x:v>SRC_R2017_JPS_2016_2017_TABLE</x:v>
      </x:c>
      <x:c r="P12" s="12"/>
      <x:c r="Q12" s="12" t="n">
        <x:v>103.931586</x:v>
      </x:c>
      <x:c r="R12" s="12" t="n">
        <x:v>1.619208</x:v>
      </x:c>
      <x:c r="S12" s="12" t="str">
        <x:v>NO</x:v>
      </x:c>
      <x:c r="T12" s="12" t="str">
        <x:v>DO NOT PLOT</x:v>
      </x:c>
      <x:c r="U12" s="12"/>
      <x:c r="V12" s="12" t="str">
        <x:v>Point resolved as probable Paya Sg Redan; polygon pending</x:v>
      </x:c>
      <x:c r="W12" s="12" t="str">
        <x:v>https://www.scribd.com/document/389922687/Banjir-Tahun1617</x:v>
      </x:c>
      <x:c r="X12" s="12" t="str">
        <x:v>JPS 2016/2017 annual report lists this location in the Johor Bahru 24-25 Jan flood period.</x:v>
      </x:c>
    </x:row>
    <x:row r="13">
      <x:c r="A13" s="12" t="str">
        <x:v>FLOC-0138</x:v>
      </x:c>
      <x:c r="B13" s="12" t="str">
        <x:v>Kg. Sg. Serai</x:v>
      </x:c>
      <x:c r="C13" s="12" t="str">
        <x:v>YES</x:v>
      </x:c>
      <x:c r="D13" s="12" t="n">
        <x:v>2017</x:v>
      </x:c>
      <x:c r="E13" s="12" t="str">
        <x:v>EVT-JB-20170124-KAMPUNG-SERAI</x:v>
      </x:c>
      <x:c r="F13" s="18" t="n">
        <x:v>42759</x:v>
      </x:c>
      <x:c r="G13" s="12" t="str">
        <x:v>DG-JB-20170124-20170125</x:v>
      </x:c>
      <x:c r="H13" s="12" t="str">
        <x:v>JBLOC-0140</x:v>
      </x:c>
      <x:c r="I13" s="12" t="str">
        <x:v>LOC-JB-KG-SERAI-2017</x:v>
      </x:c>
      <x:c r="J13" s="12" t="str">
        <x:v>Kampung Serai</x:v>
      </x:c>
      <x:c r="K13" s="12" t="str">
        <x:v>Kg. Sg. Serai</x:v>
      </x:c>
      <x:c r="L13" s="12" t="str">
        <x:v>COMMUNITY/AREA</x:v>
      </x:c>
      <x:c r="M13" s="12" t="str">
        <x:v>Flood / flash flood</x:v>
      </x:c>
      <x:c r="N13" s="12" t="str">
        <x:v>Verified event evidence; spatial status per Location_Master</x:v>
      </x:c>
      <x:c r="O13" s="12" t="str">
        <x:v>SRC_R2017_JPS_2016_2017_TABLE</x:v>
      </x:c>
      <x:c r="P13" s="12"/>
      <x:c r="Q13" s="12" t="n">
        <x:v>103.9220255</x:v>
      </x:c>
      <x:c r="R13" s="12" t="n">
        <x:v>1.6536289</x:v>
      </x:c>
      <x:c r="S13" s="12" t="str">
        <x:v>YES</x:v>
      </x:c>
      <x:c r="T13" s="12" t="str">
        <x:v>PLOT</x:v>
      </x:c>
      <x:c r="U13" s="12"/>
      <x:c r="V13" s="12" t="str">
        <x:v>Identity resolved; polygon pending</x:v>
      </x:c>
      <x:c r="W13" s="12" t="str">
        <x:v>https://www.scribd.com/document/389922687/Banjir-Tahun1617</x:v>
      </x:c>
      <x:c r="X13" s="12" t="str">
        <x:v>JPS 2016/2017 annual report lists this location in the Johor Bahru 24-25 Jan flood period.</x:v>
      </x:c>
    </x:row>
    <x:row r="14">
      <x:c r="A14" s="12" t="str">
        <x:v>FLOC-0078</x:v>
      </x:c>
      <x:c r="B14" s="12" t="str">
        <x:v>Kampung Bukit Berangan</x:v>
      </x:c>
      <x:c r="C14" s="12" t="str">
        <x:v>YES</x:v>
      </x:c>
      <x:c r="D14" s="12" t="n">
        <x:v>2017</x:v>
      </x:c>
      <x:c r="E14" s="12" t="str">
        <x:v>EVT-JB-20170124-KAMPUNG-BUKIT-BERANGAN</x:v>
      </x:c>
      <x:c r="F14" s="18" t="n">
        <x:v>42759</x:v>
      </x:c>
      <x:c r="G14" s="12" t="str">
        <x:v>DG-JB-20170124-20170125</x:v>
      </x:c>
      <x:c r="H14" s="12" t="str">
        <x:v>JBLOC-0081</x:v>
      </x:c>
      <x:c r="I14" s="12" t="str">
        <x:v>LOC-JB-KG-BUKIT-BERANGAN-2017</x:v>
      </x:c>
      <x:c r="J14" s="12" t="str">
        <x:v>Kampung Bukit Berangan</x:v>
      </x:c>
      <x:c r="K14" s="12" t="str">
        <x:v>Kampung Bukit Berangan</x:v>
      </x:c>
      <x:c r="L14" s="12" t="str">
        <x:v>COMMUNITY/AREA</x:v>
      </x:c>
      <x:c r="M14" s="12" t="str">
        <x:v>Flood / flash flood</x:v>
      </x:c>
      <x:c r="N14" s="12" t="str">
        <x:v>Verified event evidence; spatial status per Location_Master</x:v>
      </x:c>
      <x:c r="O14" s="12" t="str">
        <x:v>SRC_R2017_JPS_2016_2017_TABLE</x:v>
      </x:c>
      <x:c r="P14" s="12"/>
      <x:c r="Q14" s="12" t="n">
        <x:v>103.9223</x:v>
      </x:c>
      <x:c r="R14" s="12" t="n">
        <x:v>1.6692</x:v>
      </x:c>
      <x:c r="S14" s="12" t="str">
        <x:v>YES</x:v>
      </x:c>
      <x:c r="T14" s="12" t="str">
        <x:v>PLOT</x:v>
      </x:c>
      <x:c r="U14" s="12"/>
      <x:c r="V14" s="12" t="str">
        <x:v>Point resolved; polygon pending</x:v>
      </x:c>
      <x:c r="W14" s="12" t="str">
        <x:v>https://www.scribd.com/document/389922687/Banjir-Tahun1617</x:v>
      </x:c>
      <x:c r="X14" s="12" t="str">
        <x:v>JPS 2016/2017 annual report lists this location in the Johor Bahru 24-25 Jan flood period.</x:v>
      </x:c>
    </x:row>
    <x:row r="15">
      <x:c r="A15" s="12" t="str">
        <x:v>FLOC-0116</x:v>
      </x:c>
      <x:c r="B15" s="12" t="str">
        <x:v>Kampung Sungai Redan Laut</x:v>
      </x:c>
      <x:c r="C15" s="12" t="str">
        <x:v>YES</x:v>
      </x:c>
      <x:c r="D15" s="12" t="n">
        <x:v>2017</x:v>
      </x:c>
      <x:c r="E15" s="12" t="str">
        <x:v>EVT-JB-20170124-KAMPUNG-REDAN-LAUT</x:v>
      </x:c>
      <x:c r="F15" s="18" t="n">
        <x:v>42759</x:v>
      </x:c>
      <x:c r="G15" s="12" t="str">
        <x:v>DG-JB-20170124-20170125</x:v>
      </x:c>
      <x:c r="H15" s="12" t="str">
        <x:v>JBLOC-0137</x:v>
      </x:c>
      <x:c r="I15" s="12" t="str">
        <x:v>LOC-JB-KG-REDAN-LAUT</x:v>
      </x:c>
      <x:c r="J15" s="12" t="str">
        <x:v>Kampung Redan Laut</x:v>
      </x:c>
      <x:c r="K15" s="12" t="str">
        <x:v>Kampung Sungai Redan Laut</x:v>
      </x:c>
      <x:c r="L15" s="12" t="str">
        <x:v>COMMUNITY/AREA</x:v>
      </x:c>
      <x:c r="M15" s="12" t="str">
        <x:v>Flood / flash flood</x:v>
      </x:c>
      <x:c r="N15" s="12" t="str">
        <x:v>Verified event evidence; spatial status per Location_Master</x:v>
      </x:c>
      <x:c r="O15" s="12" t="str">
        <x:v>SRC_R2017_JPS_2016_2017_TABLE</x:v>
      </x:c>
      <x:c r="P15" s="12"/>
      <x:c r="Q15" s="12" t="n">
        <x:v>103.9518889</x:v>
      </x:c>
      <x:c r="R15" s="12" t="n">
        <x:v>1.6123889</x:v>
      </x:c>
      <x:c r="S15" s="12" t="str">
        <x:v>YES</x:v>
      </x:c>
      <x:c r="T15" s="12" t="str">
        <x:v>PLOT</x:v>
      </x:c>
      <x:c r="U15" s="12"/>
      <x:c r="V15" s="12" t="str">
        <x:v>POINT RESOLVED; polygon pending</x:v>
      </x:c>
      <x:c r="W15" s="12" t="str">
        <x:v>https://www.scribd.com/document/389922687/Banjir-Tahun1617</x:v>
      </x:c>
      <x:c r="X15" s="12" t="str">
        <x:v>JPS 2016/2017 annual report lists this location in the Johor Bahru 24-25 Jan flood period.</x:v>
      </x:c>
    </x:row>
    <x:row r="16">
      <x:c r="A16" s="12" t="str">
        <x:v>FLOC-0119</x:v>
      </x:c>
      <x:c r="B16" s="12" t="str">
        <x:v>Kampung Sungai Tiram</x:v>
      </x:c>
      <x:c r="C16" s="12" t="str">
        <x:v>YES</x:v>
      </x:c>
      <x:c r="D16" s="12" t="n">
        <x:v>2017</x:v>
      </x:c>
      <x:c r="E16" s="12" t="str">
        <x:v>EVT-JB-20170124-KAMPUNG-SUNGAI-TIRAM</x:v>
      </x:c>
      <x:c r="F16" s="18" t="n">
        <x:v>42759</x:v>
      </x:c>
      <x:c r="G16" s="12" t="str">
        <x:v>DG-JB-20170124-20170125</x:v>
      </x:c>
      <x:c r="H16" s="12" t="str">
        <x:v>JBLOC-0141</x:v>
      </x:c>
      <x:c r="I16" s="12" t="str">
        <x:v>LOC-JB-KG-SUNGAI-TIRAM</x:v>
      </x:c>
      <x:c r="J16" s="12" t="str">
        <x:v>Kampung Sungai Tiram</x:v>
      </x:c>
      <x:c r="K16" s="12" t="str">
        <x:v>Kampung Sungai Tiram</x:v>
      </x:c>
      <x:c r="L16" s="12" t="str">
        <x:v>Kampung</x:v>
      </x:c>
      <x:c r="M16" s="12" t="str">
        <x:v>Flood / flash flood</x:v>
      </x:c>
      <x:c r="N16" s="12" t="str">
        <x:v>Verified event evidence; spatial status per Location_Master</x:v>
      </x:c>
      <x:c r="O16" s="12" t="str">
        <x:v>SRC_R2017_JPS_2016_2017_TABLE</x:v>
      </x:c>
      <x:c r="P16" s="12"/>
      <x:c r="Q16" s="12" t="n">
        <x:v>103.89469488</x:v>
      </x:c>
      <x:c r="R16" s="12" t="n">
        <x:v>1.59325633</x:v>
      </x:c>
      <x:c r="S16" s="12" t="str">
        <x:v>YES</x:v>
      </x:c>
      <x:c r="T16" s="12" t="str">
        <x:v>PLOT</x:v>
      </x:c>
      <x:c r="U16" s="12"/>
      <x:c r="V16" s="12" t="str">
        <x:v>POINT / event-segment polygon open</x:v>
      </x:c>
      <x:c r="W16" s="12" t="str">
        <x:v>https://www.scribd.com/document/389922687/Banjir-Tahun1617</x:v>
      </x:c>
      <x:c r="X16" s="12" t="str">
        <x:v>JPS 2016/2017 annual report lists this location in the Johor Bahru 24-25 Jan flood period.</x:v>
      </x:c>
    </x:row>
    <x:row r="17">
      <x:c r="A17" s="12" t="str">
        <x:v>FLOC-0086</x:v>
      </x:c>
      <x:c r="B17" s="12" t="str">
        <x:v>Kampung Kangkar Tebrau</x:v>
      </x:c>
      <x:c r="C17" s="12" t="str">
        <x:v>YES</x:v>
      </x:c>
      <x:c r="D17" s="12" t="n">
        <x:v>2017</x:v>
      </x:c>
      <x:c r="E17" s="12" t="str">
        <x:v>EVT-JB-20170413-KAMPUNG-KANGKAR-TEBRAU</x:v>
      </x:c>
      <x:c r="F17" s="18" t="n">
        <x:v>42838</x:v>
      </x:c>
      <x:c r="G17" s="12" t="str">
        <x:v>DG-JB-20170413</x:v>
      </x:c>
      <x:c r="H17" s="12" t="str">
        <x:v>JBLOC-0090</x:v>
      </x:c>
      <x:c r="I17" s="12" t="str">
        <x:v>LOC-JB-KG-KANGKAR-TEBRAU</x:v>
      </x:c>
      <x:c r="J17" s="12" t="str">
        <x:v>Kampung Kangkar Tebrau</x:v>
      </x:c>
      <x:c r="K17" s="12" t="str">
        <x:v>Kampung Kangkar Tebrau</x:v>
      </x:c>
      <x:c r="L17" s="12" t="str">
        <x:v>COMMUNITY/AREA</x:v>
      </x:c>
      <x:c r="M17" s="12" t="str">
        <x:v>Flood / flash flood</x:v>
      </x:c>
      <x:c r="N17" s="12" t="str">
        <x:v>Verified event evidence; spatial status per Location_Master</x:v>
      </x:c>
      <x:c r="O17" s="12" t="str">
        <x:v>SRC_R2017_JPS_2017_2018_TABLE</x:v>
      </x:c>
      <x:c r="P17" s="12"/>
      <x:c r="Q17" s="12" t="n">
        <x:v>103.75709827</x:v>
      </x:c>
      <x:c r="R17" s="12" t="n">
        <x:v>1.53184902</x:v>
      </x:c>
      <x:c r="S17" s="12" t="str">
        <x:v>YES</x:v>
      </x:c>
      <x:c r="T17" s="12" t="str">
        <x:v>PLOT</x:v>
      </x:c>
      <x:c r="U17" s="12" t="str">
        <x:v>PG2017-KANGKAR-TEBRAU</x:v>
      </x:c>
      <x:c r="V17" s="12" t="str">
        <x:v>CLOSED - PG2017-KANGKAR-TEBRAU</x:v>
      </x:c>
      <x:c r="W17" s="12" t="str">
        <x:v>https://bangi.pulasan.my/_media/lampiran/lbt2017-2018.pdf</x:v>
      </x:c>
      <x:c r="X17" s="12"/>
    </x:row>
    <x:row r="18">
      <x:c r="A18" s="12" t="str">
        <x:v>FLOC-0085</x:v>
      </x:c>
      <x:c r="B18" s="12" t="str">
        <x:v>Kampung Jaya Sepakat</x:v>
      </x:c>
      <x:c r="C18" s="12" t="str">
        <x:v>YES</x:v>
      </x:c>
      <x:c r="D18" s="12" t="n">
        <x:v>2017</x:v>
      </x:c>
      <x:c r="E18" s="12" t="str">
        <x:v>EVT-JB-20170418-KAMPUNG-SEPAKAT-JAYA-SKUDAI</x:v>
      </x:c>
      <x:c r="F18" s="18" t="n">
        <x:v>42843</x:v>
      </x:c>
      <x:c r="G18" s="12" t="str">
        <x:v>DG-JB-20170418</x:v>
      </x:c>
      <x:c r="H18" s="12" t="str">
        <x:v>JBLOC-0089</x:v>
      </x:c>
      <x:c r="I18" s="12" t="str">
        <x:v>LOC-CAND-JB-KG-SEPAKAT-JAYA-SKUDAI</x:v>
      </x:c>
      <x:c r="J18" s="12" t="str">
        <x:v>Kampung Sepakat Jaya, Skudai</x:v>
      </x:c>
      <x:c r="K18" s="12" t="str">
        <x:v>Kampung Jaya Sepakat</x:v>
      </x:c>
      <x:c r="L18" s="12" t="str">
        <x:v>COMMUNITY/AREA</x:v>
      </x:c>
      <x:c r="M18" s="12" t="str">
        <x:v>Flood / flash flood</x:v>
      </x:c>
      <x:c r="N18" s="12" t="str">
        <x:v>Verified event evidence; spatial status per Location_Master</x:v>
      </x:c>
      <x:c r="O18" s="12" t="str">
        <x:v>SRC_R2017_JPS_2017_2018_TABLE</x:v>
      </x:c>
      <x:c r="P18" s="12"/>
      <x:c r="Q18" s="12" t="n">
        <x:v>103.65153</x:v>
      </x:c>
      <x:c r="R18" s="12" t="n">
        <x:v>1.5874</x:v>
      </x:c>
      <x:c r="S18" s="12" t="str">
        <x:v>YES</x:v>
      </x:c>
      <x:c r="T18" s="12" t="str">
        <x:v>PLOT</x:v>
      </x:c>
      <x:c r="U18" s="12"/>
      <x:c r="V18" s="12" t="str">
        <x:v>IDENTITY_CONFLICT; POLYGON PENDING</x:v>
      </x:c>
      <x:c r="W18" s="12" t="str">
        <x:v>https://bangi.pulasan.my/_media/lampiran/lbt2017-2018.pdf</x:v>
      </x:c>
      <x:c r="X18" s="12"/>
    </x:row>
    <x:row r="19">
      <x:c r="A19" s="12" t="str">
        <x:v>FLOC-0089</x:v>
      </x:c>
      <x:c r="B19" s="12" t="str">
        <x:v>Kampung Laut Batu 10, Skudai</x:v>
      </x:c>
      <x:c r="C19" s="12" t="str">
        <x:v>YES</x:v>
      </x:c>
      <x:c r="D19" s="12" t="n">
        <x:v>2017</x:v>
      </x:c>
      <x:c r="E19" s="12" t="str">
        <x:v>EVT-JB-20170418-KAMPUNG-LAUT-SKUDAI</x:v>
      </x:c>
      <x:c r="F19" s="18" t="n">
        <x:v>42843</x:v>
      </x:c>
      <x:c r="G19" s="12" t="str">
        <x:v>DG-JB-20170418</x:v>
      </x:c>
      <x:c r="H19" s="12" t="str">
        <x:v>JBLOC-0093</x:v>
      </x:c>
      <x:c r="I19" s="12" t="str">
        <x:v>LOC-JB-KG-LAUT-SKUDAI</x:v>
      </x:c>
      <x:c r="J19" s="12" t="str">
        <x:v>Kampung Laut, Skudai</x:v>
      </x:c>
      <x:c r="K19" s="12" t="str">
        <x:v>Kampung Laut Batu 10, Skudai</x:v>
      </x:c>
      <x:c r="L19" s="12" t="str">
        <x:v>Kampung</x:v>
      </x:c>
      <x:c r="M19" s="12" t="str">
        <x:v>Flood / flash flood</x:v>
      </x:c>
      <x:c r="N19" s="12" t="str">
        <x:v>Verified event evidence; spatial status per Location_Master</x:v>
      </x:c>
      <x:c r="O19" s="12" t="str">
        <x:v>SRC_R2017_JPS_2017_2018_TABLE</x:v>
      </x:c>
      <x:c r="P19" s="12"/>
      <x:c r="Q19" s="12" t="n">
        <x:v>103.6605</x:v>
      </x:c>
      <x:c r="R19" s="12" t="n">
        <x:v>1.5453</x:v>
      </x:c>
      <x:c r="S19" s="12" t="str">
        <x:v>YES</x:v>
      </x:c>
      <x:c r="T19" s="12" t="str">
        <x:v>PLOT</x:v>
      </x:c>
      <x:c r="U19" s="12"/>
      <x:c r="V19" s="12" t="str">
        <x:v>POINT; POLYGON PENDING</x:v>
      </x:c>
      <x:c r="W19" s="12" t="str">
        <x:v>https://bangi.pulasan.my/_media/lampiran/lbt2017-2018.pdf</x:v>
      </x:c>
      <x:c r="X19" s="12"/>
    </x:row>
    <x:row r="20">
      <x:c r="A20" s="12" t="str">
        <x:v>FLOC-0135</x:v>
      </x:c>
      <x:c r="B20" s="12" t="str">
        <x:v>Kg. Sentosa Barat</x:v>
      </x:c>
      <x:c r="C20" s="12" t="str">
        <x:v>YES</x:v>
      </x:c>
      <x:c r="D20" s="12" t="n">
        <x:v>2017</x:v>
      </x:c>
      <x:c r="E20" s="12" t="str">
        <x:v>EVT-JB-20170418-KAMPUNG-SENTOSA-BARAT-MASAI</x:v>
      </x:c>
      <x:c r="F20" s="18" t="n">
        <x:v>42843</x:v>
      </x:c>
      <x:c r="G20" s="12" t="str">
        <x:v>DG-JB-20170418</x:v>
      </x:c>
      <x:c r="H20" s="12" t="str">
        <x:v>JBLOC-0123</x:v>
      </x:c>
      <x:c r="I20" s="12" t="str">
        <x:v>LOC-JB-KG-SENTOSA-BARAT-MASAI</x:v>
      </x:c>
      <x:c r="J20" s="12" t="str">
        <x:v>Kampung Sentosa Barat, Masai</x:v>
      </x:c>
      <x:c r="K20" s="12" t="str">
        <x:v>Kg. Sentosa Barat</x:v>
      </x:c>
      <x:c r="L20" s="12" t="str">
        <x:v>COMMUNITY/AREA</x:v>
      </x:c>
      <x:c r="M20" s="12" t="str">
        <x:v>Flood / flash flood</x:v>
      </x:c>
      <x:c r="N20" s="12" t="str">
        <x:v>Verified event evidence; spatial status per Location_Master</x:v>
      </x:c>
      <x:c r="O20" s="12" t="str">
        <x:v>SRC_R2017_JPS_2017_2018_TABLE</x:v>
      </x:c>
      <x:c r="P20" s="12"/>
      <x:c r="Q20" s="12" t="n">
        <x:v>103.92185516</x:v>
      </x:c>
      <x:c r="R20" s="12" t="n">
        <x:v>1.52194889</x:v>
      </x:c>
      <x:c r="S20" s="12" t="str">
        <x:v>YES</x:v>
      </x:c>
      <x:c r="T20" s="12" t="str">
        <x:v>PLOT</x:v>
      </x:c>
      <x:c r="U20" s="12"/>
      <x:c r="V20" s="12" t="str">
        <x:v>Identity verified; polygon pending</x:v>
      </x:c>
      <x:c r="W20" s="12" t="str">
        <x:v>https://bangi.pulasan.my/_media/lampiran/lbt2017-2018.pdf</x:v>
      </x:c>
      <x:c r="X20" s="12"/>
    </x:row>
    <x:row r="21">
      <x:c r="A21" s="12" t="str">
        <x:v>FLOC-0098</x:v>
      </x:c>
      <x:c r="B21" s="12" t="str">
        <x:v>Kampung Paya Kenangan</x:v>
      </x:c>
      <x:c r="C21" s="12" t="str">
        <x:v>YES</x:v>
      </x:c>
      <x:c r="D21" s="12" t="n">
        <x:v>2017</x:v>
      </x:c>
      <x:c r="E21" s="12" t="str">
        <x:v>EVT-JB-20170418-KAMPUNG-PAYA-KENANGAN-TEBRAU</x:v>
      </x:c>
      <x:c r="F21" s="18" t="n">
        <x:v>42843</x:v>
      </x:c>
      <x:c r="G21" s="12" t="str">
        <x:v>DG-JB-20170418</x:v>
      </x:c>
      <x:c r="H21" s="12" t="str">
        <x:v>JBLOC-0110</x:v>
      </x:c>
      <x:c r="I21" s="12" t="str">
        <x:v>LOC-JB-KG-PAYA-KENANGAN</x:v>
      </x:c>
      <x:c r="J21" s="12" t="str">
        <x:v>Kampung Paya Kenangan, Tebrau</x:v>
      </x:c>
      <x:c r="K21" s="12" t="str">
        <x:v>Kampung Paya Kenangan</x:v>
      </x:c>
      <x:c r="L21" s="12" t="str">
        <x:v>Kampung</x:v>
      </x:c>
      <x:c r="M21" s="12" t="str">
        <x:v>Flood / flash flood</x:v>
      </x:c>
      <x:c r="N21" s="12" t="str">
        <x:v>Verified event evidence; spatial status per Location_Master</x:v>
      </x:c>
      <x:c r="O21" s="12" t="str">
        <x:v>SRC_R2017_JPS_2017_2018_TABLE</x:v>
      </x:c>
      <x:c r="P21" s="12"/>
      <x:c r="Q21" s="12" t="n">
        <x:v>103.74961954</x:v>
      </x:c>
      <x:c r="R21" s="12" t="n">
        <x:v>1.5403203</x:v>
      </x:c>
      <x:c r="S21" s="12" t="str">
        <x:v>YES</x:v>
      </x:c>
      <x:c r="T21" s="12" t="str">
        <x:v>PLOT</x:v>
      </x:c>
      <x:c r="U21" s="12"/>
      <x:c r="V21" s="12" t="str">
        <x:v>POINT; polygon pending</x:v>
      </x:c>
      <x:c r="W21" s="12" t="str">
        <x:v>https://bangi.pulasan.my/_media/lampiran/lbt2017-2018.pdf</x:v>
      </x:c>
      <x:c r="X21" s="12"/>
    </x:row>
    <x:row r="22">
      <x:c r="A22" s="12" t="str">
        <x:v>FLOC-0052</x:v>
      </x:c>
      <x:c r="B22" s="12" t="str">
        <x:v>Jalan Ros Merah</x:v>
      </x:c>
      <x:c r="C22" s="12" t="str">
        <x:v>YES</x:v>
      </x:c>
      <x:c r="D22" s="12" t="n">
        <x:v>2017</x:v>
      </x:c>
      <x:c r="E22" s="12" t="str">
        <x:v>EVT-JB-20170601-JALAN-ROS-MERAH</x:v>
      </x:c>
      <x:c r="F22" s="18" t="n">
        <x:v>42887</x:v>
      </x:c>
      <x:c r="G22" s="12" t="str">
        <x:v>DG-JB-20170601</x:v>
      </x:c>
      <x:c r="H22" s="12" t="str">
        <x:v>JBLOC-0054</x:v>
      </x:c>
      <x:c r="I22" s="12" t="str">
        <x:v>LOC-JB-JLN-ROS-MERAH</x:v>
      </x:c>
      <x:c r="J22" s="12" t="str">
        <x:v>Jalan Ros Merah</x:v>
      </x:c>
      <x:c r="K22" s="12" t="str">
        <x:v>Jalan Ros Merah</x:v>
      </x:c>
      <x:c r="L22" s="12" t="str">
        <x:v>Road</x:v>
      </x:c>
      <x:c r="M22" s="12" t="str">
        <x:v>Flood / flash flood</x:v>
      </x:c>
      <x:c r="N22" s="12" t="str">
        <x:v>Verified event evidence; spatial status per Location_Master</x:v>
      </x:c>
      <x:c r="O22" s="12" t="str">
        <x:v>SRC_R2017_JPS_2017_2018_TABLE</x:v>
      </x:c>
      <x:c r="P22" s="12"/>
      <x:c r="Q22" s="12" t="n">
        <x:v>103.7947712</x:v>
      </x:c>
      <x:c r="R22" s="12" t="n">
        <x:v>1.534148</x:v>
      </x:c>
      <x:c r="S22" s="12" t="str">
        <x:v>YES</x:v>
      </x:c>
      <x:c r="T22" s="12" t="str">
        <x:v>PLOT</x:v>
      </x:c>
      <x:c r="U22" s="12"/>
      <x:c r="V22" s="12" t="str">
        <x:v>ROAD SEGMENT OPEN</x:v>
      </x:c>
      <x:c r="W22" s="12" t="str">
        <x:v>https://bangi.pulasan.my/_media/lampiran/lbt2017-2018.pdf</x:v>
      </x:c>
      <x:c r="X22" s="12"/>
    </x:row>
    <x:row r="23">
      <x:c r="A23" s="12" t="str">
        <x:v>FLOC-0135</x:v>
      </x:c>
      <x:c r="B23" s="12" t="str">
        <x:v>Kg. Sentosa Barat</x:v>
      </x:c>
      <x:c r="C23" s="12" t="str">
        <x:v>YES</x:v>
      </x:c>
      <x:c r="D23" s="12" t="n">
        <x:v>2017</x:v>
      </x:c>
      <x:c r="E23" s="12" t="str">
        <x:v>EVT-JB-20170601-KAMPUNG-SENTOSA-BARAT-MASAI</x:v>
      </x:c>
      <x:c r="F23" s="18" t="n">
        <x:v>42887</x:v>
      </x:c>
      <x:c r="G23" s="12" t="str">
        <x:v>DG-JB-20170601</x:v>
      </x:c>
      <x:c r="H23" s="12" t="str">
        <x:v>JBLOC-0123</x:v>
      </x:c>
      <x:c r="I23" s="12" t="str">
        <x:v>LOC-JB-KG-SENTOSA-BARAT-MASAI</x:v>
      </x:c>
      <x:c r="J23" s="12" t="str">
        <x:v>Kampung Sentosa Barat, Masai</x:v>
      </x:c>
      <x:c r="K23" s="12" t="str">
        <x:v>Kg. Sentosa Barat</x:v>
      </x:c>
      <x:c r="L23" s="12" t="str">
        <x:v>COMMUNITY/AREA</x:v>
      </x:c>
      <x:c r="M23" s="12" t="str">
        <x:v>Flood / flash flood</x:v>
      </x:c>
      <x:c r="N23" s="12" t="str">
        <x:v>Verified event evidence; spatial status per Location_Master</x:v>
      </x:c>
      <x:c r="O23" s="12" t="str">
        <x:v>SRC_R2017_JPS_2017_2018_TABLE</x:v>
      </x:c>
      <x:c r="P23" s="12"/>
      <x:c r="Q23" s="12" t="n">
        <x:v>103.92185516</x:v>
      </x:c>
      <x:c r="R23" s="12" t="n">
        <x:v>1.52194889</x:v>
      </x:c>
      <x:c r="S23" s="12" t="str">
        <x:v>YES</x:v>
      </x:c>
      <x:c r="T23" s="12" t="str">
        <x:v>PLOT</x:v>
      </x:c>
      <x:c r="U23" s="12"/>
      <x:c r="V23" s="12" t="str">
        <x:v>Identity verified; polygon pending</x:v>
      </x:c>
      <x:c r="W23" s="12" t="str">
        <x:v>https://bangi.pulasan.my/_media/lampiran/lbt2017-2018.pdf</x:v>
      </x:c>
      <x:c r="X23" s="12"/>
    </x:row>
    <x:row r="24">
      <x:c r="A24" s="12" t="str">
        <x:v>FLOC-0124</x:v>
      </x:c>
      <x:c r="B24" s="12" t="str">
        <x:v>Kampung Ubi Baru</x:v>
      </x:c>
      <x:c r="C24" s="12" t="str">
        <x:v>YES</x:v>
      </x:c>
      <x:c r="D24" s="12" t="n">
        <x:v>2017</x:v>
      </x:c>
      <x:c r="E24" s="12" t="str">
        <x:v>EVT-JB-20170610-KAMPUNG-UBI-JOHOR-BAHRU</x:v>
      </x:c>
      <x:c r="F24" s="18" t="n">
        <x:v>42896</x:v>
      </x:c>
      <x:c r="G24" s="12" t="str">
        <x:v>DG-JB-20170610</x:v>
      </x:c>
      <x:c r="H24" s="12" t="str">
        <x:v>JBLOC-0147</x:v>
      </x:c>
      <x:c r="I24" s="12" t="str">
        <x:v>LOC-JB-KG-UBI-2017</x:v>
      </x:c>
      <x:c r="J24" s="12" t="str">
        <x:v>Kampung Ubi, Johor Bahru</x:v>
      </x:c>
      <x:c r="K24" s="12" t="str">
        <x:v>Kampung Ubi Baru</x:v>
      </x:c>
      <x:c r="L24" s="12" t="str">
        <x:v>Kampung</x:v>
      </x:c>
      <x:c r="M24" s="12" t="str">
        <x:v>Flood / flash flood</x:v>
      </x:c>
      <x:c r="N24" s="12" t="str">
        <x:v>Verified event evidence; spatial status per Location_Master</x:v>
      </x:c>
      <x:c r="O24" s="12" t="str">
        <x:v>SRC_R2017_JPS_2017_2018_TABLE</x:v>
      </x:c>
      <x:c r="P24" s="12"/>
      <x:c r="Q24" s="12" t="n">
        <x:v>103.75707329</x:v>
      </x:c>
      <x:c r="R24" s="12" t="n">
        <x:v>1.5191611</x:v>
      </x:c>
      <x:c r="S24" s="12" t="str">
        <x:v>YES</x:v>
      </x:c>
      <x:c r="T24" s="12" t="str">
        <x:v>PLOT</x:v>
      </x:c>
      <x:c r="U24" s="12"/>
      <x:c r="V24" s="12" t="str">
        <x:v>POINT ONLY / POLYGON PENDING</x:v>
      </x:c>
      <x:c r="W24" s="12" t="str">
        <x:v>https://bangi.pulasan.my/_media/lampiran/lbt2017-2018.pdf</x:v>
      </x:c>
      <x:c r="X24" s="12"/>
    </x:row>
    <x:row r="25">
      <x:c r="A25" s="12" t="str">
        <x:v>FLOC-0087</x:v>
      </x:c>
      <x:c r="B25" s="12" t="str">
        <x:v>Kampung Kempas Permatang</x:v>
      </x:c>
      <x:c r="C25" s="12" t="str">
        <x:v>YES</x:v>
      </x:c>
      <x:c r="D25" s="12" t="n">
        <x:v>2017</x:v>
      </x:c>
      <x:c r="E25" s="12" t="str">
        <x:v>EVT-JB-20170615-KAMPUNG-PERMATANG-KEMPAS</x:v>
      </x:c>
      <x:c r="F25" s="18" t="n">
        <x:v>42901</x:v>
      </x:c>
      <x:c r="G25" s="12" t="str">
        <x:v>DG-JB-20170615</x:v>
      </x:c>
      <x:c r="H25" s="12" t="str">
        <x:v>JBLOC-0091</x:v>
      </x:c>
      <x:c r="I25" s="12" t="str">
        <x:v>LOC-JB-KG-KEMPAS-PERMATANG</x:v>
      </x:c>
      <x:c r="J25" s="12" t="str">
        <x:v>Kampung Permatang, Kempas</x:v>
      </x:c>
      <x:c r="K25" s="12" t="str">
        <x:v>Kampung Kempas Permatang</x:v>
      </x:c>
      <x:c r="L25" s="12" t="str">
        <x:v>COMMUNITY/AREA</x:v>
      </x:c>
      <x:c r="M25" s="12" t="str">
        <x:v>Flood / flash flood</x:v>
      </x:c>
      <x:c r="N25" s="12" t="str">
        <x:v>Verified event evidence; spatial status per Location_Master</x:v>
      </x:c>
      <x:c r="O25" s="12" t="str">
        <x:v>SRC_R2017_JPS_2017_2018_TABLE</x:v>
      </x:c>
      <x:c r="P25" s="12"/>
      <x:c r="Q25" s="12" t="n">
        <x:v>103.72438747</x:v>
      </x:c>
      <x:c r="R25" s="12" t="n">
        <x:v>1.52886592</x:v>
      </x:c>
      <x:c r="S25" s="12" t="str">
        <x:v>YES</x:v>
      </x:c>
      <x:c r="T25" s="12" t="str">
        <x:v>PLOT</x:v>
      </x:c>
      <x:c r="U25" s="12"/>
      <x:c r="V25" s="12" t="str">
        <x:v>POINT RESOLVED; community polygon pending</x:v>
      </x:c>
      <x:c r="W25" s="12" t="str">
        <x:v>https://bangi.pulasan.my/_media/lampiran/lbt2017-2018.pdf</x:v>
      </x:c>
      <x:c r="X25" s="12"/>
    </x:row>
    <x:row r="26">
      <x:c r="A26" s="12" t="str">
        <x:v>FLOC-0135</x:v>
      </x:c>
      <x:c r="B26" s="12" t="str">
        <x:v>Kg. Sentosa Barat</x:v>
      </x:c>
      <x:c r="C26" s="12" t="str">
        <x:v>YES</x:v>
      </x:c>
      <x:c r="D26" s="12" t="n">
        <x:v>2017</x:v>
      </x:c>
      <x:c r="E26" s="12" t="str">
        <x:v>EVT-JB-20170811-KAMPUNG-SENTOSA-BARAT-MASAI</x:v>
      </x:c>
      <x:c r="F26" s="18" t="n">
        <x:v>42958</x:v>
      </x:c>
      <x:c r="G26" s="12" t="str">
        <x:v>DG-JB-20170811</x:v>
      </x:c>
      <x:c r="H26" s="12" t="str">
        <x:v>JBLOC-0123</x:v>
      </x:c>
      <x:c r="I26" s="12" t="str">
        <x:v>LOC-JB-KG-SENTOSA-BARAT-MASAI</x:v>
      </x:c>
      <x:c r="J26" s="12" t="str">
        <x:v>Kampung Sentosa Barat, Masai</x:v>
      </x:c>
      <x:c r="K26" s="12" t="str">
        <x:v>Kg. Sentosa Barat</x:v>
      </x:c>
      <x:c r="L26" s="12" t="str">
        <x:v>COMMUNITY/AREA</x:v>
      </x:c>
      <x:c r="M26" s="12" t="str">
        <x:v>Flood / flash flood</x:v>
      </x:c>
      <x:c r="N26" s="12" t="str">
        <x:v>Verified event evidence; spatial status per Location_Master</x:v>
      </x:c>
      <x:c r="O26" s="12" t="str">
        <x:v>SRC_R2017_JPS_2017_2018_TABLE</x:v>
      </x:c>
      <x:c r="P26" s="12"/>
      <x:c r="Q26" s="12" t="n">
        <x:v>103.92185516</x:v>
      </x:c>
      <x:c r="R26" s="12" t="n">
        <x:v>1.52194889</x:v>
      </x:c>
      <x:c r="S26" s="12" t="str">
        <x:v>YES</x:v>
      </x:c>
      <x:c r="T26" s="12" t="str">
        <x:v>PLOT</x:v>
      </x:c>
      <x:c r="U26" s="12"/>
      <x:c r="V26" s="12" t="str">
        <x:v>Identity verified; polygon pending</x:v>
      </x:c>
      <x:c r="W26" s="12" t="str">
        <x:v>https://bangi.pulasan.my/_media/lampiran/lbt2017-2018.pdf</x:v>
      </x:c>
      <x:c r="X26" s="12"/>
    </x:row>
    <x:row r="27">
      <x:c r="A27" s="12" t="str">
        <x:v>FLOC-0153</x:v>
      </x:c>
      <x:c r="B27" s="12" t="str">
        <x:v>No corroborated Skudai locality; official Kg. Sialang Dalam = Tangkak</x:v>
      </x:c>
      <x:c r="C27" s="12" t="str">
        <x:v>YES</x:v>
      </x:c>
      <x:c r="D27" s="12" t="n">
        <x:v>2017</x:v>
      </x:c>
      <x:c r="E27" s="12" t="str">
        <x:v>EVT-JB-20170919-KAMPUNG-SIALANG-DALAM-SKUDAI</x:v>
      </x:c>
      <x:c r="F27" s="18" t="n">
        <x:v>42997</x:v>
      </x:c>
      <x:c r="G27" s="12" t="str">
        <x:v>DG-JB-20170919</x:v>
      </x:c>
      <x:c r="H27" s="12" t="str">
        <x:v>JBLOC-0169</x:v>
      </x:c>
      <x:c r="I27" s="12" t="str">
        <x:v>LOC-CAND-JB-KG-SIALANG-DALAM-SKUDAI</x:v>
      </x:c>
      <x:c r="J27" s="12" t="str">
        <x:v>Kampung Sialang Dalam, Skudai</x:v>
      </x:c>
      <x:c r="K27" s="12" t="str">
        <x:v>No corroborated Skudai locality; official Kg. Sialang Dalam = Tangkak</x:v>
      </x:c>
      <x:c r="L27" s="12" t="str">
        <x:v>COMMUNITY/AREA</x:v>
      </x:c>
      <x:c r="M27" s="12" t="str">
        <x:v>Flood / flash flood</x:v>
      </x:c>
      <x:c r="N27" s="12" t="str">
        <x:v>Verified event evidence; spatial status per Location_Master</x:v>
      </x:c>
      <x:c r="O27" s="12" t="str">
        <x:v>SRC_R2017_JPS_2017_2018_TABLE</x:v>
      </x:c>
      <x:c r="P27" s="12"/>
      <x:c r="Q27" s="12"/>
      <x:c r="R27" s="12"/>
      <x:c r="S27" s="12" t="str">
        <x:v>NO</x:v>
      </x:c>
      <x:c r="T27" s="12" t="str">
        <x:v>DO NOT PLOT</x:v>
      </x:c>
      <x:c r="U27" s="12"/>
      <x:c r="V27" s="12" t="str">
        <x:v>IDENTITY_CONFLICT; POLYGON PENDING</x:v>
      </x:c>
      <x:c r="W27" s="12" t="str">
        <x:v>https://bangi.pulasan.my/_media/lampiran/lbt2017-2018.pdf</x:v>
      </x:c>
      <x:c r="X27" s="12"/>
    </x:row>
    <x:row r="28">
      <x:c r="A28" s="12" t="str">
        <x:v>FLOC-0123</x:v>
      </x:c>
      <x:c r="B28" s="12" t="str">
        <x:v>Kampung Tuah Jaya</x:v>
      </x:c>
      <x:c r="C28" s="12" t="str">
        <x:v>YES</x:v>
      </x:c>
      <x:c r="D28" s="12" t="n">
        <x:v>2017</x:v>
      </x:c>
      <x:c r="E28" s="12" t="str">
        <x:v>EVT-JB-20170919-KAMPUNG-TUAH-JAYA-SKUDAI</x:v>
      </x:c>
      <x:c r="F28" s="18" t="n">
        <x:v>42997</x:v>
      </x:c>
      <x:c r="G28" s="12" t="str">
        <x:v>DG-JB-20170919</x:v>
      </x:c>
      <x:c r="H28" s="12" t="str">
        <x:v>JBLOC-0145</x:v>
      </x:c>
      <x:c r="I28" s="12" t="str">
        <x:v>LOC-JB-KG-TUAH-JAYA</x:v>
      </x:c>
      <x:c r="J28" s="12" t="str">
        <x:v>Kampung Tuah Jaya, Skudai</x:v>
      </x:c>
      <x:c r="K28" s="12" t="str">
        <x:v>Kampung Tuah Jaya</x:v>
      </x:c>
      <x:c r="L28" s="12" t="str">
        <x:v>Residential hamlet</x:v>
      </x:c>
      <x:c r="M28" s="12" t="str">
        <x:v>Flood / flash flood</x:v>
      </x:c>
      <x:c r="N28" s="12" t="str">
        <x:v>Verified event evidence; spatial status per Location_Master</x:v>
      </x:c>
      <x:c r="O28" s="12" t="str">
        <x:v>SRC_R2017_JPS_2017_2018_TABLE</x:v>
      </x:c>
      <x:c r="P28" s="12"/>
      <x:c r="Q28" s="12" t="n">
        <x:v>103.67688</x:v>
      </x:c>
      <x:c r="R28" s="12" t="n">
        <x:v>1.47873</x:v>
      </x:c>
      <x:c r="S28" s="12" t="str">
        <x:v>YES</x:v>
      </x:c>
      <x:c r="T28" s="12" t="str">
        <x:v>PLOT</x:v>
      </x:c>
      <x:c r="U28" s="12"/>
      <x:c r="V28" s="12" t="str">
        <x:v>CLOSED</x:v>
      </x:c>
      <x:c r="W28" s="12" t="str">
        <x:v>https://bangi.pulasan.my/_media/lampiran/lbt2017-2018.pdf</x:v>
      </x:c>
      <x:c r="X28" s="12"/>
    </x:row>
    <x:row r="29">
      <x:c r="A29" s="12" t="str">
        <x:v>FLOC-0133</x:v>
      </x:c>
      <x:c r="B29" s="12" t="str">
        <x:v>Kg. Paya Sg Redan</x:v>
      </x:c>
      <x:c r="C29" s="12" t="str">
        <x:v>YES</x:v>
      </x:c>
      <x:c r="D29" s="12" t="n">
        <x:v>2017</x:v>
      </x:c>
      <x:c r="E29" s="12" t="str">
        <x:v>EVT-JB-20171109-KAMPUNG-PAYA-ULU-TIRAM</x:v>
      </x:c>
      <x:c r="F29" s="18" t="n">
        <x:v>43048</x:v>
      </x:c>
      <x:c r="G29" s="12" t="str">
        <x:v>DG-JB-20171109</x:v>
      </x:c>
      <x:c r="H29" s="12" t="str">
        <x:v>JBLOC-0113</x:v>
      </x:c>
      <x:c r="I29" s="12" t="str">
        <x:v>LOC-JB-KG-PAYA-ULU-TIRAM</x:v>
      </x:c>
      <x:c r="J29" s="12" t="str">
        <x:v>Kampung Paya, Ulu Tiram</x:v>
      </x:c>
      <x:c r="K29" s="12" t="str">
        <x:v>Kg. Paya Sg Redan</x:v>
      </x:c>
      <x:c r="L29" s="12" t="str">
        <x:v>COMMUNITY/AREA</x:v>
      </x:c>
      <x:c r="M29" s="12" t="str">
        <x:v>Flood / flash flood</x:v>
      </x:c>
      <x:c r="N29" s="12" t="str">
        <x:v>Verified event evidence; spatial status per Location_Master</x:v>
      </x:c>
      <x:c r="O29" s="12" t="str">
        <x:v>SRC_R2017_JPS_2017_2018_TABLE</x:v>
      </x:c>
      <x:c r="P29" s="12"/>
      <x:c r="Q29" s="12" t="n">
        <x:v>103.931586</x:v>
      </x:c>
      <x:c r="R29" s="12" t="n">
        <x:v>1.619208</x:v>
      </x:c>
      <x:c r="S29" s="12" t="str">
        <x:v>YES</x:v>
      </x:c>
      <x:c r="T29" s="12" t="str">
        <x:v>PLOT</x:v>
      </x:c>
      <x:c r="U29" s="12"/>
      <x:c r="V29" s="12" t="str">
        <x:v>GEOCODE/POLYGON PENDING</x:v>
      </x:c>
      <x:c r="W29" s="12" t="str">
        <x:v>https://bangi.pulasan.my/_media/lampiran/lbt2017-2018.pdf</x:v>
      </x:c>
      <x:c r="X29" s="12"/>
    </x:row>
    <x:row r="30">
      <x:c r="A30" s="12" t="str">
        <x:v>FLOC-0089</x:v>
      </x:c>
      <x:c r="B30" s="12" t="str">
        <x:v>Kampung Laut Batu 10, Skudai</x:v>
      </x:c>
      <x:c r="C30" s="12" t="str">
        <x:v>YES</x:v>
      </x:c>
      <x:c r="D30" s="12" t="n">
        <x:v>2017</x:v>
      </x:c>
      <x:c r="E30" s="12" t="str">
        <x:v>EVT-JB-20171109-KAMPUNG-LAUT-SKUDAI</x:v>
      </x:c>
      <x:c r="F30" s="18" t="n">
        <x:v>43048</x:v>
      </x:c>
      <x:c r="G30" s="12" t="str">
        <x:v>DG-JB-20171109</x:v>
      </x:c>
      <x:c r="H30" s="12" t="str">
        <x:v>JBLOC-0093</x:v>
      </x:c>
      <x:c r="I30" s="12" t="str">
        <x:v>LOC-JB-KG-LAUT-SKUDAI</x:v>
      </x:c>
      <x:c r="J30" s="12" t="str">
        <x:v>Kampung Laut, Skudai</x:v>
      </x:c>
      <x:c r="K30" s="12" t="str">
        <x:v>Kampung Laut Batu 10, Skudai</x:v>
      </x:c>
      <x:c r="L30" s="12" t="str">
        <x:v>Kampung</x:v>
      </x:c>
      <x:c r="M30" s="12" t="str">
        <x:v>Flood / flash flood</x:v>
      </x:c>
      <x:c r="N30" s="12" t="str">
        <x:v>Verified event evidence; spatial status per Location_Master</x:v>
      </x:c>
      <x:c r="O30" s="12" t="str">
        <x:v>SRC_R2017_JPS_2017_2018_TABLE</x:v>
      </x:c>
      <x:c r="P30" s="12"/>
      <x:c r="Q30" s="12" t="n">
        <x:v>103.6605</x:v>
      </x:c>
      <x:c r="R30" s="12" t="n">
        <x:v>1.5453</x:v>
      </x:c>
      <x:c r="S30" s="12" t="str">
        <x:v>YES</x:v>
      </x:c>
      <x:c r="T30" s="12" t="str">
        <x:v>PLOT</x:v>
      </x:c>
      <x:c r="U30" s="12"/>
      <x:c r="V30" s="12" t="str">
        <x:v>POINT; POLYGON PENDING</x:v>
      </x:c>
      <x:c r="W30" s="12" t="str">
        <x:v>https://bangi.pulasan.my/_media/lampiran/lbt2017-2018.pdf</x:v>
      </x:c>
      <x:c r="X30" s="12"/>
    </x:row>
    <x:row r="31">
      <x:c r="A31" s="12" t="str">
        <x:v>FLOC-0135</x:v>
      </x:c>
      <x:c r="B31" s="12" t="str">
        <x:v>Kg. Sentosa Barat</x:v>
      </x:c>
      <x:c r="C31" s="12" t="str">
        <x:v>YES</x:v>
      </x:c>
      <x:c r="D31" s="12" t="n">
        <x:v>2017</x:v>
      </x:c>
      <x:c r="E31" s="12" t="str">
        <x:v>EVT-JB-20171110-KAMPUNG-SENTOSA-BARAT-MASAI</x:v>
      </x:c>
      <x:c r="F31" s="18" t="n">
        <x:v>43049</x:v>
      </x:c>
      <x:c r="G31" s="12" t="str">
        <x:v>DG-JB-20171110</x:v>
      </x:c>
      <x:c r="H31" s="12" t="str">
        <x:v>JBLOC-0123</x:v>
      </x:c>
      <x:c r="I31" s="12" t="str">
        <x:v>LOC-JB-KG-SENTOSA-BARAT-MASAI</x:v>
      </x:c>
      <x:c r="J31" s="12" t="str">
        <x:v>Kampung Sentosa Barat, Masai</x:v>
      </x:c>
      <x:c r="K31" s="12" t="str">
        <x:v>Kg. Sentosa Barat</x:v>
      </x:c>
      <x:c r="L31" s="12" t="str">
        <x:v>COMMUNITY/AREA</x:v>
      </x:c>
      <x:c r="M31" s="12" t="str">
        <x:v>Flood / flash flood</x:v>
      </x:c>
      <x:c r="N31" s="12" t="str">
        <x:v>Verified event evidence; spatial status per Location_Master</x:v>
      </x:c>
      <x:c r="O31" s="12" t="str">
        <x:v>SRC_R2017_JPS_2017_2018_TABLE</x:v>
      </x:c>
      <x:c r="P31" s="12"/>
      <x:c r="Q31" s="12" t="n">
        <x:v>103.92185516</x:v>
      </x:c>
      <x:c r="R31" s="12" t="n">
        <x:v>1.52194889</x:v>
      </x:c>
      <x:c r="S31" s="12" t="str">
        <x:v>YES</x:v>
      </x:c>
      <x:c r="T31" s="12" t="str">
        <x:v>PLOT</x:v>
      </x:c>
      <x:c r="U31" s="12"/>
      <x:c r="V31" s="12" t="str">
        <x:v>Identity verified; polygon pending</x:v>
      </x:c>
      <x:c r="W31" s="12" t="str">
        <x:v>https://bangi.pulasan.my/_media/lampiran/lbt2017-2018.pdf</x:v>
      </x:c>
      <x:c r="X31" s="12"/>
    </x:row>
    <x:row r="32">
      <x:c r="A32" s="12" t="str">
        <x:v>FLOC-0096</x:v>
      </x:c>
      <x:c r="B32" s="12" t="str">
        <x:v>Kampung Pasir, Tampoi/Skudai</x:v>
      </x:c>
      <x:c r="C32" s="12" t="str">
        <x:v>YES</x:v>
      </x:c>
      <x:c r="D32" s="12" t="n">
        <x:v>2017</x:v>
      </x:c>
      <x:c r="E32" s="12" t="str">
        <x:v>EVT-JB-20171110-KAMPUNG-PASIR-SKUDAI</x:v>
      </x:c>
      <x:c r="F32" s="18" t="n">
        <x:v>43049</x:v>
      </x:c>
      <x:c r="G32" s="12" t="str">
        <x:v>DG-JB-20171110</x:v>
      </x:c>
      <x:c r="H32" s="12" t="str">
        <x:v>JBLOC-0105</x:v>
      </x:c>
      <x:c r="I32" s="12" t="str">
        <x:v>LOC-JB-KG-PASIR-TAMPOI</x:v>
      </x:c>
      <x:c r="J32" s="12" t="str">
        <x:v>Kampung Pasir, Skudai</x:v>
      </x:c>
      <x:c r="K32" s="12" t="str">
        <x:v>Kampung Pasir, Tampoi</x:v>
      </x:c>
      <x:c r="L32" s="12" t="str">
        <x:v>Kampung</x:v>
      </x:c>
      <x:c r="M32" s="12" t="str">
        <x:v>Flood / flash flood</x:v>
      </x:c>
      <x:c r="N32" s="12" t="str">
        <x:v>Verified event evidence; spatial status per Location_Master</x:v>
      </x:c>
      <x:c r="O32" s="12" t="str">
        <x:v>SRC_R2017_JPS_2017_2018_TABLE</x:v>
      </x:c>
      <x:c r="P32" s="12"/>
      <x:c r="Q32" s="12" t="n">
        <x:v>103.6963972</x:v>
      </x:c>
      <x:c r="R32" s="12" t="n">
        <x:v>1.4999611</x:v>
      </x:c>
      <x:c r="S32" s="12" t="str">
        <x:v>YES</x:v>
      </x:c>
      <x:c r="T32" s="12" t="str">
        <x:v>PLOT</x:v>
      </x:c>
      <x:c r="U32" s="12"/>
      <x:c r="V32" s="12" t="str">
        <x:v>POLYGON READY NOT CLOSED</x:v>
      </x:c>
      <x:c r="W32" s="12" t="str">
        <x:v>https://bangi.pulasan.my/_media/lampiran/lbt2017-2018.pdf</x:v>
      </x:c>
      <x:c r="X32" s="12"/>
    </x:row>
    <x:row r="33">
      <x:c r="A33" s="12" t="str">
        <x:v>FLOC-0119</x:v>
      </x:c>
      <x:c r="B33" s="12" t="str">
        <x:v>Kampung Sungai Tiram</x:v>
      </x:c>
      <x:c r="C33" s="12" t="str">
        <x:v>YES</x:v>
      </x:c>
      <x:c r="D33" s="12" t="n">
        <x:v>2017</x:v>
      </x:c>
      <x:c r="E33" s="12" t="str">
        <x:v>EVT-JB-20171110-KAMPUNG-SUNGAI-TIRAM-BATU-20</x:v>
      </x:c>
      <x:c r="F33" s="18" t="n">
        <x:v>43049</x:v>
      </x:c>
      <x:c r="G33" s="12" t="str">
        <x:v>DG-JB-20171110</x:v>
      </x:c>
      <x:c r="H33" s="12" t="str">
        <x:v>JBLOC-0141</x:v>
      </x:c>
      <x:c r="I33" s="12" t="str">
        <x:v>LOC-JB-KG-SUNGAI-TIRAM</x:v>
      </x:c>
      <x:c r="J33" s="12" t="str">
        <x:v>Kampung Sungai Tiram, Batu 20</x:v>
      </x:c>
      <x:c r="K33" s="12" t="str">
        <x:v>Kampung Sungai Tiram</x:v>
      </x:c>
      <x:c r="L33" s="12" t="str">
        <x:v>Kampung</x:v>
      </x:c>
      <x:c r="M33" s="12" t="str">
        <x:v>Flood / flash flood</x:v>
      </x:c>
      <x:c r="N33" s="12" t="str">
        <x:v>Verified event evidence; spatial status per Location_Master</x:v>
      </x:c>
      <x:c r="O33" s="12" t="str">
        <x:v>SRC_R2017_JPS_2017_2018_TABLE</x:v>
      </x:c>
      <x:c r="P33" s="12"/>
      <x:c r="Q33" s="12" t="n">
        <x:v>103.89469488</x:v>
      </x:c>
      <x:c r="R33" s="12" t="n">
        <x:v>1.59325633</x:v>
      </x:c>
      <x:c r="S33" s="12" t="str">
        <x:v>YES</x:v>
      </x:c>
      <x:c r="T33" s="12" t="str">
        <x:v>PLOT</x:v>
      </x:c>
      <x:c r="U33" s="12"/>
      <x:c r="V33" s="12" t="str">
        <x:v>POINT / event-segment polygon open</x:v>
      </x:c>
      <x:c r="W33" s="12" t="str">
        <x:v>https://bangi.pulasan.my/_media/lampiran/lbt2017-2018.pdf</x:v>
      </x:c>
      <x:c r="X33" s="12"/>
    </x:row>
    <x:row r="34">
      <x:c r="A34" s="12" t="str">
        <x:v>FLOC-0102</x:v>
      </x:c>
      <x:c r="B34" s="12" t="str">
        <x:v>Kampung Paya, Nam Heng plantation / Mukim Sungai Tiram</x:v>
      </x:c>
      <x:c r="C34" s="12" t="str">
        <x:v>YES</x:v>
      </x:c>
      <x:c r="D34" s="12" t="n">
        <x:v>2017</x:v>
      </x:c>
      <x:c r="E34" s="12" t="str">
        <x:v>EVT-JB-20171114-KAMPUNG-PAYA-NAM-HENG</x:v>
      </x:c>
      <x:c r="F34" s="18" t="n">
        <x:v>43053</x:v>
      </x:c>
      <x:c r="G34" s="12" t="str">
        <x:v>DG-JB-20171114</x:v>
      </x:c>
      <x:c r="H34" s="12" t="str">
        <x:v>JBLOC-0112</x:v>
      </x:c>
      <x:c r="I34" s="12" t="str">
        <x:v>LOC-JB-KG-PAYA-NAM-HENG</x:v>
      </x:c>
      <x:c r="J34" s="12" t="str">
        <x:v>Kampung Paya Nam Heng</x:v>
      </x:c>
      <x:c r="K34" s="12" t="str">
        <x:v>Kampung Paya, Nam Heng plantation / Mukim Sungai Tiram</x:v>
      </x:c>
      <x:c r="L34" s="12" t="str">
        <x:v>COMMUNITY/AREA</x:v>
      </x:c>
      <x:c r="M34" s="12" t="str">
        <x:v>Flood / flash flood</x:v>
      </x:c>
      <x:c r="N34" s="12" t="str">
        <x:v>Verified event evidence; spatial status per Location_Master</x:v>
      </x:c>
      <x:c r="O34" s="12" t="str">
        <x:v>SRC_R2017_JPS_2017_2018_TABLE</x:v>
      </x:c>
      <x:c r="P34" s="12"/>
      <x:c r="Q34" s="12"/>
      <x:c r="R34" s="12"/>
      <x:c r="S34" s="12" t="str">
        <x:v>NO</x:v>
      </x:c>
      <x:c r="T34" s="12" t="str">
        <x:v>DO NOT PLOT</x:v>
      </x:c>
      <x:c r="U34" s="12"/>
      <x:c r="V34" s="12" t="str">
        <x:v>Nam Heng area context resolved; exact flood locality polygon pending</x:v>
      </x:c>
      <x:c r="W34" s="12" t="str">
        <x:v>https://bangi.pulasan.my/_media/lampiran/lbt2017-2018.pdf</x:v>
      </x:c>
      <x:c r="X34" s="12"/>
    </x:row>
    <x:row r="35">
      <x:c r="A35" s="12" t="str">
        <x:v>FLOC-0087</x:v>
      </x:c>
      <x:c r="B35" s="12" t="str">
        <x:v>Kampung Kempas Permatang</x:v>
      </x:c>
      <x:c r="C35" s="12" t="str">
        <x:v>YES</x:v>
      </x:c>
      <x:c r="D35" s="12" t="n">
        <x:v>2017</x:v>
      </x:c>
      <x:c r="E35" s="12" t="str">
        <x:v>EVT-JB-20171114-KAMPUNG-PERMATANG-KEMPAS</x:v>
      </x:c>
      <x:c r="F35" s="18" t="n">
        <x:v>43053</x:v>
      </x:c>
      <x:c r="G35" s="12" t="str">
        <x:v>DG-JB-20171114</x:v>
      </x:c>
      <x:c r="H35" s="12" t="str">
        <x:v>JBLOC-0091</x:v>
      </x:c>
      <x:c r="I35" s="12" t="str">
        <x:v>LOC-JB-KG-KEMPAS-PERMATANG</x:v>
      </x:c>
      <x:c r="J35" s="12" t="str">
        <x:v>Kampung Permatang, Kempas</x:v>
      </x:c>
      <x:c r="K35" s="12" t="str">
        <x:v>Kampung Kempas Permatang</x:v>
      </x:c>
      <x:c r="L35" s="12" t="str">
        <x:v>COMMUNITY/AREA</x:v>
      </x:c>
      <x:c r="M35" s="12" t="str">
        <x:v>Flood / flash flood</x:v>
      </x:c>
      <x:c r="N35" s="12" t="str">
        <x:v>Verified event evidence; spatial status per Location_Master</x:v>
      </x:c>
      <x:c r="O35" s="12" t="str">
        <x:v>SRC_R2017_JPS_2017_2018_TABLE</x:v>
      </x:c>
      <x:c r="P35" s="12"/>
      <x:c r="Q35" s="12" t="n">
        <x:v>103.72438747</x:v>
      </x:c>
      <x:c r="R35" s="12" t="n">
        <x:v>1.52886592</x:v>
      </x:c>
      <x:c r="S35" s="12" t="str">
        <x:v>YES</x:v>
      </x:c>
      <x:c r="T35" s="12" t="str">
        <x:v>PLOT</x:v>
      </x:c>
      <x:c r="U35" s="12"/>
      <x:c r="V35" s="12" t="str">
        <x:v>POINT RESOLVED; community polygon pending</x:v>
      </x:c>
      <x:c r="W35" s="12" t="str">
        <x:v>https://bangi.pulasan.my/_media/lampiran/lbt2017-2018.pdf</x:v>
      </x:c>
      <x:c r="X35" s="12"/>
    </x:row>
    <x:row r="36">
      <x:c r="A36" s="12" t="str">
        <x:v>FLOC-0119</x:v>
      </x:c>
      <x:c r="B36" s="12" t="str">
        <x:v>Kampung Sungai Tiram</x:v>
      </x:c>
      <x:c r="C36" s="12" t="str">
        <x:v>YES</x:v>
      </x:c>
      <x:c r="D36" s="12" t="n">
        <x:v>2017</x:v>
      </x:c>
      <x:c r="E36" s="12" t="str">
        <x:v>EVT-JB-20171114-KAMPUNG-SUNGAI-TIRAM-BATU-20</x:v>
      </x:c>
      <x:c r="F36" s="18" t="n">
        <x:v>43053</x:v>
      </x:c>
      <x:c r="G36" s="12" t="str">
        <x:v>DG-JB-20171114</x:v>
      </x:c>
      <x:c r="H36" s="12" t="str">
        <x:v>JBLOC-0141</x:v>
      </x:c>
      <x:c r="I36" s="12" t="str">
        <x:v>LOC-JB-KG-SUNGAI-TIRAM</x:v>
      </x:c>
      <x:c r="J36" s="12" t="str">
        <x:v>Kampung Sungai Tiram, Batu 20</x:v>
      </x:c>
      <x:c r="K36" s="12" t="str">
        <x:v>Kampung Sungai Tiram</x:v>
      </x:c>
      <x:c r="L36" s="12" t="str">
        <x:v>Kampung</x:v>
      </x:c>
      <x:c r="M36" s="12" t="str">
        <x:v>Flood / flash flood</x:v>
      </x:c>
      <x:c r="N36" s="12" t="str">
        <x:v>Verified event evidence; spatial status per Location_Master</x:v>
      </x:c>
      <x:c r="O36" s="12" t="str">
        <x:v>SRC_R2017_JPS_2017_2018_TABLE</x:v>
      </x:c>
      <x:c r="P36" s="12"/>
      <x:c r="Q36" s="12" t="n">
        <x:v>103.89469488</x:v>
      </x:c>
      <x:c r="R36" s="12" t="n">
        <x:v>1.59325633</x:v>
      </x:c>
      <x:c r="S36" s="12" t="str">
        <x:v>YES</x:v>
      </x:c>
      <x:c r="T36" s="12" t="str">
        <x:v>PLOT</x:v>
      </x:c>
      <x:c r="U36" s="12"/>
      <x:c r="V36" s="12" t="str">
        <x:v>POINT / event-segment polygon open</x:v>
      </x:c>
      <x:c r="W36" s="12" t="str">
        <x:v>https://bangi.pulasan.my/_media/lampiran/lbt2017-2018.pdf</x:v>
      </x:c>
      <x:c r="X36" s="12"/>
    </x:row>
    <x:row r="37">
      <x:c r="A37" s="12" t="str">
        <x:v>FLOC-0096</x:v>
      </x:c>
      <x:c r="B37" s="12" t="str">
        <x:v>Kampung Pasir, Tampoi/Skudai</x:v>
      </x:c>
      <x:c r="C37" s="12" t="str">
        <x:v>YES</x:v>
      </x:c>
      <x:c r="D37" s="12" t="n">
        <x:v>2017</x:v>
      </x:c>
      <x:c r="E37" s="12" t="str">
        <x:v>EVT-JB-20171114-KAMPUNG-PASIR-SKUDAI</x:v>
      </x:c>
      <x:c r="F37" s="18" t="n">
        <x:v>43053</x:v>
      </x:c>
      <x:c r="G37" s="12" t="str">
        <x:v>DG-JB-20171114</x:v>
      </x:c>
      <x:c r="H37" s="12" t="str">
        <x:v>JBLOC-0105</x:v>
      </x:c>
      <x:c r="I37" s="12" t="str">
        <x:v>LOC-JB-KG-PASIR-TAMPOI</x:v>
      </x:c>
      <x:c r="J37" s="12" t="str">
        <x:v>Kampung Pasir, Skudai</x:v>
      </x:c>
      <x:c r="K37" s="12" t="str">
        <x:v>Kampung Pasir, Tampoi</x:v>
      </x:c>
      <x:c r="L37" s="12" t="str">
        <x:v>Kampung</x:v>
      </x:c>
      <x:c r="M37" s="12" t="str">
        <x:v>Flood / flash flood</x:v>
      </x:c>
      <x:c r="N37" s="12" t="str">
        <x:v>Verified event evidence; spatial status per Location_Master</x:v>
      </x:c>
      <x:c r="O37" s="12" t="str">
        <x:v>SRC_R2017_JPS_2017_2018_TABLE</x:v>
      </x:c>
      <x:c r="P37" s="12"/>
      <x:c r="Q37" s="12" t="n">
        <x:v>103.6963972</x:v>
      </x:c>
      <x:c r="R37" s="12" t="n">
        <x:v>1.4999611</x:v>
      </x:c>
      <x:c r="S37" s="12" t="str">
        <x:v>YES</x:v>
      </x:c>
      <x:c r="T37" s="12" t="str">
        <x:v>PLOT</x:v>
      </x:c>
      <x:c r="U37" s="12"/>
      <x:c r="V37" s="12" t="str">
        <x:v>POLYGON READY NOT CLOSED</x:v>
      </x:c>
      <x:c r="W37" s="12" t="str">
        <x:v>https://bangi.pulasan.my/_media/lampiran/lbt2017-2018.pdf</x:v>
      </x:c>
      <x:c r="X37" s="12"/>
    </x:row>
    <x:row r="38">
      <x:c r="A38" s="12" t="str">
        <x:v>FLOC-0089</x:v>
      </x:c>
      <x:c r="B38" s="12" t="str">
        <x:v>Kampung Laut Batu 10, Skudai</x:v>
      </x:c>
      <x:c r="C38" s="12" t="str">
        <x:v>YES</x:v>
      </x:c>
      <x:c r="D38" s="12" t="n">
        <x:v>2017</x:v>
      </x:c>
      <x:c r="E38" s="12" t="str">
        <x:v>EVT-JB-20171213-KAMPUNG-LAUT-SKUDAI</x:v>
      </x:c>
      <x:c r="F38" s="18" t="n">
        <x:v>43082</x:v>
      </x:c>
      <x:c r="G38" s="12" t="str">
        <x:v>DG-JB-20171213</x:v>
      </x:c>
      <x:c r="H38" s="12" t="str">
        <x:v>JBLOC-0093</x:v>
      </x:c>
      <x:c r="I38" s="12" t="str">
        <x:v>LOC-JB-KG-LAUT-SKUDAI</x:v>
      </x:c>
      <x:c r="J38" s="12" t="str">
        <x:v>Kampung Laut, Skudai</x:v>
      </x:c>
      <x:c r="K38" s="12" t="str">
        <x:v>Kampung Laut Batu 10, Skudai</x:v>
      </x:c>
      <x:c r="L38" s="12" t="str">
        <x:v>Kampung</x:v>
      </x:c>
      <x:c r="M38" s="12" t="str">
        <x:v>Flood / flash flood</x:v>
      </x:c>
      <x:c r="N38" s="12" t="str">
        <x:v>Verified event evidence; spatial status per Location_Master</x:v>
      </x:c>
      <x:c r="O38" s="12" t="str">
        <x:v>SRC_R2017_JPS_2017_2018_TABLE</x:v>
      </x:c>
      <x:c r="P38" s="12"/>
      <x:c r="Q38" s="12" t="n">
        <x:v>103.6605</x:v>
      </x:c>
      <x:c r="R38" s="12" t="n">
        <x:v>1.5453</x:v>
      </x:c>
      <x:c r="S38" s="12" t="str">
        <x:v>YES</x:v>
      </x:c>
      <x:c r="T38" s="12" t="str">
        <x:v>PLOT</x:v>
      </x:c>
      <x:c r="U38" s="12"/>
      <x:c r="V38" s="12" t="str">
        <x:v>POINT; POLYGON PENDING</x:v>
      </x:c>
      <x:c r="W38" s="12" t="str">
        <x:v>https://bangi.pulasan.my/_media/lampiran/lbt2017-2018.pdf</x:v>
      </x:c>
      <x:c r="X38" s="12"/>
    </x:row>
    <x:row r="39">
      <x:c r="A39" s="12" t="str">
        <x:v>FLOC-0037</x:v>
      </x:c>
      <x:c r="B39" s="12" t="str">
        <x:v>Jalan Lingkaran Dalam, Johor Bahru</x:v>
      </x:c>
      <x:c r="C39" s="12" t="str">
        <x:v>YES</x:v>
      </x:c>
      <x:c r="D39" s="12" t="n">
        <x:v>2017</x:v>
      </x:c>
      <x:c r="E39" s="12" t="str">
        <x:v>EVT-JB-20171225-JALAN-LINGKARAN-DALAM-JOHOR-BAHRU</x:v>
      </x:c>
      <x:c r="F39" s="18" t="n">
        <x:v>43094</x:v>
      </x:c>
      <x:c r="G39" s="12" t="str">
        <x:v>DG-JB-20171225</x:v>
      </x:c>
      <x:c r="H39" s="12" t="str">
        <x:v>JBLOC-0040</x:v>
      </x:c>
      <x:c r="I39" s="12" t="str">
        <x:v>LOC-JB-JLN-LINGKARAN-DALAM</x:v>
      </x:c>
      <x:c r="J39" s="12" t="str">
        <x:v>Jalan Lingkaran Dalam, Johor Bahru</x:v>
      </x:c>
      <x:c r="K39" s="12" t="str">
        <x:v>Jalan Lingkaran Dalam, Johor Bahru</x:v>
      </x:c>
      <x:c r="L39" s="12" t="str">
        <x:v>ROAD</x:v>
      </x:c>
      <x:c r="M39" s="12" t="str">
        <x:v>Flood / flash flood</x:v>
      </x:c>
      <x:c r="N39" s="12" t="str">
        <x:v>Verified event evidence; spatial status per Location_Master</x:v>
      </x:c>
      <x:c r="O39" s="12" t="str">
        <x:v>SRC_R2017_JPS_2017_2018_TABLE</x:v>
      </x:c>
      <x:c r="P39" s="12"/>
      <x:c r="Q39" s="12" t="n">
        <x:v>103.749959</x:v>
      </x:c>
      <x:c r="R39" s="12" t="n">
        <x:v>1.4664595</x:v>
      </x:c>
      <x:c r="S39" s="12" t="str">
        <x:v>YES</x:v>
      </x:c>
      <x:c r="T39" s="12" t="str">
        <x:v>PLOT</x:v>
      </x:c>
      <x:c r="U39" s="12"/>
      <x:c r="V39" s="12" t="str">
        <x:v>ROAD REFERENCE RESOLVED; corridor polygon pending</x:v>
      </x:c>
      <x:c r="W39" s="12" t="str">
        <x:v>https://bangi.pulasan.my/_media/lampiran/lbt2017-2018.pdf</x:v>
      </x:c>
      <x:c r="X39" s="12"/>
    </x:row>
    <x:row r="40">
      <x:c r="A40" s="12" t="str">
        <x:v>FLOC-0024</x:v>
      </x:c>
      <x:c r="B40" s="12" t="str">
        <x:v>Jalan Denai Utama, Kempas</x:v>
      </x:c>
      <x:c r="C40" s="12" t="str">
        <x:v>YES</x:v>
      </x:c>
      <x:c r="D40" s="12" t="n">
        <x:v>2018</x:v>
      </x:c>
      <x:c r="E40" s="12" t="str">
        <x:v>EVT-JB-20180419-JALAN-DENAI-UTAMA-KEMPAS</x:v>
      </x:c>
      <x:c r="F40" s="18" t="n">
        <x:v>43209</x:v>
      </x:c>
      <x:c r="G40" s="12" t="str">
        <x:v>DG-JB-20180419</x:v>
      </x:c>
      <x:c r="H40" s="12" t="str">
        <x:v>JBLOC-0026</x:v>
      </x:c>
      <x:c r="I40" s="12" t="str">
        <x:v>LOC-JB-JLN-DENAI-UTAMA-KEMPAS</x:v>
      </x:c>
      <x:c r="J40" s="12" t="str">
        <x:v>Jalan Denai Utama, Kempas</x:v>
      </x:c>
      <x:c r="K40" s="12" t="str">
        <x:v>Jalan Denai Utama, Kempas</x:v>
      </x:c>
      <x:c r="L40" s="12" t="str">
        <x:v>Road</x:v>
      </x:c>
      <x:c r="M40" s="12" t="str">
        <x:v>Flood / flash flood</x:v>
      </x:c>
      <x:c r="N40" s="12" t="str">
        <x:v>Verified event evidence; spatial status per Location_Master</x:v>
      </x:c>
      <x:c r="O40" s="12" t="str">
        <x:v>SRC_R2018_JPS_2018_2019_TABLE</x:v>
      </x:c>
      <x:c r="P40" s="12"/>
      <x:c r="Q40" s="12" t="n">
        <x:v>103.71851</x:v>
      </x:c>
      <x:c r="R40" s="12" t="n">
        <x:v>1.514607</x:v>
      </x:c>
      <x:c r="S40" s="12" t="str">
        <x:v>YES</x:v>
      </x:c>
      <x:c r="T40" s="12" t="str">
        <x:v>PLOT</x:v>
      </x:c>
      <x:c r="U40" s="12"/>
      <x:c r="V40" s="12" t="str">
        <x:v>ROAD REFERENCE RESOLVED; event-segment polygon pending</x:v>
      </x:c>
      <x:c r="W40" s="12" t="str">
        <x:v>https://bangi.pulasan.my/_media/lampiran/lbt2018_2019.pdf</x:v>
      </x:c>
      <x:c r="X40" s="12" t="str">
        <x:v>JPS Johor Bahru event table.</x:v>
      </x:c>
    </x:row>
    <x:row r="41">
      <x:c r="A41" s="12" t="str">
        <x:v>FLOC-0124</x:v>
      </x:c>
      <x:c r="B41" s="12" t="str">
        <x:v>Kampung Ubi Baru</x:v>
      </x:c>
      <x:c r="C41" s="12" t="str">
        <x:v>YES</x:v>
      </x:c>
      <x:c r="D41" s="12" t="n">
        <x:v>2018</x:v>
      </x:c>
      <x:c r="E41" s="12" t="str">
        <x:v>EVT-JB-20180420-KAMPUNG-UBI-TEBRAU</x:v>
      </x:c>
      <x:c r="F41" s="18" t="n">
        <x:v>43210</x:v>
      </x:c>
      <x:c r="G41" s="12" t="str">
        <x:v>DG-JB-20180420</x:v>
      </x:c>
      <x:c r="H41" s="12" t="str">
        <x:v>JBLOC-0147</x:v>
      </x:c>
      <x:c r="I41" s="12" t="str">
        <x:v>LOC-JB-KG-UBI-2017</x:v>
      </x:c>
      <x:c r="J41" s="12" t="str">
        <x:v>Kampung Ubi, Tebrau</x:v>
      </x:c>
      <x:c r="K41" s="12" t="str">
        <x:v>Kampung Ubi Baru</x:v>
      </x:c>
      <x:c r="L41" s="12" t="str">
        <x:v>Kampung</x:v>
      </x:c>
      <x:c r="M41" s="12" t="str">
        <x:v>Flood / flash flood</x:v>
      </x:c>
      <x:c r="N41" s="12" t="str">
        <x:v>Verified event evidence; spatial status per Location_Master</x:v>
      </x:c>
      <x:c r="O41" s="12" t="str">
        <x:v>SRC_R2018_JPS_2018_2019_TABLE</x:v>
      </x:c>
      <x:c r="P41" s="12"/>
      <x:c r="Q41" s="12" t="n">
        <x:v>103.75707329</x:v>
      </x:c>
      <x:c r="R41" s="12" t="n">
        <x:v>1.5191611</x:v>
      </x:c>
      <x:c r="S41" s="12" t="str">
        <x:v>YES</x:v>
      </x:c>
      <x:c r="T41" s="12" t="str">
        <x:v>PLOT</x:v>
      </x:c>
      <x:c r="U41" s="12"/>
      <x:c r="V41" s="12" t="str">
        <x:v>POINT ONLY / POLYGON PENDING</x:v>
      </x:c>
      <x:c r="W41" s="12" t="str">
        <x:v>https://bangi.pulasan.my/_media/lampiran/lbt2018_2019.pdf</x:v>
      </x:c>
      <x:c r="X41" s="12" t="str">
        <x:v>Reuses the normalized Kampung Ubi Baru spatial object; source wording retained.</x:v>
      </x:c>
    </x:row>
    <x:row r="42">
      <x:c r="A42" s="12" t="str">
        <x:v>FLOC-0024</x:v>
      </x:c>
      <x:c r="B42" s="12" t="str">
        <x:v>Jalan Denai Utama, Kempas</x:v>
      </x:c>
      <x:c r="C42" s="12" t="str">
        <x:v>YES</x:v>
      </x:c>
      <x:c r="D42" s="12" t="n">
        <x:v>2018</x:v>
      </x:c>
      <x:c r="E42" s="12" t="str">
        <x:v>EVT-JB-20180420-JALAN-DENAI-UTAMA-KEMPAS</x:v>
      </x:c>
      <x:c r="F42" s="18" t="n">
        <x:v>43210</x:v>
      </x:c>
      <x:c r="G42" s="12" t="str">
        <x:v>DG-JB-20180420</x:v>
      </x:c>
      <x:c r="H42" s="12" t="str">
        <x:v>JBLOC-0026</x:v>
      </x:c>
      <x:c r="I42" s="12" t="str">
        <x:v>LOC-JB-JLN-DENAI-UTAMA-KEMPAS</x:v>
      </x:c>
      <x:c r="J42" s="12" t="str">
        <x:v>Jalan Denai Utama, Kempas</x:v>
      </x:c>
      <x:c r="K42" s="12" t="str">
        <x:v>Jalan Denai Utama, Kempas</x:v>
      </x:c>
      <x:c r="L42" s="12" t="str">
        <x:v>Road</x:v>
      </x:c>
      <x:c r="M42" s="12" t="str">
        <x:v>Flood / flash flood</x:v>
      </x:c>
      <x:c r="N42" s="12" t="str">
        <x:v>Verified event evidence; spatial status per Location_Master</x:v>
      </x:c>
      <x:c r="O42" s="12" t="str">
        <x:v>SRC_R2018_JPS_2018_2019_TABLE</x:v>
      </x:c>
      <x:c r="P42" s="12"/>
      <x:c r="Q42" s="12" t="n">
        <x:v>103.71851</x:v>
      </x:c>
      <x:c r="R42" s="12" t="n">
        <x:v>1.514607</x:v>
      </x:c>
      <x:c r="S42" s="12" t="str">
        <x:v>YES</x:v>
      </x:c>
      <x:c r="T42" s="12" t="str">
        <x:v>PLOT</x:v>
      </x:c>
      <x:c r="U42" s="12"/>
      <x:c r="V42" s="12" t="str">
        <x:v>ROAD REFERENCE RESOLVED; event-segment polygon pending</x:v>
      </x:c>
      <x:c r="W42" s="12" t="str">
        <x:v>https://bangi.pulasan.my/_media/lampiran/lbt2018_2019.pdf</x:v>
      </x:c>
      <x:c r="X42" s="12"/>
    </x:row>
    <x:row r="43">
      <x:c r="A43" s="12" t="str">
        <x:v>FLOC-0050</x:v>
      </x:c>
      <x:c r="B43" s="12" t="str">
        <x:v>Jalan Permatang, Kempas</x:v>
      </x:c>
      <x:c r="C43" s="12" t="str">
        <x:v>YES</x:v>
      </x:c>
      <x:c r="D43" s="12" t="n">
        <x:v>2018</x:v>
      </x:c>
      <x:c r="E43" s="12" t="str">
        <x:v>EVT-JB-20180420-JALAN-PERMATANG-KEMPAS</x:v>
      </x:c>
      <x:c r="F43" s="18" t="n">
        <x:v>43210</x:v>
      </x:c>
      <x:c r="G43" s="12" t="str">
        <x:v>DG-JB-20180420</x:v>
      </x:c>
      <x:c r="H43" s="12" t="str">
        <x:v>JBLOC-0051</x:v>
      </x:c>
      <x:c r="I43" s="12" t="str">
        <x:v>LOC-JB-JLN-PERMATANG-KEMPAS</x:v>
      </x:c>
      <x:c r="J43" s="12" t="str">
        <x:v>Jalan Permatang, Kempas</x:v>
      </x:c>
      <x:c r="K43" s="12" t="str">
        <x:v>Jalan Permatang, Kempas</x:v>
      </x:c>
      <x:c r="L43" s="12" t="str">
        <x:v>Road</x:v>
      </x:c>
      <x:c r="M43" s="12" t="str">
        <x:v>Flood / flash flood</x:v>
      </x:c>
      <x:c r="N43" s="12" t="str">
        <x:v>Verified event evidence; spatial status per Location_Master</x:v>
      </x:c>
      <x:c r="O43" s="12" t="str">
        <x:v>SRC_R2018_JPS_2018_2019_TABLE</x:v>
      </x:c>
      <x:c r="P43" s="12"/>
      <x:c r="Q43" s="12" t="n">
        <x:v>103.7232702328</x:v>
      </x:c>
      <x:c r="R43" s="12" t="n">
        <x:v>1.5353449124</x:v>
      </x:c>
      <x:c r="S43" s="12" t="str">
        <x:v>YES</x:v>
      </x:c>
      <x:c r="T43" s="12" t="str">
        <x:v>PLOT</x:v>
      </x:c>
      <x:c r="U43" s="12"/>
      <x:c r="V43" s="12" t="str">
        <x:v>ROAD REFERENCE RESOLVED; event-segment polygon pending</x:v>
      </x:c>
      <x:c r="W43" s="12" t="str">
        <x:v>https://bangi.pulasan.my/_media/lampiran/lbt2018_2019.pdf</x:v>
      </x:c>
      <x:c r="X43" s="12"/>
    </x:row>
    <x:row r="44">
      <x:c r="A44" s="12" t="str">
        <x:v>FLOC-0112</x:v>
      </x:c>
      <x:c r="B44" s="12" t="str">
        <x:v>Kampung Skudai Kiri</x:v>
      </x:c>
      <x:c r="C44" s="12" t="str">
        <x:v>YES</x:v>
      </x:c>
      <x:c r="D44" s="12" t="n">
        <x:v>2018</x:v>
      </x:c>
      <x:c r="E44" s="12" t="str">
        <x:v>EVT-JB-20180420-KAMPUNG-SKUDAI-KIRI</x:v>
      </x:c>
      <x:c r="F44" s="18" t="n">
        <x:v>43210</x:v>
      </x:c>
      <x:c r="G44" s="12" t="str">
        <x:v>DG-JB-20180420</x:v>
      </x:c>
      <x:c r="H44" s="12" t="str">
        <x:v>JBLOC-0132</x:v>
      </x:c>
      <x:c r="I44" s="12" t="str">
        <x:v>LOC-JB-KG-SKUDAI-KIRI</x:v>
      </x:c>
      <x:c r="J44" s="12" t="str">
        <x:v>Kampung Skudai Kiri</x:v>
      </x:c>
      <x:c r="K44" s="12" t="str">
        <x:v>Kampung Skudai Kiri</x:v>
      </x:c>
      <x:c r="L44" s="12" t="str">
        <x:v>Neighborhood</x:v>
      </x:c>
      <x:c r="M44" s="12" t="str">
        <x:v>Flood / flash flood</x:v>
      </x:c>
      <x:c r="N44" s="12" t="str">
        <x:v>Verified event evidence; spatial status per Location_Master</x:v>
      </x:c>
      <x:c r="O44" s="12" t="str">
        <x:v>SRC_R2018_JPS_2018_2019_TABLE</x:v>
      </x:c>
      <x:c r="P44" s="12"/>
      <x:c r="Q44" s="12" t="n">
        <x:v>103.71164</x:v>
      </x:c>
      <x:c r="R44" s="12" t="n">
        <x:v>1.48682</x:v>
      </x:c>
      <x:c r="S44" s="12" t="str">
        <x:v>YES</x:v>
      </x:c>
      <x:c r="T44" s="12" t="str">
        <x:v>PLOT</x:v>
      </x:c>
      <x:c r="U44" s="12"/>
      <x:c r="V44" s="12" t="str">
        <x:v>POINT RESOLVED; closed neighbourhood boundary not found</x:v>
      </x:c>
      <x:c r="W44" s="12" t="str">
        <x:v>https://bangi.pulasan.my/_media/lampiran/lbt2018_2019.pdf</x:v>
      </x:c>
      <x:c r="X44" s="12"/>
    </x:row>
    <x:row r="45">
      <x:c r="A45" s="12" t="str">
        <x:v>FLOC-0108</x:v>
      </x:c>
      <x:c r="B45" s="12" t="str">
        <x:v>Kampung Pulai, Ulu Pulai</x:v>
      </x:c>
      <x:c r="C45" s="12" t="str">
        <x:v>YES</x:v>
      </x:c>
      <x:c r="D45" s="12" t="n">
        <x:v>2018</x:v>
      </x:c>
      <x:c r="E45" s="12" t="str">
        <x:v>EVT-JB-20180517-KAMPUNG-PULAI-ULU-PULAI</x:v>
      </x:c>
      <x:c r="F45" s="18" t="n">
        <x:v>43237</x:v>
      </x:c>
      <x:c r="G45" s="12" t="str">
        <x:v>DG-JB-20180517</x:v>
      </x:c>
      <x:c r="H45" s="12" t="str">
        <x:v>JBLOC-0120</x:v>
      </x:c>
      <x:c r="I45" s="12" t="str">
        <x:v>LOC-JB-KG-PULAI-ULU-PULAI</x:v>
      </x:c>
      <x:c r="J45" s="12" t="str">
        <x:v>Kampung Pulai, Ulu Pulai</x:v>
      </x:c>
      <x:c r="K45" s="12" t="str">
        <x:v>Kampung Pulai</x:v>
      </x:c>
      <x:c r="L45" s="12" t="str">
        <x:v>Kampung</x:v>
      </x:c>
      <x:c r="M45" s="12" t="str">
        <x:v>Flood / flash flood</x:v>
      </x:c>
      <x:c r="N45" s="12" t="str">
        <x:v>Verified event evidence; spatial status per Location_Master</x:v>
      </x:c>
      <x:c r="O45" s="12" t="str">
        <x:v>SRC_R2018_JPS_2018_2019_TABLE</x:v>
      </x:c>
      <x:c r="P45" s="12"/>
      <x:c r="Q45" s="12" t="n">
        <x:v>103.56799503</x:v>
      </x:c>
      <x:c r="R45" s="12" t="n">
        <x:v>1.47115514</x:v>
      </x:c>
      <x:c r="S45" s="12" t="str">
        <x:v>YES</x:v>
      </x:c>
      <x:c r="T45" s="12" t="str">
        <x:v>PLOT</x:v>
      </x:c>
      <x:c r="U45" s="12"/>
      <x:c r="V45" s="12" t="str">
        <x:v>POINT; polygon pending</x:v>
      </x:c>
      <x:c r="W45" s="12" t="str">
        <x:v>https://bangi.pulasan.my/_media/lampiran/lbt2018_2019.pdf</x:v>
      </x:c>
      <x:c r="X45" s="12"/>
    </x:row>
    <x:row r="46">
      <x:c r="A46" s="12" t="str">
        <x:v>FLOC-0159</x:v>
      </x:c>
      <x:c r="B46" s="12" t="str">
        <x:v>Rumah Seri Kenangan Johor Bahru</x:v>
      </x:c>
      <x:c r="C46" s="12" t="str">
        <x:v>YES</x:v>
      </x:c>
      <x:c r="D46" s="12" t="n">
        <x:v>2018</x:v>
      </x:c>
      <x:c r="E46" s="12" t="str">
        <x:v>EVT-JB-20181009-RUMAH-SERI-KENANGAN-KAMPUNG-UNGKU-MOHSIN</x:v>
      </x:c>
      <x:c r="F46" s="18" t="n">
        <x:v>43382</x:v>
      </x:c>
      <x:c r="G46" s="12" t="str">
        <x:v>DG-JB-20181009</x:v>
      </x:c>
      <x:c r="H46" s="12" t="str">
        <x:v>JBLOC-0175</x:v>
      </x:c>
      <x:c r="I46" s="12" t="str">
        <x:v>LOC-JB-RSK-UNGKU-MOHSIN</x:v>
      </x:c>
      <x:c r="J46" s="12" t="str">
        <x:v>Rumah Seri Kenangan, Kampung Ungku Mohsin</x:v>
      </x:c>
      <x:c r="K46" s="12" t="str">
        <x:v>Rumah Seri Kenangan Johor Bahru</x:v>
      </x:c>
      <x:c r="L46" s="12" t="str">
        <x:v>Government welfare facility</x:v>
      </x:c>
      <x:c r="M46" s="12" t="str">
        <x:v>Flood-triggered landslide / secondary impact</x:v>
      </x:c>
      <x:c r="N46" s="12" t="str">
        <x:v>Verified event evidence; spatial status per Location_Master</x:v>
      </x:c>
      <x:c r="O46" s="12" t="str">
        <x:v>SRC_R2018_UTUSAN_20181011_RSK</x:v>
      </x:c>
      <x:c r="P46" s="12"/>
      <x:c r="Q46" s="12" t="n">
        <x:v>103.7389388</x:v>
      </x:c>
      <x:c r="R46" s="12" t="n">
        <x:v>1.51349551</x:v>
      </x:c>
      <x:c r="S46" s="12" t="str">
        <x:v>NO</x:v>
      </x:c>
      <x:c r="T46" s="12" t="str">
        <x:v>DO NOT PLOT</x:v>
      </x:c>
      <x:c r="U46" s="12"/>
      <x:c r="V46" s="12" t="str">
        <x:v>CLOSED PARENT-COMMUNITY BOUNDARY SOURCE VERIFIED; exact facility WKT pending</x:v>
      </x:c>
      <x:c r="W46" s="12" t="str">
        <x:v>https://www.utusan.com.my/nasional/2018/10/tanah-runtuh168-penghuni-rumah-kenangan-terjejas/</x:v>
      </x:c>
      <x:c r="X46" s="12" t="str">
        <x:v>Retained because the article explicitly links heavy rain/flash flooding to the landslide at the facility. Not treated as an inundation-footprint record.</x:v>
      </x:c>
    </x:row>
    <x:row r="47">
      <x:c r="A47" s="12" t="str">
        <x:v>FLOC-0094</x:v>
      </x:c>
      <x:c r="B47" s="12" t="str">
        <x:v>Kampung Mohd Amin, Kolam Air</x:v>
      </x:c>
      <x:c r="C47" s="12" t="str">
        <x:v>YES</x:v>
      </x:c>
      <x:c r="D47" s="12" t="n">
        <x:v>2018</x:v>
      </x:c>
      <x:c r="E47" s="12" t="str">
        <x:v>EVT-JB-20181010-KAMPUNG-MOHD-AMIN-KOLAM-AIR</x:v>
      </x:c>
      <x:c r="F47" s="18" t="n">
        <x:v>43383</x:v>
      </x:c>
      <x:c r="G47" s="12" t="str">
        <x:v>DG-JB-20181010</x:v>
      </x:c>
      <x:c r="H47" s="12" t="str">
        <x:v>JBLOC-0103</x:v>
      </x:c>
      <x:c r="I47" s="12" t="str">
        <x:v>LOC-JB-KG-MOHD-AMIN-KOLAM-AIR</x:v>
      </x:c>
      <x:c r="J47" s="12" t="str">
        <x:v>Kampung Mohd Amin, Kolam Air</x:v>
      </x:c>
      <x:c r="K47" s="12" t="str">
        <x:v>Kampung Mohd Amin, Kolam Air</x:v>
      </x:c>
      <x:c r="L47" s="12" t="str">
        <x:v>Kampung</x:v>
      </x:c>
      <x:c r="M47" s="12" t="str">
        <x:v>Flood / flash flood</x:v>
      </x:c>
      <x:c r="N47" s="12" t="str">
        <x:v>Verified event evidence; spatial status per Location_Master</x:v>
      </x:c>
      <x:c r="O47" s="12" t="str">
        <x:v>SRC_R2018_JPS_2018_2019_TABLE</x:v>
      </x:c>
      <x:c r="P47" s="12"/>
      <x:c r="Q47" s="12" t="n">
        <x:v>103.73541</x:v>
      </x:c>
      <x:c r="R47" s="12" t="n">
        <x:v>1.46736</x:v>
      </x:c>
      <x:c r="S47" s="12" t="str">
        <x:v>YES</x:v>
      </x:c>
      <x:c r="T47" s="12" t="str">
        <x:v>PLOT</x:v>
      </x:c>
      <x:c r="U47" s="12"/>
      <x:c r="V47" s="12" t="str">
        <x:v>POINT; POLYGON PENDING</x:v>
      </x:c>
      <x:c r="W47" s="12" t="str">
        <x:v>https://bangi.pulasan.my/_media/lampiran/lbt2018_2019.pdf</x:v>
      </x:c>
      <x:c r="X47" s="12" t="str">
        <x:v>Corroborated by Malay Mail/Civil Defence.</x:v>
      </x:c>
    </x:row>
    <x:row r="48">
      <x:c r="A48" s="12" t="str">
        <x:v>FLOC-0023</x:v>
      </x:c>
      <x:c r="B48" s="12" t="str">
        <x:v>Jalan Dato Sulaiman</x:v>
      </x:c>
      <x:c r="C48" s="12" t="str">
        <x:v>YES</x:v>
      </x:c>
      <x:c r="D48" s="12" t="n">
        <x:v>2018</x:v>
      </x:c>
      <x:c r="E48" s="12" t="str">
        <x:v>EVT-JB-20181010-JALAN-DATO-SULAIMAN-JOHOR-BAHRU</x:v>
      </x:c>
      <x:c r="F48" s="18" t="n">
        <x:v>43383</x:v>
      </x:c>
      <x:c r="G48" s="12" t="str">
        <x:v>DG-JB-20181010</x:v>
      </x:c>
      <x:c r="H48" s="12" t="str">
        <x:v>JBLOC-0025</x:v>
      </x:c>
      <x:c r="I48" s="12" t="str">
        <x:v>LOC-JB-JLN-DATO-SULAIMAN</x:v>
      </x:c>
      <x:c r="J48" s="12" t="str">
        <x:v>Jalan Dato' Sulaiman, Johor Bahru</x:v>
      </x:c>
      <x:c r="K48" s="12" t="str">
        <x:v>Jalan Dato' Sulaiman</x:v>
      </x:c>
      <x:c r="L48" s="12" t="str">
        <x:v>Road</x:v>
      </x:c>
      <x:c r="M48" s="12" t="str">
        <x:v>Flood / flash flood</x:v>
      </x:c>
      <x:c r="N48" s="12" t="str">
        <x:v>Verified event evidence; spatial status per Location_Master</x:v>
      </x:c>
      <x:c r="O48" s="12" t="str">
        <x:v>SRC_R2018_JPS_2018_2019_TABLE</x:v>
      </x:c>
      <x:c r="P48" s="12"/>
      <x:c r="Q48" s="12" t="n">
        <x:v>103.7571918</x:v>
      </x:c>
      <x:c r="R48" s="12" t="n">
        <x:v>1.4828752</x:v>
      </x:c>
      <x:c r="S48" s="12" t="str">
        <x:v>YES</x:v>
      </x:c>
      <x:c r="T48" s="12" t="str">
        <x:v>PLOT</x:v>
      </x:c>
      <x:c r="U48" s="12"/>
      <x:c r="V48" s="12" t="str">
        <x:v>ROAD REFERENCE RESOLVED; event-segment polygon pending</x:v>
      </x:c>
      <x:c r="W48" s="12" t="str">
        <x:v>https://bangi.pulasan.my/_media/lampiran/lbt2018_2019.pdf</x:v>
      </x:c>
      <x:c r="X48" s="12" t="str">
        <x:v>Both frozen same-named HF IDs retained as references; not merged.</x:v>
      </x:c>
    </x:row>
    <x:row r="49">
      <x:c r="A49" s="12" t="str">
        <x:v>FLOC-0082</x:v>
      </x:c>
      <x:c r="B49" s="12" t="str">
        <x:v>Kampung Dato Sulaiman Menteri</x:v>
      </x:c>
      <x:c r="C49" s="12" t="str">
        <x:v>YES</x:v>
      </x:c>
      <x:c r="D49" s="12" t="n">
        <x:v>2018</x:v>
      </x:c>
      <x:c r="E49" s="12" t="str">
        <x:v>EVT-JB-20181010-KAMPUNG-DATO-SULAIMAN-MENTERI</x:v>
      </x:c>
      <x:c r="F49" s="18" t="n">
        <x:v>43383</x:v>
      </x:c>
      <x:c r="G49" s="12" t="str">
        <x:v>DG-JB-20181010</x:v>
      </x:c>
      <x:c r="H49" s="12" t="str">
        <x:v>JBLOC-0087</x:v>
      </x:c>
      <x:c r="I49" s="12" t="str">
        <x:v>LOC-JB-KG-DATO-SULAIMAN-MENTERI</x:v>
      </x:c>
      <x:c r="J49" s="12" t="str">
        <x:v>Kampung Dato' Sulaiman Menteri</x:v>
      </x:c>
      <x:c r="K49" s="12" t="str">
        <x:v>Kampung Dato Sulaiman Menteri</x:v>
      </x:c>
      <x:c r="L49" s="12" t="str">
        <x:v>Kampung</x:v>
      </x:c>
      <x:c r="M49" s="12" t="str">
        <x:v>Flood / flash flood</x:v>
      </x:c>
      <x:c r="N49" s="12" t="str">
        <x:v>Verified event evidence; spatial status per Location_Master</x:v>
      </x:c>
      <x:c r="O49" s="12" t="str">
        <x:v>SRC_R2018_JPS_2018_2019_TABLE</x:v>
      </x:c>
      <x:c r="P49" s="12"/>
      <x:c r="Q49" s="12" t="n">
        <x:v>103.76665</x:v>
      </x:c>
      <x:c r="R49" s="12" t="n">
        <x:v>1.50759</x:v>
      </x:c>
      <x:c r="S49" s="12" t="str">
        <x:v>YES</x:v>
      </x:c>
      <x:c r="T49" s="12" t="str">
        <x:v>PLOT</x:v>
      </x:c>
      <x:c r="U49" s="12"/>
      <x:c r="V49" s="12" t="str">
        <x:v>POINT RESOLVED; community polygon pending</x:v>
      </x:c>
      <x:c r="W49" s="12" t="str">
        <x:v>https://bangi.pulasan.my/_media/lampiran/lbt2018_2019.pdf</x:v>
      </x:c>
      <x:c r="X49" s="12"/>
    </x:row>
    <x:row r="50">
      <x:c r="A50" s="12" t="str">
        <x:v>FLOC-0076</x:v>
      </x:c>
      <x:c r="B50" s="12" t="str">
        <x:v>Kampung Belantik</x:v>
      </x:c>
      <x:c r="C50" s="12" t="str">
        <x:v>YES</x:v>
      </x:c>
      <x:c r="D50" s="12" t="n">
        <x:v>2018</x:v>
      </x:c>
      <x:c r="E50" s="12" t="str">
        <x:v>EVT-JB-20181010-KAMPUNG-BELANTIK</x:v>
      </x:c>
      <x:c r="F50" s="18" t="n">
        <x:v>43383</x:v>
      </x:c>
      <x:c r="G50" s="12" t="str">
        <x:v>DG-JB-20181010</x:v>
      </x:c>
      <x:c r="H50" s="12" t="str">
        <x:v>JBLOC-0079</x:v>
      </x:c>
      <x:c r="I50" s="12" t="str">
        <x:v>LOC-JB-KG-BELANTIK</x:v>
      </x:c>
      <x:c r="J50" s="12" t="str">
        <x:v>Kampung Belantik</x:v>
      </x:c>
      <x:c r="K50" s="12" t="str">
        <x:v>Kampung Belantik</x:v>
      </x:c>
      <x:c r="L50" s="12" t="str">
        <x:v>Kampung</x:v>
      </x:c>
      <x:c r="M50" s="12" t="str">
        <x:v>Flood / flash flood</x:v>
      </x:c>
      <x:c r="N50" s="12" t="str">
        <x:v>Verified event evidence; spatial status per Location_Master</x:v>
      </x:c>
      <x:c r="O50" s="12" t="str">
        <x:v>SRC_R2018_JPS_2018_2019_TABLE</x:v>
      </x:c>
      <x:c r="P50" s="12"/>
      <x:c r="Q50" s="12" t="n">
        <x:v>103.76650814</x:v>
      </x:c>
      <x:c r="R50" s="12" t="n">
        <x:v>1.51378258</x:v>
      </x:c>
      <x:c r="S50" s="12" t="str">
        <x:v>YES</x:v>
      </x:c>
      <x:c r="T50" s="12" t="str">
        <x:v>PLOT</x:v>
      </x:c>
      <x:c r="U50" s="12"/>
      <x:c r="V50" s="12" t="str">
        <x:v>POINT RESOLVED; community polygon pending</x:v>
      </x:c>
      <x:c r="W50" s="12" t="str">
        <x:v>https://bangi.pulasan.my/_media/lampiran/lbt2018_2019.pdf</x:v>
      </x:c>
      <x:c r="X50" s="12" t="str">
        <x:v>Split from the JPS combined label 'Kg Belantik/Kg Bendahara' to preserve both named locations.</x:v>
      </x:c>
    </x:row>
    <x:row r="51">
      <x:c r="A51" s="12" t="str">
        <x:v>FLOC-0077</x:v>
      </x:c>
      <x:c r="B51" s="12" t="str">
        <x:v>Kampung Bendahara</x:v>
      </x:c>
      <x:c r="C51" s="12" t="str">
        <x:v>YES</x:v>
      </x:c>
      <x:c r="D51" s="12" t="n">
        <x:v>2018</x:v>
      </x:c>
      <x:c r="E51" s="12" t="str">
        <x:v>EVT-JB-20181010-KAMPUNG-BENDAHARA</x:v>
      </x:c>
      <x:c r="F51" s="18" t="n">
        <x:v>43383</x:v>
      </x:c>
      <x:c r="G51" s="12" t="str">
        <x:v>DG-JB-20181010</x:v>
      </x:c>
      <x:c r="H51" s="12" t="str">
        <x:v>JBLOC-0080</x:v>
      </x:c>
      <x:c r="I51" s="12" t="str">
        <x:v>LOC-JB-KG-BENDAHARA</x:v>
      </x:c>
      <x:c r="J51" s="12" t="str">
        <x:v>Kampung Bendahara</x:v>
      </x:c>
      <x:c r="K51" s="12" t="str">
        <x:v>Kampung Bendahara</x:v>
      </x:c>
      <x:c r="L51" s="12" t="str">
        <x:v>Kampung</x:v>
      </x:c>
      <x:c r="M51" s="12" t="str">
        <x:v>Flood / flash flood</x:v>
      </x:c>
      <x:c r="N51" s="12" t="str">
        <x:v>Verified event evidence; spatial status per Location_Master</x:v>
      </x:c>
      <x:c r="O51" s="12" t="str">
        <x:v>SRC_R2018_JPS_2018_2019_TABLE</x:v>
      </x:c>
      <x:c r="P51" s="12"/>
      <x:c r="Q51" s="12" t="n">
        <x:v>103.76172305</x:v>
      </x:c>
      <x:c r="R51" s="12" t="n">
        <x:v>1.51167426</x:v>
      </x:c>
      <x:c r="S51" s="12" t="str">
        <x:v>YES</x:v>
      </x:c>
      <x:c r="T51" s="12" t="str">
        <x:v>PLOT</x:v>
      </x:c>
      <x:c r="U51" s="12"/>
      <x:c r="V51" s="12" t="str">
        <x:v>POINT RESOLVED; community polygon pending</x:v>
      </x:c>
      <x:c r="W51" s="12" t="str">
        <x:v>https://bangi.pulasan.my/_media/lampiran/lbt2018_2019.pdf</x:v>
      </x:c>
      <x:c r="X51" s="12" t="str">
        <x:v>Split from JPS combined label and corroborated by Malay Mail/Civil Defence.</x:v>
      </x:c>
    </x:row>
    <x:row r="52">
      <x:c r="A52" s="12" t="str">
        <x:v>FLOC-0067</x:v>
      </x:c>
      <x:c r="B52" s="12" t="str">
        <x:v>Jalan Tebrau, Taman Sentosa</x:v>
      </x:c>
      <x:c r="C52" s="12" t="str">
        <x:v>YES</x:v>
      </x:c>
      <x:c r="D52" s="12" t="n">
        <x:v>2018</x:v>
      </x:c>
      <x:c r="E52" s="12" t="str">
        <x:v>EVT-JB-20181010-JALAN-TEBRAU-TAMAN-SENTOSA</x:v>
      </x:c>
      <x:c r="F52" s="18" t="n">
        <x:v>43383</x:v>
      </x:c>
      <x:c r="G52" s="12" t="str">
        <x:v>DG-JB-20181010</x:v>
      </x:c>
      <x:c r="H52" s="12" t="str">
        <x:v>JBLOC-0069</x:v>
      </x:c>
      <x:c r="I52" s="12" t="str">
        <x:v>LOC-JB-JLN-TEBRAU-TAMAN-SENTOSA</x:v>
      </x:c>
      <x:c r="J52" s="12" t="str">
        <x:v>Jalan Tebrau, Taman Sentosa</x:v>
      </x:c>
      <x:c r="K52" s="12" t="str">
        <x:v>Jalan Tebrau, Taman Sentosa</x:v>
      </x:c>
      <x:c r="L52" s="12" t="str">
        <x:v>Road-area event reference</x:v>
      </x:c>
      <x:c r="M52" s="12" t="str">
        <x:v>Flood / flash flood</x:v>
      </x:c>
      <x:c r="N52" s="12" t="str">
        <x:v>Verified event evidence; spatial status per Location_Master</x:v>
      </x:c>
      <x:c r="O52" s="12" t="str">
        <x:v>SRC_R2018_MMAIL_20181010</x:v>
      </x:c>
      <x:c r="P52" s="12"/>
      <x:c r="Q52" s="12" t="n">
        <x:v>103.7773</x:v>
      </x:c>
      <x:c r="R52" s="12" t="n">
        <x:v>1.4942</x:v>
      </x:c>
      <x:c r="S52" s="12" t="str">
        <x:v>YES</x:v>
      </x:c>
      <x:c r="T52" s="12" t="str">
        <x:v>PLOT</x:v>
      </x:c>
      <x:c r="U52" s="12"/>
      <x:c r="V52" s="12" t="str">
        <x:v>ROAD AREA REFERENCE; exact segment polygon pending</x:v>
      </x:c>
      <x:c r="W52" s="12" t="str">
        <x:v>https://www.malaymail.com/news/malaysia/2018/10/10/heavy-rain-flash-floods-make-life-hard-for-jbs-elderly/1681455</x:v>
      </x:c>
      <x:c r="X52" s="12" t="str">
        <x:v>News explicitly reports two elderly women trapped by flash flooding along Jalan Tebrau in Taman Sentosa.</x:v>
      </x:c>
    </x:row>
    <x:row r="53">
      <x:c r="A53" s="12" t="str">
        <x:v>FLOC-0083</x:v>
      </x:c>
      <x:c r="B53" s="12" t="str">
        <x:v>Kampung Dato' Hajah Hasnah Ahmad</x:v>
      </x:c>
      <x:c r="C53" s="12" t="str">
        <x:v>YES</x:v>
      </x:c>
      <x:c r="D53" s="12" t="n">
        <x:v>2018</x:v>
      </x:c>
      <x:c r="E53" s="12" t="str">
        <x:v>EVT-JB-20181010-KAMPUNG-HAJAH-HASNAH</x:v>
      </x:c>
      <x:c r="F53" s="18" t="n">
        <x:v>43383</x:v>
      </x:c>
      <x:c r="G53" s="12" t="str">
        <x:v>DG-JB-20181010</x:v>
      </x:c>
      <x:c r="H53" s="12" t="str">
        <x:v>JBLOC-0086</x:v>
      </x:c>
      <x:c r="I53" s="12" t="str">
        <x:v>LOC-JB-KG-HAJAH-HASNAH</x:v>
      </x:c>
      <x:c r="J53" s="12" t="str">
        <x:v>Kampung Hajah Hasnah</x:v>
      </x:c>
      <x:c r="K53" s="12" t="str">
        <x:v>Kampung Dato' Hajah Hasnah Ahmad</x:v>
      </x:c>
      <x:c r="L53" s="12" t="str">
        <x:v>Kampung</x:v>
      </x:c>
      <x:c r="M53" s="12" t="str">
        <x:v>Flood / flash flood</x:v>
      </x:c>
      <x:c r="N53" s="12" t="str">
        <x:v>Verified event evidence; spatial status per Location_Master</x:v>
      </x:c>
      <x:c r="O53" s="12" t="str">
        <x:v>SRC_R2018_MMAIL_20181010</x:v>
      </x:c>
      <x:c r="P53" s="12"/>
      <x:c r="Q53" s="12" t="n">
        <x:v>103.76902</x:v>
      </x:c>
      <x:c r="R53" s="12" t="n">
        <x:v>1.50481</x:v>
      </x:c>
      <x:c r="S53" s="12" t="str">
        <x:v>YES</x:v>
      </x:c>
      <x:c r="T53" s="12" t="str">
        <x:v>PLOT</x:v>
      </x:c>
      <x:c r="U53" s="12"/>
      <x:c r="V53" s="12" t="str">
        <x:v>POINT RESOLVED; community polygon pending</x:v>
      </x:c>
      <x:c r="W53" s="12" t="str">
        <x:v>https://www.malaymail.com/news/malaysia/2018/10/10/heavy-rain-flash-floods-make-life-hard-for-jbs-elderly/1681455</x:v>
      </x:c>
      <x:c r="X53" s="12" t="str">
        <x:v>Canonical mapped locality stored as Kampung Dato' Hajah Hasnah Ahmad; source shorthand retained in event label.</x:v>
      </x:c>
    </x:row>
    <x:row r="54">
      <x:c r="A54" s="12" t="str">
        <x:v>FLOC-0034</x:v>
      </x:c>
      <x:c r="B54" s="12" t="str">
        <x:v>Jalan Kijang</x:v>
      </x:c>
      <x:c r="C54" s="12" t="str">
        <x:v>YES</x:v>
      </x:c>
      <x:c r="D54" s="12" t="n">
        <x:v>2018</x:v>
      </x:c>
      <x:c r="E54" s="12" t="str">
        <x:v>EVT-JB-20181010-JALAN-KIJANG</x:v>
      </x:c>
      <x:c r="F54" s="18" t="n">
        <x:v>43383</x:v>
      </x:c>
      <x:c r="G54" s="12" t="str">
        <x:v>DG-JB-20181010</x:v>
      </x:c>
      <x:c r="H54" s="12" t="str">
        <x:v>JBLOC-0036</x:v>
      </x:c>
      <x:c r="I54" s="12" t="str">
        <x:v>LOC-JB-JLN-KIJANG</x:v>
      </x:c>
      <x:c r="J54" s="12" t="str">
        <x:v>Jalan Kijang</x:v>
      </x:c>
      <x:c r="K54" s="12" t="str">
        <x:v>Jalan Kijang</x:v>
      </x:c>
      <x:c r="L54" s="12" t="str">
        <x:v>Road</x:v>
      </x:c>
      <x:c r="M54" s="12" t="str">
        <x:v>Flood / flash flood</x:v>
      </x:c>
      <x:c r="N54" s="12" t="str">
        <x:v>Verified event evidence; spatial status per Location_Master</x:v>
      </x:c>
      <x:c r="O54" s="12" t="str">
        <x:v>SRC_R2018_MMAIL_20181010</x:v>
      </x:c>
      <x:c r="P54" s="12"/>
      <x:c r="Q54" s="12" t="n">
        <x:v>103.7625739</x:v>
      </x:c>
      <x:c r="R54" s="12" t="n">
        <x:v>1.4864896</x:v>
      </x:c>
      <x:c r="S54" s="12" t="str">
        <x:v>YES</x:v>
      </x:c>
      <x:c r="T54" s="12" t="str">
        <x:v>PLOT</x:v>
      </x:c>
      <x:c r="U54" s="12"/>
      <x:c r="V54" s="12" t="str">
        <x:v>ROAD REFERENCE RESOLVED; event-segment polygon pending</x:v>
      </x:c>
      <x:c r="W54" s="12" t="str">
        <x:v>https://www.malaymail.com/news/malaysia/2018/10/10/heavy-rain-flash-floods-make-life-hard-for-jbs-elderly/1681455</x:v>
      </x:c>
      <x:c r="X54" s="12"/>
    </x:row>
    <x:row r="55">
      <x:c r="A55" s="12" t="str">
        <x:v>FLOC-0092</x:v>
      </x:c>
      <x:c r="B55" s="12" t="str">
        <x:v>Kampung Melayu Majidi</x:v>
      </x:c>
      <x:c r="C55" s="12" t="str">
        <x:v>YES</x:v>
      </x:c>
      <x:c r="D55" s="12" t="n">
        <x:v>2018</x:v>
      </x:c>
      <x:c r="E55" s="12" t="str">
        <x:v>EVT-JB-20181010-KAMPUNG-MELAYU</x:v>
      </x:c>
      <x:c r="F55" s="18" t="n">
        <x:v>43383</x:v>
      </x:c>
      <x:c r="G55" s="12" t="str">
        <x:v>DG-JB-20181010</x:v>
      </x:c>
      <x:c r="H55" s="12" t="str">
        <x:v>JBLOC-0098</x:v>
      </x:c>
      <x:c r="I55" s="12" t="str">
        <x:v>LOC-CAND-JB-KG-MELAYU-2018</x:v>
      </x:c>
      <x:c r="J55" s="12" t="str">
        <x:v>Kampung Melayu</x:v>
      </x:c>
      <x:c r="K55" s="12" t="str">
        <x:v>Kg. Melayu Majidi</x:v>
      </x:c>
      <x:c r="L55" s="12" t="str">
        <x:v>Kampung</x:v>
      </x:c>
      <x:c r="M55" s="12" t="str">
        <x:v>Flood / flash flood</x:v>
      </x:c>
      <x:c r="N55" s="12" t="str">
        <x:v>Verified event evidence; spatial status per Location_Master</x:v>
      </x:c>
      <x:c r="O55" s="12" t="str">
        <x:v>SRC_R2018_MMAIL_20181010</x:v>
      </x:c>
      <x:c r="P55" s="12"/>
      <x:c r="Q55" s="12" t="n">
        <x:v>103.75192484</x:v>
      </x:c>
      <x:c r="R55" s="12" t="n">
        <x:v>1.51174352</x:v>
      </x:c>
      <x:c r="S55" s="12" t="str">
        <x:v>YES</x:v>
      </x:c>
      <x:c r="T55" s="12" t="str">
        <x:v>PLOT</x:v>
      </x:c>
      <x:c r="U55" s="12"/>
      <x:c r="V55" s="12" t="str">
        <x:v>IDENTITY/GEOCODE/POLYGON PENDING</x:v>
      </x:c>
      <x:c r="W55" s="12" t="str">
        <x:v>https://www.malaymail.com/news/malaysia/2018/10/10/heavy-rain-flash-floods-make-life-hard-for-jbs-elderly/1681455</x:v>
      </x:c>
      <x:c r="X55" s="12" t="str">
        <x:v>Source gives only generic 'Kampung Melayu'. No silent match to Kampung Melayu Pandan/Majidee.</x:v>
      </x:c>
    </x:row>
    <x:row r="56">
      <x:c r="A56" s="12" t="str">
        <x:v>FLOC-0114</x:v>
      </x:c>
      <x:c r="B56" s="12" t="str">
        <x:v>Kampung Sri Jaya, Skudai</x:v>
      </x:c>
      <x:c r="C56" s="12" t="str">
        <x:v>YES</x:v>
      </x:c>
      <x:c r="D56" s="12" t="n">
        <x:v>2018</x:v>
      </x:c>
      <x:c r="E56" s="12" t="str">
        <x:v>EVT-JB-20181022-KAMPUNG-SRI-JAYA-SKUDAI</x:v>
      </x:c>
      <x:c r="F56" s="18" t="n">
        <x:v>43395</x:v>
      </x:c>
      <x:c r="G56" s="12" t="str">
        <x:v>DG-JB-20181022</x:v>
      </x:c>
      <x:c r="H56" s="12" t="str">
        <x:v>JBLOC-0127</x:v>
      </x:c>
      <x:c r="I56" s="12" t="str">
        <x:v>LOC-JB-KG-SRI-JAYA-SKUDAI</x:v>
      </x:c>
      <x:c r="J56" s="12" t="str">
        <x:v>Kampung Sri Jaya, Skudai</x:v>
      </x:c>
      <x:c r="K56" s="12" t="str">
        <x:v>Kampung Seri Jaya</x:v>
      </x:c>
      <x:c r="L56" s="12" t="str">
        <x:v>Kampung</x:v>
      </x:c>
      <x:c r="M56" s="12" t="str">
        <x:v>Flood / flash flood</x:v>
      </x:c>
      <x:c r="N56" s="12" t="str">
        <x:v>Verified event evidence; spatial status per Location_Master</x:v>
      </x:c>
      <x:c r="O56" s="12" t="str">
        <x:v>SRC_R2018_JPS_2018_2019_TABLE</x:v>
      </x:c>
      <x:c r="P56" s="12"/>
      <x:c r="Q56" s="12" t="n">
        <x:v>103.68912</x:v>
      </x:c>
      <x:c r="R56" s="12" t="n">
        <x:v>1.49933</x:v>
      </x:c>
      <x:c r="S56" s="12" t="str">
        <x:v>YES</x:v>
      </x:c>
      <x:c r="T56" s="12" t="str">
        <x:v>PLOT</x:v>
      </x:c>
      <x:c r="U56" s="12"/>
      <x:c r="V56" s="12" t="str">
        <x:v>POINT; POLYGON PENDING</x:v>
      </x:c>
      <x:c r="W56" s="12" t="str">
        <x:v>https://bangi.pulasan.my/_media/lampiran/lbt2018_2019.pdf</x:v>
      </x:c>
      <x:c r="X56" s="12"/>
    </x:row>
    <x:row r="57">
      <x:c r="A57" s="12" t="str">
        <x:v>FLOC-0108</x:v>
      </x:c>
      <x:c r="B57" s="12" t="str">
        <x:v>Kampung Pulai, Ulu Pulai</x:v>
      </x:c>
      <x:c r="C57" s="12" t="str">
        <x:v>YES</x:v>
      </x:c>
      <x:c r="D57" s="12" t="n">
        <x:v>2018</x:v>
      </x:c>
      <x:c r="E57" s="12" t="str">
        <x:v>EVT-JB-20181022-KAMPUNG-PULAI-ULU-PULAI</x:v>
      </x:c>
      <x:c r="F57" s="18" t="n">
        <x:v>43395</x:v>
      </x:c>
      <x:c r="G57" s="12" t="str">
        <x:v>DG-JB-20181022</x:v>
      </x:c>
      <x:c r="H57" s="12" t="str">
        <x:v>JBLOC-0120</x:v>
      </x:c>
      <x:c r="I57" s="12" t="str">
        <x:v>LOC-JB-KG-PULAI-ULU-PULAI</x:v>
      </x:c>
      <x:c r="J57" s="12" t="str">
        <x:v>Kampung Pulai, Ulu Pulai</x:v>
      </x:c>
      <x:c r="K57" s="12" t="str">
        <x:v>Kampung Pulai</x:v>
      </x:c>
      <x:c r="L57" s="12" t="str">
        <x:v>Kampung</x:v>
      </x:c>
      <x:c r="M57" s="12" t="str">
        <x:v>Flood / flash flood</x:v>
      </x:c>
      <x:c r="N57" s="12" t="str">
        <x:v>Verified event evidence; spatial status per Location_Master</x:v>
      </x:c>
      <x:c r="O57" s="12" t="str">
        <x:v>SRC_R2018_JPS_2018_2019_TABLE</x:v>
      </x:c>
      <x:c r="P57" s="12"/>
      <x:c r="Q57" s="12" t="n">
        <x:v>103.56799503</x:v>
      </x:c>
      <x:c r="R57" s="12" t="n">
        <x:v>1.47115514</x:v>
      </x:c>
      <x:c r="S57" s="12" t="str">
        <x:v>YES</x:v>
      </x:c>
      <x:c r="T57" s="12" t="str">
        <x:v>PLOT</x:v>
      </x:c>
      <x:c r="U57" s="12"/>
      <x:c r="V57" s="12" t="str">
        <x:v>POINT; polygon pending</x:v>
      </x:c>
      <x:c r="W57" s="12" t="str">
        <x:v>https://bangi.pulasan.my/_media/lampiran/lbt2018_2019.pdf</x:v>
      </x:c>
      <x:c r="X57" s="12"/>
    </x:row>
    <x:row r="58">
      <x:c r="A58" s="12" t="str">
        <x:v>FLOC-0091</x:v>
      </x:c>
      <x:c r="B58" s="12" t="str">
        <x:v>Kampung Melayu Lima Kedai</x:v>
      </x:c>
      <x:c r="C58" s="12" t="str">
        <x:v>YES</x:v>
      </x:c>
      <x:c r="D58" s="12" t="n">
        <x:v>2018</x:v>
      </x:c>
      <x:c r="E58" s="12" t="str">
        <x:v>EVT-JB-20181022-KAMPUNG-MELAYU-LIMA-KEDAI-GELANG-PATAH</x:v>
      </x:c>
      <x:c r="F58" s="18" t="n">
        <x:v>43395</x:v>
      </x:c>
      <x:c r="G58" s="12" t="str">
        <x:v>DG-JB-20181022</x:v>
      </x:c>
      <x:c r="H58" s="12" t="str">
        <x:v>JBLOC-0096</x:v>
      </x:c>
      <x:c r="I58" s="12" t="str">
        <x:v>LOC-JB-KG-MELAYU-LIMA-KEDAI</x:v>
      </x:c>
      <x:c r="J58" s="12" t="str">
        <x:v>Kampung Melayu Lima Kedai, Gelang Patah</x:v>
      </x:c>
      <x:c r="K58" s="12" t="str">
        <x:v>Kampung Melayu Lima Kedai</x:v>
      </x:c>
      <x:c r="L58" s="12" t="str">
        <x:v>Residential hamlet</x:v>
      </x:c>
      <x:c r="M58" s="12" t="str">
        <x:v>Flood / flash flood</x:v>
      </x:c>
      <x:c r="N58" s="12" t="str">
        <x:v>Verified event evidence; spatial status per Location_Master</x:v>
      </x:c>
      <x:c r="O58" s="12" t="str">
        <x:v>SRC_R2018_JPS_2018_2019_TABLE</x:v>
      </x:c>
      <x:c r="P58" s="12"/>
      <x:c r="Q58" s="12" t="n">
        <x:v>103.62481</x:v>
      </x:c>
      <x:c r="R58" s="12" t="n">
        <x:v>1.50435</x:v>
      </x:c>
      <x:c r="S58" s="12" t="str">
        <x:v>YES</x:v>
      </x:c>
      <x:c r="T58" s="12" t="str">
        <x:v>PLOT</x:v>
      </x:c>
      <x:c r="U58" s="12"/>
      <x:c r="V58" s="12" t="str">
        <x:v>CLOSED COMMUNITY BOUNDARY SOURCE VERIFIED; WKT pending</x:v>
      </x:c>
      <x:c r="W58" s="12" t="str">
        <x:v>https://bangi.pulasan.my/_media/lampiran/lbt2018_2019.pdf</x:v>
      </x:c>
      <x:c r="X58" s="12"/>
    </x:row>
    <x:row r="59">
      <x:c r="A59" s="12" t="str">
        <x:v>FLOC-0174</x:v>
      </x:c>
      <x:c r="B59" s="12" t="str">
        <x:v>Taman Damai Jaya</x:v>
      </x:c>
      <x:c r="C59" s="12" t="str">
        <x:v>YES</x:v>
      </x:c>
      <x:c r="D59" s="12" t="n">
        <x:v>2018</x:v>
      </x:c>
      <x:c r="E59" s="12" t="str">
        <x:v>EVT-JB-20181022-TAMAN-DAMAI-JAYA-SKUDAI</x:v>
      </x:c>
      <x:c r="F59" s="18" t="n">
        <x:v>43395</x:v>
      </x:c>
      <x:c r="G59" s="12" t="str">
        <x:v>DG-JB-20181022</x:v>
      </x:c>
      <x:c r="H59" s="12" t="str">
        <x:v>JBLOC-0190</x:v>
      </x:c>
      <x:c r="I59" s="12" t="str">
        <x:v>LOC-JB-TAMAN-DAMAI-JAYA</x:v>
      </x:c>
      <x:c r="J59" s="12" t="str">
        <x:v>Taman Damai Jaya, Skudai</x:v>
      </x:c>
      <x:c r="K59" s="12" t="str">
        <x:v>Taman Damai Jaya</x:v>
      </x:c>
      <x:c r="L59" s="12" t="str">
        <x:v>Neighborhood</x:v>
      </x:c>
      <x:c r="M59" s="12" t="str">
        <x:v>Flood / flash flood</x:v>
      </x:c>
      <x:c r="N59" s="12" t="str">
        <x:v>Verified event evidence; spatial status per Location_Master</x:v>
      </x:c>
      <x:c r="O59" s="12" t="str">
        <x:v>SRC_R2018_JPS_2018_2019_TABLE</x:v>
      </x:c>
      <x:c r="P59" s="12"/>
      <x:c r="Q59" s="12" t="n">
        <x:v>103.64612</x:v>
      </x:c>
      <x:c r="R59" s="12" t="n">
        <x:v>1.5035</x:v>
      </x:c>
      <x:c r="S59" s="12" t="str">
        <x:v>YES</x:v>
      </x:c>
      <x:c r="T59" s="12" t="str">
        <x:v>PLOT</x:v>
      </x:c>
      <x:c r="U59" s="12"/>
      <x:c r="V59" s="12" t="str">
        <x:v>CLOSED</x:v>
      </x:c>
      <x:c r="W59" s="12" t="str">
        <x:v>https://bangi.pulasan.my/_media/lampiran/lbt2018_2019.pdf</x:v>
      </x:c>
      <x:c r="X59" s="12"/>
    </x:row>
    <x:row r="60">
      <x:c r="A60" s="12" t="str">
        <x:v>FLOC-0061</x:v>
      </x:c>
      <x:c r="B60" s="12" t="str">
        <x:v>Jalan Sukun, Kampung Pasir</x:v>
      </x:c>
      <x:c r="C60" s="12" t="str">
        <x:v>YES</x:v>
      </x:c>
      <x:c r="D60" s="12" t="n">
        <x:v>2018</x:v>
      </x:c>
      <x:c r="E60" s="12" t="str">
        <x:v>EVT-JB-20181029-JALAN-SUKUN-KAMPUNG-PASIR-SKUDAI</x:v>
      </x:c>
      <x:c r="F60" s="18" t="n">
        <x:v>43402</x:v>
      </x:c>
      <x:c r="G60" s="12" t="str">
        <x:v>DG-JB-20181029</x:v>
      </x:c>
      <x:c r="H60" s="12" t="str">
        <x:v>JBLOC-0063</x:v>
      </x:c>
      <x:c r="I60" s="12" t="str">
        <x:v>LOC-JB-JLN-SUKUN-KG-PASIR</x:v>
      </x:c>
      <x:c r="J60" s="12" t="str">
        <x:v>Jalan Sukun, Kampung Pasir, Skudai</x:v>
      </x:c>
      <x:c r="K60" s="12" t="str">
        <x:v>Jalan Sukun, Kampung Pasir</x:v>
      </x:c>
      <x:c r="L60" s="12" t="str">
        <x:v>Road within flood locality</x:v>
      </x:c>
      <x:c r="M60" s="12" t="str">
        <x:v>Flood / flash flood</x:v>
      </x:c>
      <x:c r="N60" s="12" t="str">
        <x:v>Verified event evidence; spatial status per Location_Master</x:v>
      </x:c>
      <x:c r="O60" s="12" t="str">
        <x:v>SRC_R2018_JPS_2018_2019_TABLE</x:v>
      </x:c>
      <x:c r="P60" s="12"/>
      <x:c r="Q60" s="12" t="n">
        <x:v>103.6963972</x:v>
      </x:c>
      <x:c r="R60" s="12" t="n">
        <x:v>1.4999611</x:v>
      </x:c>
      <x:c r="S60" s="12" t="str">
        <x:v>YES</x:v>
      </x:c>
      <x:c r="T60" s="12" t="str">
        <x:v>PLOT</x:v>
      </x:c>
      <x:c r="U60" s="12"/>
      <x:c r="V60" s="12" t="str">
        <x:v>ROAD IDENTITY VERIFIED; exact event-segment polygon pending</x:v>
      </x:c>
      <x:c r="W60" s="12" t="str">
        <x:v>https://bangi.pulasan.my/_media/lampiran/lbt2018_2019.pdf</x:v>
      </x:c>
      <x:c r="X60" s="12" t="str">
        <x:v>Road event linked to the existing Kampung Pasir flood locality but stored as a distinct road-specific Location_ID.</x:v>
      </x:c>
    </x:row>
    <x:row r="61">
      <x:c r="A61" s="12" t="str">
        <x:v>FLOC-0119</x:v>
      </x:c>
      <x:c r="B61" s="12" t="str">
        <x:v>Kampung Sungai Tiram</x:v>
      </x:c>
      <x:c r="C61" s="12" t="str">
        <x:v>YES</x:v>
      </x:c>
      <x:c r="D61" s="12" t="n">
        <x:v>2019</x:v>
      </x:c>
      <x:c r="E61" s="12" t="str">
        <x:v>EVT-JB-20190118-KAMPUNG-SUNGAI-TIRAM</x:v>
      </x:c>
      <x:c r="F61" s="18" t="n">
        <x:v>43483</x:v>
      </x:c>
      <x:c r="G61" s="12" t="str">
        <x:v>DG-JB-20190118</x:v>
      </x:c>
      <x:c r="H61" s="12" t="str">
        <x:v>JBLOC-0141</x:v>
      </x:c>
      <x:c r="I61" s="12" t="str">
        <x:v>LOC-JB-KG-SUNGAI-TIRAM</x:v>
      </x:c>
      <x:c r="J61" s="12" t="str">
        <x:v>Kampung Sungai Tiram</x:v>
      </x:c>
      <x:c r="K61" s="12" t="str">
        <x:v>Kampung Sungai Tiram</x:v>
      </x:c>
      <x:c r="L61" s="12" t="str">
        <x:v>Kampung</x:v>
      </x:c>
      <x:c r="M61" s="12" t="str">
        <x:v>Flood / flash flood</x:v>
      </x:c>
      <x:c r="N61" s="12" t="str">
        <x:v>Verified - JPS annual report event table</x:v>
      </x:c>
      <x:c r="O61" s="12" t="str">
        <x:v>SRC_R2019_JPS_2019_TABLE</x:v>
      </x:c>
      <x:c r="P61" s="12"/>
      <x:c r="Q61" s="12" t="n">
        <x:v>103.89469488</x:v>
      </x:c>
      <x:c r="R61" s="12" t="n">
        <x:v>1.59325633</x:v>
      </x:c>
      <x:c r="S61" s="12" t="str">
        <x:v>YES</x:v>
      </x:c>
      <x:c r="T61" s="12" t="str">
        <x:v>PLOT</x:v>
      </x:c>
      <x:c r="U61" s="12"/>
      <x:c r="V61" s="12" t="str">
        <x:v>POINT / event-segment polygon open</x:v>
      </x:c>
      <x:c r="W61" s="12" t="str">
        <x:v>https://www.scribd.com/document/975564939/JPS2019</x:v>
      </x:c>
      <x:c r="X61" s="12" t="str">
        <x:v>JPS combined row 'Kg Sg Tiram &amp; Kg Dagang' split into two named locations.</x:v>
      </x:c>
    </x:row>
    <x:row r="62">
      <x:c r="A62" s="12" t="str">
        <x:v>FLOC-0081</x:v>
      </x:c>
      <x:c r="B62" s="12" t="str">
        <x:v>Kampung Dagang, Sungai Tiram context</x:v>
      </x:c>
      <x:c r="C62" s="12" t="str">
        <x:v>YES</x:v>
      </x:c>
      <x:c r="D62" s="12" t="n">
        <x:v>2019</x:v>
      </x:c>
      <x:c r="E62" s="12" t="str">
        <x:v>EVT-JB-20190118-KAMPUNG-DAGANG</x:v>
      </x:c>
      <x:c r="F62" s="18" t="n">
        <x:v>43483</x:v>
      </x:c>
      <x:c r="G62" s="12" t="str">
        <x:v>DG-JB-20190118</x:v>
      </x:c>
      <x:c r="H62" s="12" t="str">
        <x:v>JBLOC-0084</x:v>
      </x:c>
      <x:c r="I62" s="12" t="str">
        <x:v>LOC-CAND-JB-KG-DAGANG-2019</x:v>
      </x:c>
      <x:c r="J62" s="12" t="str">
        <x:v>Kampung Dagang</x:v>
      </x:c>
      <x:c r="K62" s="12" t="str">
        <x:v>Kampung Dagang, Sungai Tiram context</x:v>
      </x:c>
      <x:c r="L62" s="12" t="str">
        <x:v>Kampung</x:v>
      </x:c>
      <x:c r="M62" s="12" t="str">
        <x:v>Flood / flash flood</x:v>
      </x:c>
      <x:c r="N62" s="12" t="str">
        <x:v>Verified - JPS annual report event table</x:v>
      </x:c>
      <x:c r="O62" s="12" t="str">
        <x:v>SRC_R2019_JPS_2019_TABLE</x:v>
      </x:c>
      <x:c r="P62" s="12"/>
      <x:c r="Q62" s="12"/>
      <x:c r="R62" s="12"/>
      <x:c r="S62" s="12" t="str">
        <x:v>NO</x:v>
      </x:c>
      <x:c r="T62" s="12" t="str">
        <x:v>DO NOT PLOT</x:v>
      </x:c>
      <x:c r="U62" s="12"/>
      <x:c r="V62" s="12" t="str">
        <x:v>IDENTITY/GEOCODE/POLYGON PENDING</x:v>
      </x:c>
      <x:c r="W62" s="12" t="str">
        <x:v>https://www.scribd.com/document/975564939/JPS2019</x:v>
      </x:c>
      <x:c r="X62" s="12" t="str">
        <x:v>Split from combined JPS label; exact geocode remains open.</x:v>
      </x:c>
    </x:row>
    <x:row r="63">
      <x:c r="A63" s="12" t="str">
        <x:v>FLOC-0178</x:v>
      </x:c>
      <x:c r="B63" s="12" t="str">
        <x:v>Taman Istimewa</x:v>
      </x:c>
      <x:c r="C63" s="12" t="str">
        <x:v>YES</x:v>
      </x:c>
      <x:c r="D63" s="12" t="n">
        <x:v>2019</x:v>
      </x:c>
      <x:c r="E63" s="12" t="str">
        <x:v>EVT-JB-20190217-TAMAN-ISTIMEWA-PANDAN</x:v>
      </x:c>
      <x:c r="F63" s="18" t="n">
        <x:v>43513</x:v>
      </x:c>
      <x:c r="G63" s="12" t="str">
        <x:v>DG-JB-20190217</x:v>
      </x:c>
      <x:c r="H63" s="12" t="str">
        <x:v>JBLOC-0193</x:v>
      </x:c>
      <x:c r="I63" s="12" t="str">
        <x:v>LOC-JB-TAMAN-ISTIMEWA</x:v>
      </x:c>
      <x:c r="J63" s="12" t="str">
        <x:v>Taman Istimewa, Pandan</x:v>
      </x:c>
      <x:c r="K63" s="12" t="str">
        <x:v>Taman Istimewa, Pandan</x:v>
      </x:c>
      <x:c r="L63" s="12" t="str">
        <x:v>Neighborhood</x:v>
      </x:c>
      <x:c r="M63" s="12" t="str">
        <x:v>Flood / flash flood</x:v>
      </x:c>
      <x:c r="N63" s="12" t="str">
        <x:v>Verified - JPS annual report event table</x:v>
      </x:c>
      <x:c r="O63" s="12" t="str">
        <x:v>SRC_R2019_JPS_2019_TABLE</x:v>
      </x:c>
      <x:c r="P63" s="12"/>
      <x:c r="Q63" s="12" t="n">
        <x:v>103.76986</x:v>
      </x:c>
      <x:c r="R63" s="12" t="n">
        <x:v>1.53056</x:v>
      </x:c>
      <x:c r="S63" s="12" t="str">
        <x:v>YES</x:v>
      </x:c>
      <x:c r="T63" s="12" t="str">
        <x:v>PLOT</x:v>
      </x:c>
      <x:c r="U63" s="12"/>
      <x:c r="V63" s="12" t="str">
        <x:v>POINT RESOLVED; polygon pending</x:v>
      </x:c>
      <x:c r="W63" s="12" t="str">
        <x:v>https://www.scribd.com/document/975564939/JPS2019</x:v>
      </x:c>
      <x:c r="X63" s="12"/>
    </x:row>
    <x:row r="64">
      <x:c r="A64" s="12" t="str">
        <x:v>FLOC-0094</x:v>
      </x:c>
      <x:c r="B64" s="12" t="str">
        <x:v>Kampung Mohd Amin, Kolam Air</x:v>
      </x:c>
      <x:c r="C64" s="12" t="str">
        <x:v>YES</x:v>
      </x:c>
      <x:c r="D64" s="12" t="n">
        <x:v>2019</x:v>
      </x:c>
      <x:c r="E64" s="12" t="str">
        <x:v>EVT-JB-20190219-KAMPUNG-MOHD-AMIN</x:v>
      </x:c>
      <x:c r="F64" s="18" t="n">
        <x:v>43515</x:v>
      </x:c>
      <x:c r="G64" s="12" t="str">
        <x:v>DG-JB-20190219</x:v>
      </x:c>
      <x:c r="H64" s="12" t="str">
        <x:v>JBLOC-0103</x:v>
      </x:c>
      <x:c r="I64" s="12" t="str">
        <x:v>LOC-JB-KG-MOHD-AMIN-KOLAM-AIR</x:v>
      </x:c>
      <x:c r="J64" s="12" t="str">
        <x:v>Kampung Mohd Amin</x:v>
      </x:c>
      <x:c r="K64" s="12" t="str">
        <x:v>Kampung Mohd Amin, Kolam Air</x:v>
      </x:c>
      <x:c r="L64" s="12" t="str">
        <x:v>Kampung</x:v>
      </x:c>
      <x:c r="M64" s="12" t="str">
        <x:v>Flood / flash flood</x:v>
      </x:c>
      <x:c r="N64" s="12" t="str">
        <x:v>Verified - JPS annual report event table</x:v>
      </x:c>
      <x:c r="O64" s="12" t="str">
        <x:v>SRC_R2019_JPS_2019_TABLE</x:v>
      </x:c>
      <x:c r="P64" s="12"/>
      <x:c r="Q64" s="12" t="n">
        <x:v>103.73541</x:v>
      </x:c>
      <x:c r="R64" s="12" t="n">
        <x:v>1.46736</x:v>
      </x:c>
      <x:c r="S64" s="12" t="str">
        <x:v>YES</x:v>
      </x:c>
      <x:c r="T64" s="12" t="str">
        <x:v>PLOT</x:v>
      </x:c>
      <x:c r="U64" s="12"/>
      <x:c r="V64" s="12" t="str">
        <x:v>POINT; POLYGON PENDING</x:v>
      </x:c>
      <x:c r="W64" s="12" t="str">
        <x:v>https://www.scribd.com/document/975564939/JPS2019</x:v>
      </x:c>
      <x:c r="X64" s="12"/>
    </x:row>
    <x:row r="65">
      <x:c r="A65" s="12" t="str">
        <x:v>FLOC-0123</x:v>
      </x:c>
      <x:c r="B65" s="12" t="str">
        <x:v>Kampung Tuah Jaya</x:v>
      </x:c>
      <x:c r="C65" s="12" t="str">
        <x:v>YES</x:v>
      </x:c>
      <x:c r="D65" s="12" t="n">
        <x:v>2019</x:v>
      </x:c>
      <x:c r="E65" s="12" t="str">
        <x:v>EVT-JB-20191022-KAMPUNG-TUAH-JAYA</x:v>
      </x:c>
      <x:c r="F65" s="18" t="n">
        <x:v>43760</x:v>
      </x:c>
      <x:c r="G65" s="12" t="str">
        <x:v>DG-JB-20191022</x:v>
      </x:c>
      <x:c r="H65" s="12" t="str">
        <x:v>JBLOC-0145</x:v>
      </x:c>
      <x:c r="I65" s="12" t="str">
        <x:v>LOC-JB-KG-TUAH-JAYA</x:v>
      </x:c>
      <x:c r="J65" s="12" t="str">
        <x:v>Kampung Tuah Jaya</x:v>
      </x:c>
      <x:c r="K65" s="12" t="str">
        <x:v>Kampung Tuah Jaya</x:v>
      </x:c>
      <x:c r="L65" s="12" t="str">
        <x:v>Residential hamlet</x:v>
      </x:c>
      <x:c r="M65" s="12" t="str">
        <x:v>Flood / flash flood</x:v>
      </x:c>
      <x:c r="N65" s="12" t="str">
        <x:v>Verified - JPS annual report event table</x:v>
      </x:c>
      <x:c r="O65" s="12" t="str">
        <x:v>SRC_R2019_JPS_2019_TABLE</x:v>
      </x:c>
      <x:c r="P65" s="12"/>
      <x:c r="Q65" s="12" t="n">
        <x:v>103.67688</x:v>
      </x:c>
      <x:c r="R65" s="12" t="n">
        <x:v>1.47873</x:v>
      </x:c>
      <x:c r="S65" s="12" t="str">
        <x:v>YES</x:v>
      </x:c>
      <x:c r="T65" s="12" t="str">
        <x:v>PLOT</x:v>
      </x:c>
      <x:c r="U65" s="12"/>
      <x:c r="V65" s="12" t="str">
        <x:v>CLOSED</x:v>
      </x:c>
      <x:c r="W65" s="12" t="str">
        <x:v>https://www.scribd.com/document/975564939/JPS2019</x:v>
      </x:c>
      <x:c r="X65" s="12"/>
    </x:row>
    <x:row r="66">
      <x:c r="A66" s="12" t="str">
        <x:v>FLOC-0190</x:v>
      </x:c>
      <x:c r="B66" s="12" t="str">
        <x:v>Taman Setia Indah</x:v>
      </x:c>
      <x:c r="C66" s="12" t="str">
        <x:v>YES</x:v>
      </x:c>
      <x:c r="D66" s="12" t="n">
        <x:v>2019</x:v>
      </x:c>
      <x:c r="E66" s="12" t="str">
        <x:v>EVT-JB-20191022-TAMAN-SETIA-INDAH</x:v>
      </x:c>
      <x:c r="F66" s="18" t="n">
        <x:v>43760</x:v>
      </x:c>
      <x:c r="G66" s="12" t="str">
        <x:v>DG-JB-20191022</x:v>
      </x:c>
      <x:c r="H66" s="12" t="str">
        <x:v>JBLOC-0205</x:v>
      </x:c>
      <x:c r="I66" s="12" t="str">
        <x:v>LOC-JB-TAMAN-SETIA-INDAH</x:v>
      </x:c>
      <x:c r="J66" s="12" t="str">
        <x:v>Taman Setia Indah</x:v>
      </x:c>
      <x:c r="K66" s="12" t="str">
        <x:v>Taman Setia Indah</x:v>
      </x:c>
      <x:c r="L66" s="12" t="str">
        <x:v>Township / quarter</x:v>
      </x:c>
      <x:c r="M66" s="12" t="str">
        <x:v>Flood / flash flood</x:v>
      </x:c>
      <x:c r="N66" s="12" t="str">
        <x:v>Verified - JPS annual report event table</x:v>
      </x:c>
      <x:c r="O66" s="12" t="str">
        <x:v>SRC_R2019_JPS_2019_TABLE</x:v>
      </x:c>
      <x:c r="P66" s="12"/>
      <x:c r="Q66" s="12" t="n">
        <x:v>103.7577</x:v>
      </x:c>
      <x:c r="R66" s="12" t="n">
        <x:v>1.57279</x:v>
      </x:c>
      <x:c r="S66" s="12" t="str">
        <x:v>YES</x:v>
      </x:c>
      <x:c r="T66" s="12" t="str">
        <x:v>PLOT</x:v>
      </x:c>
      <x:c r="U66" s="12"/>
      <x:c r="V66" s="12" t="str">
        <x:v>POINT RESOLVED; full township polygon pending</x:v>
      </x:c>
      <x:c r="W66" s="12" t="str">
        <x:v>https://www.scribd.com/document/975564939/JPS2019</x:v>
      </x:c>
      <x:c r="X66" s="12"/>
    </x:row>
    <x:row r="67">
      <x:c r="A67" s="12" t="str">
        <x:v>FLOC-0185</x:v>
      </x:c>
      <x:c r="B67" s="12" t="str">
        <x:v>Taman Nusantara Prima</x:v>
      </x:c>
      <x:c r="C67" s="12" t="str">
        <x:v>YES</x:v>
      </x:c>
      <x:c r="D67" s="12" t="n">
        <x:v>2019</x:v>
      </x:c>
      <x:c r="E67" s="12" t="str">
        <x:v>EVT-JB-20191022-TAMAN-NUSA-PRIMA</x:v>
      </x:c>
      <x:c r="F67" s="18" t="n">
        <x:v>43760</x:v>
      </x:c>
      <x:c r="G67" s="12" t="str">
        <x:v>DG-JB-20191022</x:v>
      </x:c>
      <x:c r="H67" s="12" t="str">
        <x:v>JBLOC-0200</x:v>
      </x:c>
      <x:c r="I67" s="12" t="str">
        <x:v>LOC-CAND-JB-TAMAN-NUSA-PRIMA-2019</x:v>
      </x:c>
      <x:c r="J67" s="12" t="str">
        <x:v>Taman Nusa Prima</x:v>
      </x:c>
      <x:c r="K67" s="12" t="str">
        <x:v>Taman Nusantara Prima</x:v>
      </x:c>
      <x:c r="L67" s="12" t="str">
        <x:v>Neighborhood</x:v>
      </x:c>
      <x:c r="M67" s="12" t="str">
        <x:v>Flood / flash flood</x:v>
      </x:c>
      <x:c r="N67" s="12" t="str">
        <x:v>Verified - JPS annual report event table</x:v>
      </x:c>
      <x:c r="O67" s="12" t="str">
        <x:v>SRC_R2019_JPS_2019_TABLE</x:v>
      </x:c>
      <x:c r="P67" s="12"/>
      <x:c r="Q67" s="12" t="n">
        <x:v>103.58949</x:v>
      </x:c>
      <x:c r="R67" s="12" t="n">
        <x:v>1.47979</x:v>
      </x:c>
      <x:c r="S67" s="12" t="str">
        <x:v>YES</x:v>
      </x:c>
      <x:c r="T67" s="12" t="str">
        <x:v>PLOT</x:v>
      </x:c>
      <x:c r="U67" s="12"/>
      <x:c r="V67" s="12" t="str">
        <x:v>IDENTITY/GEOCODE/POLYGON PENDING</x:v>
      </x:c>
      <x:c r="W67" s="12" t="str">
        <x:v>https://www.scribd.com/document/975564939/JPS2019</x:v>
      </x:c>
      <x:c r="X67" s="12"/>
    </x:row>
    <x:row r="68">
      <x:c r="A68" s="12" t="str">
        <x:v>FLOC-0184</x:v>
      </x:c>
      <x:c r="B68" s="12" t="str">
        <x:v>Taman Nusa Bayu</x:v>
      </x:c>
      <x:c r="C68" s="12" t="str">
        <x:v>YES</x:v>
      </x:c>
      <x:c r="D68" s="12" t="n">
        <x:v>2019</x:v>
      </x:c>
      <x:c r="E68" s="12" t="str">
        <x:v>EVT-JB-20191022-TAMAN-NUSA-BAYU</x:v>
      </x:c>
      <x:c r="F68" s="18" t="n">
        <x:v>43760</x:v>
      </x:c>
      <x:c r="G68" s="12" t="str">
        <x:v>DG-JB-20191022</x:v>
      </x:c>
      <x:c r="H68" s="12" t="str">
        <x:v>JBLOC-0199</x:v>
      </x:c>
      <x:c r="I68" s="12" t="str">
        <x:v>LOC-JB-TAMAN-NUSA-BAYU</x:v>
      </x:c>
      <x:c r="J68" s="12" t="str">
        <x:v>Taman Nusa Bayu</x:v>
      </x:c>
      <x:c r="K68" s="12" t="str">
        <x:v>Taman Nusa Bayu</x:v>
      </x:c>
      <x:c r="L68" s="12" t="str">
        <x:v>Residential neighborhood</x:v>
      </x:c>
      <x:c r="M68" s="12" t="str">
        <x:v>Flood / flash flood</x:v>
      </x:c>
      <x:c r="N68" s="12" t="str">
        <x:v>Verified - JPS annual report event table</x:v>
      </x:c>
      <x:c r="O68" s="12" t="str">
        <x:v>SRC_R2019_JPS_2019_TABLE</x:v>
      </x:c>
      <x:c r="P68" s="12"/>
      <x:c r="Q68" s="12" t="n">
        <x:v>103.60088</x:v>
      </x:c>
      <x:c r="R68" s="12" t="n">
        <x:v>1.48009</x:v>
      </x:c>
      <x:c r="S68" s="12" t="str">
        <x:v>YES</x:v>
      </x:c>
      <x:c r="T68" s="12" t="str">
        <x:v>PLOT</x:v>
      </x:c>
      <x:c r="U68" s="12"/>
      <x:c r="V68" s="12" t="str">
        <x:v>CLOSED COMMUNITY BOUNDARY SOURCE VERIFIED; WKT pending</x:v>
      </x:c>
      <x:c r="W68" s="12" t="str">
        <x:v>https://www.scribd.com/document/975564939/JPS2019</x:v>
      </x:c>
      <x:c r="X68" s="12"/>
    </x:row>
    <x:row r="69">
      <x:c r="A69" s="12" t="str">
        <x:v>FLOC-0147</x:v>
      </x:c>
      <x:c r="B69" s="12" t="str">
        <x:v>Lima Kedai, Stadium Baru</x:v>
      </x:c>
      <x:c r="C69" s="12" t="str">
        <x:v>YES</x:v>
      </x:c>
      <x:c r="D69" s="12" t="n">
        <x:v>2019</x:v>
      </x:c>
      <x:c r="E69" s="12" t="str">
        <x:v>EVT-JB-20191022-LIMA-KEDAI-STADIUM-BARU</x:v>
      </x:c>
      <x:c r="F69" s="18" t="n">
        <x:v>43760</x:v>
      </x:c>
      <x:c r="G69" s="12" t="str">
        <x:v>DG-JB-20191022</x:v>
      </x:c>
      <x:c r="H69" s="12" t="str">
        <x:v>JBLOC-0163</x:v>
      </x:c>
      <x:c r="I69" s="12" t="str">
        <x:v>LOC-JB-LIMA-KEDAI-STADIUM-BARU</x:v>
      </x:c>
      <x:c r="J69" s="12" t="str">
        <x:v>Lima Kedai, Stadium Baru</x:v>
      </x:c>
      <x:c r="K69" s="12" t="str">
        <x:v>Lima Kedai, Stadium Baru</x:v>
      </x:c>
      <x:c r="L69" s="12" t="str">
        <x:v>Area / landmark context</x:v>
      </x:c>
      <x:c r="M69" s="12" t="str">
        <x:v>Flood / flash flood</x:v>
      </x:c>
      <x:c r="N69" s="12" t="str">
        <x:v>Verified - JPS annual report event table</x:v>
      </x:c>
      <x:c r="O69" s="12" t="str">
        <x:v>SRC_R2019_JPS_2019_TABLE</x:v>
      </x:c>
      <x:c r="P69" s="12"/>
      <x:c r="Q69" s="12" t="n">
        <x:v>103.61698</x:v>
      </x:c>
      <x:c r="R69" s="12" t="n">
        <x:v>1.50231</x:v>
      </x:c>
      <x:c r="S69" s="12" t="str">
        <x:v>NO</x:v>
      </x:c>
      <x:c r="T69" s="12" t="str">
        <x:v>DO NOT PLOT</x:v>
      </x:c>
      <x:c r="U69" s="12"/>
      <x:c r="V69" s="12" t="str">
        <x:v>AREA POINT RESOLVED; exact landmark/flood polygon pending</x:v>
      </x:c>
      <x:c r="W69" s="12" t="str">
        <x:v>https://www.scribd.com/document/975564939/JPS2019</x:v>
      </x:c>
      <x:c r="X69" s="12"/>
    </x:row>
    <x:row r="70">
      <x:c r="A70" s="12" t="str">
        <x:v>FLOC-0093</x:v>
      </x:c>
      <x:c r="B70" s="12" t="str">
        <x:v>Kampung Melayu Pandan</x:v>
      </x:c>
      <x:c r="C70" s="12" t="str">
        <x:v>YES</x:v>
      </x:c>
      <x:c r="D70" s="12" t="n">
        <x:v>2019</x:v>
      </x:c>
      <x:c r="E70" s="12" t="str">
        <x:v>EVT-JB-20191022-KAMPUNG-MELAYU-PANDAN</x:v>
      </x:c>
      <x:c r="F70" s="18" t="n">
        <x:v>43760</x:v>
      </x:c>
      <x:c r="G70" s="12" t="str">
        <x:v>DG-JB-20191022</x:v>
      </x:c>
      <x:c r="H70" s="12" t="str">
        <x:v>JBLOC-0099</x:v>
      </x:c>
      <x:c r="I70" s="12" t="str">
        <x:v>LOC-JB-KG-MELAYU-PANDAN</x:v>
      </x:c>
      <x:c r="J70" s="12" t="str">
        <x:v>Kampung Melayu Pandan</x:v>
      </x:c>
      <x:c r="K70" s="12" t="str">
        <x:v>Kampung Melayu Pandan</x:v>
      </x:c>
      <x:c r="L70" s="12" t="str">
        <x:v>Kampung</x:v>
      </x:c>
      <x:c r="M70" s="12" t="str">
        <x:v>Flood / flash flood</x:v>
      </x:c>
      <x:c r="N70" s="12" t="str">
        <x:v>Verified - JPS annual report event table</x:v>
      </x:c>
      <x:c r="O70" s="12" t="str">
        <x:v>SRC_R2019_JPS_2019_TABLE</x:v>
      </x:c>
      <x:c r="P70" s="12"/>
      <x:c r="Q70" s="12" t="n">
        <x:v>103.77407874</x:v>
      </x:c>
      <x:c r="R70" s="12" t="n">
        <x:v>1.52236484</x:v>
      </x:c>
      <x:c r="S70" s="12" t="str">
        <x:v>YES</x:v>
      </x:c>
      <x:c r="T70" s="12" t="str">
        <x:v>PLOT</x:v>
      </x:c>
      <x:c r="U70" s="12"/>
      <x:c r="V70" s="12" t="str">
        <x:v>POINT RESOLVED; community polygon pending</x:v>
      </x:c>
      <x:c r="W70" s="12" t="str">
        <x:v>https://www.scribd.com/document/975564939/JPS2019</x:v>
      </x:c>
      <x:c r="X70" s="12"/>
    </x:row>
    <x:row r="71">
      <x:c r="A71" s="12" t="str">
        <x:v>FLOC-0108</x:v>
      </x:c>
      <x:c r="B71" s="12" t="str">
        <x:v>Kampung Pulai, Ulu Pulai</x:v>
      </x:c>
      <x:c r="C71" s="12" t="str">
        <x:v>YES</x:v>
      </x:c>
      <x:c r="D71" s="12" t="n">
        <x:v>2019</x:v>
      </x:c>
      <x:c r="E71" s="12" t="str">
        <x:v>EVT-JB-20191022-KAMPUNG-PULAI</x:v>
      </x:c>
      <x:c r="F71" s="18" t="n">
        <x:v>43760</x:v>
      </x:c>
      <x:c r="G71" s="12" t="str">
        <x:v>DG-JB-20191022</x:v>
      </x:c>
      <x:c r="H71" s="12" t="str">
        <x:v>JBLOC-0120</x:v>
      </x:c>
      <x:c r="I71" s="12" t="str">
        <x:v>LOC-JB-KG-PULAI-ULU-PULAI</x:v>
      </x:c>
      <x:c r="J71" s="12" t="str">
        <x:v>Kampung Pulai</x:v>
      </x:c>
      <x:c r="K71" s="12" t="str">
        <x:v>Kampung Pulai</x:v>
      </x:c>
      <x:c r="L71" s="12" t="str">
        <x:v>Kampung</x:v>
      </x:c>
      <x:c r="M71" s="12" t="str">
        <x:v>Flood / flash flood</x:v>
      </x:c>
      <x:c r="N71" s="12" t="str">
        <x:v>Verified - JPS annual report event table</x:v>
      </x:c>
      <x:c r="O71" s="12" t="str">
        <x:v>SRC_R2019_JPS_2019_TABLE</x:v>
      </x:c>
      <x:c r="P71" s="12"/>
      <x:c r="Q71" s="12" t="n">
        <x:v>103.56799503</x:v>
      </x:c>
      <x:c r="R71" s="12" t="n">
        <x:v>1.47115514</x:v>
      </x:c>
      <x:c r="S71" s="12" t="str">
        <x:v>YES</x:v>
      </x:c>
      <x:c r="T71" s="12" t="str">
        <x:v>PLOT</x:v>
      </x:c>
      <x:c r="U71" s="12"/>
      <x:c r="V71" s="12" t="str">
        <x:v>POINT; polygon pending</x:v>
      </x:c>
      <x:c r="W71" s="12" t="str">
        <x:v>https://www.scribd.com/document/975564939/JPS2019</x:v>
      </x:c>
      <x:c r="X71" s="12"/>
    </x:row>
    <x:row r="72">
      <x:c r="A72" s="12" t="str">
        <x:v>FLOC-0079</x:v>
      </x:c>
      <x:c r="B72" s="12" t="str">
        <x:v>Kampung Bukit Dagang</x:v>
      </x:c>
      <x:c r="C72" s="12" t="str">
        <x:v>YES</x:v>
      </x:c>
      <x:c r="D72" s="12" t="n">
        <x:v>2019</x:v>
      </x:c>
      <x:c r="E72" s="12" t="str">
        <x:v>EVT-JB-20191215-KAMPUNG-BUKIT-DAGANG</x:v>
      </x:c>
      <x:c r="F72" s="18" t="n">
        <x:v>43814</x:v>
      </x:c>
      <x:c r="G72" s="12" t="str">
        <x:v>DG-JB-20191215</x:v>
      </x:c>
      <x:c r="H72" s="12" t="str">
        <x:v>JBLOC-0082</x:v>
      </x:c>
      <x:c r="I72" s="12" t="str">
        <x:v>LOC-JB-KG-BUKIT-DAGANG</x:v>
      </x:c>
      <x:c r="J72" s="12" t="str">
        <x:v>Kampung Bukit Dagang</x:v>
      </x:c>
      <x:c r="K72" s="12" t="str">
        <x:v>Kampung Bukit Dagang</x:v>
      </x:c>
      <x:c r="L72" s="12" t="str">
        <x:v>Kampung</x:v>
      </x:c>
      <x:c r="M72" s="12" t="str">
        <x:v>Flood / flash flood</x:v>
      </x:c>
      <x:c r="N72" s="12" t="str">
        <x:v>Verified - JPS annual report event table</x:v>
      </x:c>
      <x:c r="O72" s="12" t="str">
        <x:v>SRC_R2019_JPS_2019_TABLE</x:v>
      </x:c>
      <x:c r="P72" s="12"/>
      <x:c r="Q72" s="12" t="n">
        <x:v>103.924811</x:v>
      </x:c>
      <x:c r="R72" s="12" t="n">
        <x:v>1.59376731</x:v>
      </x:c>
      <x:c r="S72" s="12" t="str">
        <x:v>YES</x:v>
      </x:c>
      <x:c r="T72" s="12" t="str">
        <x:v>PLOT</x:v>
      </x:c>
      <x:c r="U72" s="12"/>
      <x:c r="V72" s="12" t="str">
        <x:v>POINT RESOLVED; community polygon pending</x:v>
      </x:c>
      <x:c r="W72" s="12" t="str">
        <x:v>https://www.scribd.com/document/975564939/JPS2019</x:v>
      </x:c>
      <x:c r="X72" s="12"/>
    </x:row>
    <x:row r="73">
      <x:c r="A73" s="12" t="str">
        <x:v>FLOC-0021</x:v>
      </x:c>
      <x:c r="B73" s="12" t="str">
        <x:v>Jalan Bukit Dagang</x:v>
      </x:c>
      <x:c r="C73" s="12" t="str">
        <x:v>YES</x:v>
      </x:c>
      <x:c r="D73" s="12" t="n">
        <x:v>2019</x:v>
      </x:c>
      <x:c r="E73" s="12" t="str">
        <x:v>EVT-JB-20191215-JALAN-BUKIT-DAGANG</x:v>
      </x:c>
      <x:c r="F73" s="18" t="n">
        <x:v>43814</x:v>
      </x:c>
      <x:c r="G73" s="12" t="str">
        <x:v>DG-JB-20191215</x:v>
      </x:c>
      <x:c r="H73" s="12" t="str">
        <x:v>JBLOC-0023</x:v>
      </x:c>
      <x:c r="I73" s="12" t="str">
        <x:v>LOC-JB-JLN-BUKIT-DAGANG</x:v>
      </x:c>
      <x:c r="J73" s="12" t="str">
        <x:v>Jalan Bukit Dagang</x:v>
      </x:c>
      <x:c r="K73" s="12" t="str">
        <x:v>Jalan Bukit Dagang</x:v>
      </x:c>
      <x:c r="L73" s="12" t="str">
        <x:v>Road</x:v>
      </x:c>
      <x:c r="M73" s="12" t="str">
        <x:v>Flood / flash flood</x:v>
      </x:c>
      <x:c r="N73" s="12" t="str">
        <x:v>Verified - JPS annual report event table</x:v>
      </x:c>
      <x:c r="O73" s="12" t="str">
        <x:v>SRC_R2019_JPS_2019_TABLE</x:v>
      </x:c>
      <x:c r="P73" s="12"/>
      <x:c r="Q73" s="12" t="n">
        <x:v>103.924811</x:v>
      </x:c>
      <x:c r="R73" s="12" t="n">
        <x:v>1.59376731</x:v>
      </x:c>
      <x:c r="S73" s="12" t="str">
        <x:v>NO</x:v>
      </x:c>
      <x:c r="T73" s="12" t="str">
        <x:v>DO NOT PLOT</x:v>
      </x:c>
      <x:c r="U73" s="12"/>
      <x:c r="V73" s="12" t="str">
        <x:v>ROAD IDENTITY EVIDENCE; exact segment geometry pending</x:v>
      </x:c>
      <x:c r="W73" s="12" t="str">
        <x:v>https://www.scribd.com/document/975564939/JPS2019</x:v>
      </x:c>
      <x:c r="X73" s="12"/>
    </x:row>
    <x:row r="74">
      <x:c r="A74" s="12" t="str">
        <x:v>FLOC-0003</x:v>
      </x:c>
      <x:c r="B74" s="12" t="str">
        <x:v>Batu 20, Jalan Sungai Tiram</x:v>
      </x:c>
      <x:c r="C74" s="12" t="str">
        <x:v>YES</x:v>
      </x:c>
      <x:c r="D74" s="12" t="n">
        <x:v>2019</x:v>
      </x:c>
      <x:c r="E74" s="12" t="str">
        <x:v>EVT-JB-20191215-JALAN-BATU-20</x:v>
      </x:c>
      <x:c r="F74" s="18" t="n">
        <x:v>43814</x:v>
      </x:c>
      <x:c r="G74" s="12" t="str">
        <x:v>DG-JB-20191215</x:v>
      </x:c>
      <x:c r="H74" s="12" t="str">
        <x:v>JBLOC-0005</x:v>
      </x:c>
      <x:c r="I74" s="12" t="str">
        <x:v>LOC-CAND-JB-JALAN-BATU-20-2019</x:v>
      </x:c>
      <x:c r="J74" s="12" t="str">
        <x:v>Jalan Batu 20</x:v>
      </x:c>
      <x:c r="K74" s="12" t="str">
        <x:v>Batu 20, Jalan Sungai Tiram</x:v>
      </x:c>
      <x:c r="L74" s="12" t="str">
        <x:v>Road</x:v>
      </x:c>
      <x:c r="M74" s="12" t="str">
        <x:v>Flood / flash flood</x:v>
      </x:c>
      <x:c r="N74" s="12" t="str">
        <x:v>Verified - JPS annual report event table</x:v>
      </x:c>
      <x:c r="O74" s="12" t="str">
        <x:v>SRC_R2019_JPS_2019_TABLE</x:v>
      </x:c>
      <x:c r="P74" s="12"/>
      <x:c r="Q74" s="12" t="n">
        <x:v>103.9119375</x:v>
      </x:c>
      <x:c r="R74" s="12" t="n">
        <x:v>1.5850625</x:v>
      </x:c>
      <x:c r="S74" s="12" t="str">
        <x:v>YES</x:v>
      </x:c>
      <x:c r="T74" s="12" t="str">
        <x:v>PLOT</x:v>
      </x:c>
      <x:c r="U74" s="12"/>
      <x:c r="V74" s="12" t="str">
        <x:v>ROAD IDENTITY/GEOCODE/SEGMENT PENDING</x:v>
      </x:c>
      <x:c r="W74" s="12" t="str">
        <x:v>https://www.scribd.com/document/975564939/JPS2019</x:v>
      </x:c>
      <x:c r="X74" s="12"/>
    </x:row>
    <x:row r="75">
      <x:c r="A75" s="12" t="str">
        <x:v>FLOC-0134</x:v>
      </x:c>
      <x:c r="B75" s="12" t="str">
        <x:v>Kg. Sentosa (Cahaya Baru / eastern Johor Bahru)</x:v>
      </x:c>
      <x:c r="C75" s="12" t="str">
        <x:v>YES</x:v>
      </x:c>
      <x:c r="D75" s="12" t="n">
        <x:v>2019</x:v>
      </x:c>
      <x:c r="E75" s="12" t="str">
        <x:v>EVT-JB-20191215-KAMPUNG-SENTOSA</x:v>
      </x:c>
      <x:c r="F75" s="18" t="n">
        <x:v>43814</x:v>
      </x:c>
      <x:c r="G75" s="12" t="str">
        <x:v>DG-JB-20191215</x:v>
      </x:c>
      <x:c r="H75" s="12" t="str">
        <x:v>JBLOC-0122</x:v>
      </x:c>
      <x:c r="I75" s="12" t="str">
        <x:v>LOC-CAND-JB-KG-SENTOSA-2019</x:v>
      </x:c>
      <x:c r="J75" s="12" t="str">
        <x:v>Kampung Sentosa</x:v>
      </x:c>
      <x:c r="K75" s="12" t="str">
        <x:v>Kg. Sentosa (Cahaya Baru / eastern Johor Bahru)</x:v>
      </x:c>
      <x:c r="L75" s="12" t="str">
        <x:v>Kampung</x:v>
      </x:c>
      <x:c r="M75" s="12" t="str">
        <x:v>Flood / flash flood</x:v>
      </x:c>
      <x:c r="N75" s="12" t="str">
        <x:v>Verified - JPS annual report event table</x:v>
      </x:c>
      <x:c r="O75" s="12" t="str">
        <x:v>SRC_R2019_JPS_2019_TABLE</x:v>
      </x:c>
      <x:c r="P75" s="12"/>
      <x:c r="Q75" s="12" t="n">
        <x:v>103.92735539</x:v>
      </x:c>
      <x:c r="R75" s="12" t="n">
        <x:v>1.52125286</x:v>
      </x:c>
      <x:c r="S75" s="12" t="str">
        <x:v>YES</x:v>
      </x:c>
      <x:c r="T75" s="12" t="str">
        <x:v>PLOT</x:v>
      </x:c>
      <x:c r="U75" s="12"/>
      <x:c r="V75" s="12" t="str">
        <x:v>IDENTITY LINK PENDING</x:v>
      </x:c>
      <x:c r="W75" s="12" t="str">
        <x:v>https://www.scribd.com/document/975564939/JPS2019</x:v>
      </x:c>
      <x:c r="X75" s="12"/>
    </x:row>
    <x:row r="76">
      <x:c r="A76" s="12" t="str">
        <x:v>FLOC-0090</x:v>
      </x:c>
      <x:c r="B76" s="12" t="str">
        <x:v>Kampung Maju Jaya</x:v>
      </x:c>
      <x:c r="C76" s="12" t="str">
        <x:v>YES</x:v>
      </x:c>
      <x:c r="D76" s="12" t="n">
        <x:v>2019</x:v>
      </x:c>
      <x:c r="E76" s="12" t="str">
        <x:v>EVT-JB-20191215-KAMPUNG-MAJU-JAYA</x:v>
      </x:c>
      <x:c r="F76" s="18" t="n">
        <x:v>43814</x:v>
      </x:c>
      <x:c r="G76" s="12" t="str">
        <x:v>DG-JB-20191215</x:v>
      </x:c>
      <x:c r="H76" s="12" t="str">
        <x:v>JBLOC-0095</x:v>
      </x:c>
      <x:c r="I76" s="12" t="str">
        <x:v>LOC-JB-KG-MAJU-JAYA</x:v>
      </x:c>
      <x:c r="J76" s="12" t="str">
        <x:v>Kampung Maju Jaya</x:v>
      </x:c>
      <x:c r="K76" s="12" t="str">
        <x:v>Kampung Maju Jaya</x:v>
      </x:c>
      <x:c r="L76" s="12" t="str">
        <x:v>Kampung</x:v>
      </x:c>
      <x:c r="M76" s="12" t="str">
        <x:v>Flood / flash flood</x:v>
      </x:c>
      <x:c r="N76" s="12" t="str">
        <x:v>Verified - JPS annual report event table</x:v>
      </x:c>
      <x:c r="O76" s="12" t="str">
        <x:v>SRC_R2019_JPS_2019_TABLE</x:v>
      </x:c>
      <x:c r="P76" s="12"/>
      <x:c r="Q76" s="12" t="n">
        <x:v>103.71592</x:v>
      </x:c>
      <x:c r="R76" s="12" t="n">
        <x:v>1.58109</x:v>
      </x:c>
      <x:c r="S76" s="12" t="str">
        <x:v>YES</x:v>
      </x:c>
      <x:c r="T76" s="12" t="str">
        <x:v>PLOT</x:v>
      </x:c>
      <x:c r="U76" s="12"/>
      <x:c r="V76" s="12" t="str">
        <x:v>POINT RESOLVED; community polygon pending</x:v>
      </x:c>
      <x:c r="W76" s="12" t="str">
        <x:v>https://www.scribd.com/document/975564939/JPS2019</x:v>
      </x:c>
      <x:c r="X76" s="12"/>
    </x:row>
    <x:row r="77">
      <x:c r="A77" s="12" t="str">
        <x:v>FLOC-0098</x:v>
      </x:c>
      <x:c r="B77" s="12" t="str">
        <x:v>Kampung Paya Kenangan</x:v>
      </x:c>
      <x:c r="C77" s="12" t="str">
        <x:v>YES</x:v>
      </x:c>
      <x:c r="D77" s="12" t="n">
        <x:v>2019</x:v>
      </x:c>
      <x:c r="E77" s="12" t="str">
        <x:v>EVT-JB-20191215-KAMPUNG-PAYA-KENANGAN</x:v>
      </x:c>
      <x:c r="F77" s="18" t="n">
        <x:v>43814</x:v>
      </x:c>
      <x:c r="G77" s="12" t="str">
        <x:v>DG-JB-20191215</x:v>
      </x:c>
      <x:c r="H77" s="12" t="str">
        <x:v>JBLOC-0110</x:v>
      </x:c>
      <x:c r="I77" s="12" t="str">
        <x:v>LOC-JB-KG-PAYA-KENANGAN</x:v>
      </x:c>
      <x:c r="J77" s="12" t="str">
        <x:v>Kampung Paya Kenangan</x:v>
      </x:c>
      <x:c r="K77" s="12" t="str">
        <x:v>Kampung Paya Kenangan</x:v>
      </x:c>
      <x:c r="L77" s="12" t="str">
        <x:v>Kampung</x:v>
      </x:c>
      <x:c r="M77" s="12" t="str">
        <x:v>Flood / flash flood</x:v>
      </x:c>
      <x:c r="N77" s="12" t="str">
        <x:v>Verified - JPS annual report event table</x:v>
      </x:c>
      <x:c r="O77" s="12" t="str">
        <x:v>SRC_R2019_JPS_2019_TABLE</x:v>
      </x:c>
      <x:c r="P77" s="12"/>
      <x:c r="Q77" s="12" t="n">
        <x:v>103.74961954</x:v>
      </x:c>
      <x:c r="R77" s="12" t="n">
        <x:v>1.5403203</x:v>
      </x:c>
      <x:c r="S77" s="12" t="str">
        <x:v>YES</x:v>
      </x:c>
      <x:c r="T77" s="12" t="str">
        <x:v>PLOT</x:v>
      </x:c>
      <x:c r="U77" s="12"/>
      <x:c r="V77" s="12" t="str">
        <x:v>POINT; polygon pending</x:v>
      </x:c>
      <x:c r="W77" s="12" t="str">
        <x:v>https://www.scribd.com/document/975564939/JPS2019</x:v>
      </x:c>
      <x:c r="X77" s="12"/>
    </x:row>
    <x:row r="78">
      <x:c r="A78" s="12" t="str">
        <x:v>FLOC-0095</x:v>
      </x:c>
      <x:c r="B78" s="12" t="str">
        <x:v>Kampung Pasir Tebrau</x:v>
      </x:c>
      <x:c r="C78" s="12" t="str">
        <x:v>YES</x:v>
      </x:c>
      <x:c r="D78" s="12" t="n">
        <x:v>2019</x:v>
      </x:c>
      <x:c r="E78" s="12" t="str">
        <x:v>EVT-JB-20191215-KAMPUNG-PASIR-TEBRAU</x:v>
      </x:c>
      <x:c r="F78" s="18" t="n">
        <x:v>43814</x:v>
      </x:c>
      <x:c r="G78" s="12" t="str">
        <x:v>DG-JB-20191215</x:v>
      </x:c>
      <x:c r="H78" s="12" t="str">
        <x:v>JBLOC-0107</x:v>
      </x:c>
      <x:c r="I78" s="12" t="str">
        <x:v>LOC-JB-KG-PASIR-TEBRAU</x:v>
      </x:c>
      <x:c r="J78" s="12" t="str">
        <x:v>Kampung Pasir Tebrau</x:v>
      </x:c>
      <x:c r="K78" s="12" t="str">
        <x:v>Kampung Pasir Tebrau</x:v>
      </x:c>
      <x:c r="L78" s="12" t="str">
        <x:v>Kampung</x:v>
      </x:c>
      <x:c r="M78" s="12" t="str">
        <x:v>Flood / flash flood</x:v>
      </x:c>
      <x:c r="N78" s="12" t="str">
        <x:v>Verified - JPS annual report event table</x:v>
      </x:c>
      <x:c r="O78" s="12" t="str">
        <x:v>SRC_R2019_JPS_2019_TABLE</x:v>
      </x:c>
      <x:c r="P78" s="12"/>
      <x:c r="Q78" s="12" t="n">
        <x:v>103.74327778</x:v>
      </x:c>
      <x:c r="R78" s="12" t="n">
        <x:v>1.54413889</x:v>
      </x:c>
      <x:c r="S78" s="12" t="str">
        <x:v>YES</x:v>
      </x:c>
      <x:c r="T78" s="12" t="str">
        <x:v>PLOT</x:v>
      </x:c>
      <x:c r="U78" s="12"/>
      <x:c r="V78" s="12" t="str">
        <x:v>POINT RESOLVED; community polygon pending</x:v>
      </x:c>
      <x:c r="W78" s="12" t="str">
        <x:v>https://www.scribd.com/document/975564939/JPS2019</x:v>
      </x:c>
      <x:c r="X78" s="12"/>
    </x:row>
    <x:row r="79">
      <x:c r="A79" s="12" t="str">
        <x:v>FLOC-0111</x:v>
      </x:c>
      <x:c r="B79" s="12" t="str">
        <x:v>Kampung Sinaran (JPS label)</x:v>
      </x:c>
      <x:c r="C79" s="12" t="str">
        <x:v>YES</x:v>
      </x:c>
      <x:c r="D79" s="12" t="n">
        <x:v>2019</x:v>
      </x:c>
      <x:c r="E79" s="12" t="str">
        <x:v>EVT-JB-20191215-KAMPUNG-SINARAN</x:v>
      </x:c>
      <x:c r="F79" s="18" t="n">
        <x:v>43814</x:v>
      </x:c>
      <x:c r="G79" s="12" t="str">
        <x:v>DG-JB-20191215</x:v>
      </x:c>
      <x:c r="H79" s="12" t="str">
        <x:v>JBLOC-0131</x:v>
      </x:c>
      <x:c r="I79" s="12" t="str">
        <x:v>LOC-CAND-JB-KG-SINARAN-2019</x:v>
      </x:c>
      <x:c r="J79" s="12" t="str">
        <x:v>Kampung Sinaran</x:v>
      </x:c>
      <x:c r="K79" s="12" t="str">
        <x:v>Kampung Sinaran (JPS label)</x:v>
      </x:c>
      <x:c r="L79" s="12" t="str">
        <x:v>Kampung</x:v>
      </x:c>
      <x:c r="M79" s="12" t="str">
        <x:v>Flood / flash flood</x:v>
      </x:c>
      <x:c r="N79" s="12" t="str">
        <x:v>Verified - JPS annual report event table</x:v>
      </x:c>
      <x:c r="O79" s="12" t="str">
        <x:v>SRC_R2019_JPS_2019_TABLE</x:v>
      </x:c>
      <x:c r="P79" s="12"/>
      <x:c r="Q79" s="12" t="n">
        <x:v>103.71992</x:v>
      </x:c>
      <x:c r="R79" s="12" t="n">
        <x:v>1.59821</x:v>
      </x:c>
      <x:c r="S79" s="12" t="str">
        <x:v>NO</x:v>
      </x:c>
      <x:c r="T79" s="12" t="str">
        <x:v>DO NOT PLOT</x:v>
      </x:c>
      <x:c r="U79" s="12"/>
      <x:c r="V79" s="12" t="str">
        <x:v>CANDIDATE POINT; polygon pending</x:v>
      </x:c>
      <x:c r="W79" s="12" t="str">
        <x:v>https://www.scribd.com/document/975564939/JPS2019</x:v>
      </x:c>
      <x:c r="X79" s="12"/>
    </x:row>
    <x:row r="80">
      <x:c r="A80" s="12" t="str">
        <x:v>FLOC-0100</x:v>
      </x:c>
      <x:c r="B80" s="12" t="str">
        <x:v>Kampung Paya Tiram, Sg. Layang / Sg. Redan context</x:v>
      </x:c>
      <x:c r="C80" s="12" t="str">
        <x:v>YES</x:v>
      </x:c>
      <x:c r="D80" s="12" t="n">
        <x:v>2019</x:v>
      </x:c>
      <x:c r="E80" s="12" t="str">
        <x:v>EVT-JB-20191215-KAMPUNG-PAYA-TIRAM</x:v>
      </x:c>
      <x:c r="F80" s="18" t="n">
        <x:v>43814</x:v>
      </x:c>
      <x:c r="G80" s="12" t="str">
        <x:v>DG-JB-20191215</x:v>
      </x:c>
      <x:c r="H80" s="12" t="str">
        <x:v>JBLOC-0114</x:v>
      </x:c>
      <x:c r="I80" s="12" t="str">
        <x:v>LOC-CAND-JB-KG-PAYA-TIRAM-2019</x:v>
      </x:c>
      <x:c r="J80" s="12" t="str">
        <x:v>Kampung Paya Tiram</x:v>
      </x:c>
      <x:c r="K80" s="12" t="str">
        <x:v>Kampung Paya Tiram, Sg. Layang / Sg. Redan context</x:v>
      </x:c>
      <x:c r="L80" s="12" t="str">
        <x:v>Kampung</x:v>
      </x:c>
      <x:c r="M80" s="12" t="str">
        <x:v>Flood / flash flood</x:v>
      </x:c>
      <x:c r="N80" s="12" t="str">
        <x:v>Verified - JPS annual report event table</x:v>
      </x:c>
      <x:c r="O80" s="12" t="str">
        <x:v>SRC_R2019_JPS_2019_TABLE</x:v>
      </x:c>
      <x:c r="P80" s="12"/>
      <x:c r="Q80" s="12"/>
      <x:c r="R80" s="12"/>
      <x:c r="S80" s="12" t="str">
        <x:v>NO</x:v>
      </x:c>
      <x:c r="T80" s="12" t="str">
        <x:v>DO NOT PLOT</x:v>
      </x:c>
      <x:c r="U80" s="12"/>
      <x:c r="V80" s="12" t="str">
        <x:v>GEOCODE/POLYGON PENDING</x:v>
      </x:c>
      <x:c r="W80" s="12" t="str">
        <x:v>https://www.scribd.com/document/975564939/JPS2019</x:v>
      </x:c>
      <x:c r="X80" s="12"/>
    </x:row>
    <x:row r="81">
      <x:c r="A81" s="12" t="str">
        <x:v>FLOC-0089</x:v>
      </x:c>
      <x:c r="B81" s="12" t="str">
        <x:v>Kampung Laut Batu 10, Skudai</x:v>
      </x:c>
      <x:c r="C81" s="12" t="str">
        <x:v>YES</x:v>
      </x:c>
      <x:c r="D81" s="12" t="n">
        <x:v>2019</x:v>
      </x:c>
      <x:c r="E81" s="12" t="str">
        <x:v>EVT-JB-20191215-KAMPUNG-LAUT</x:v>
      </x:c>
      <x:c r="F81" s="18" t="n">
        <x:v>43814</x:v>
      </x:c>
      <x:c r="G81" s="12" t="str">
        <x:v>DG-JB-20191215</x:v>
      </x:c>
      <x:c r="H81" s="12" t="str">
        <x:v>JBLOC-0093</x:v>
      </x:c>
      <x:c r="I81" s="12" t="str">
        <x:v>LOC-JB-KG-LAUT-SKUDAI</x:v>
      </x:c>
      <x:c r="J81" s="12" t="str">
        <x:v>Kampung Laut</x:v>
      </x:c>
      <x:c r="K81" s="12" t="str">
        <x:v>Kampung Laut Batu 10, Skudai</x:v>
      </x:c>
      <x:c r="L81" s="12" t="str">
        <x:v>Kampung</x:v>
      </x:c>
      <x:c r="M81" s="12" t="str">
        <x:v>Flood / flash flood</x:v>
      </x:c>
      <x:c r="N81" s="12" t="str">
        <x:v>Verified - JPS annual report event table</x:v>
      </x:c>
      <x:c r="O81" s="12" t="str">
        <x:v>SRC_R2019_JPS_2019_TABLE</x:v>
      </x:c>
      <x:c r="P81" s="12"/>
      <x:c r="Q81" s="12" t="n">
        <x:v>103.6605</x:v>
      </x:c>
      <x:c r="R81" s="12" t="n">
        <x:v>1.5453</x:v>
      </x:c>
      <x:c r="S81" s="12" t="str">
        <x:v>YES</x:v>
      </x:c>
      <x:c r="T81" s="12" t="str">
        <x:v>PLOT</x:v>
      </x:c>
      <x:c r="U81" s="12"/>
      <x:c r="V81" s="12" t="str">
        <x:v>POINT; POLYGON PENDING</x:v>
      </x:c>
      <x:c r="W81" s="12" t="str">
        <x:v>https://www.scribd.com/document/975564939/JPS2019</x:v>
      </x:c>
      <x:c r="X81" s="12" t="str">
        <x:v>Reuses the Skudai/Pulai Kampung Laut object; episode includes nearby Sepakat Baru and Batu 8 1/2 TUTA.</x:v>
      </x:c>
    </x:row>
    <x:row r="82">
      <x:c r="A82" s="12" t="str">
        <x:v>FLOC-0109</x:v>
      </x:c>
      <x:c r="B82" s="12" t="str">
        <x:v>Kampung Sepakat Baru</x:v>
      </x:c>
      <x:c r="C82" s="12" t="str">
        <x:v>YES</x:v>
      </x:c>
      <x:c r="D82" s="12" t="n">
        <x:v>2019</x:v>
      </x:c>
      <x:c r="E82" s="12" t="str">
        <x:v>EVT-JB-20191215-KAMPUNG-SEPAKAT-BARU</x:v>
      </x:c>
      <x:c r="F82" s="18" t="n">
        <x:v>43814</x:v>
      </x:c>
      <x:c r="G82" s="12" t="str">
        <x:v>DG-JB-20191215</x:v>
      </x:c>
      <x:c r="H82" s="12" t="str">
        <x:v>JBLOC-0125</x:v>
      </x:c>
      <x:c r="I82" s="12" t="str">
        <x:v>LOC-JB-KG-SEPAKAT-BARU</x:v>
      </x:c>
      <x:c r="J82" s="12" t="str">
        <x:v>Kampung Sepakat Baru</x:v>
      </x:c>
      <x:c r="K82" s="12" t="str">
        <x:v>Kampung Sepakat Baru</x:v>
      </x:c>
      <x:c r="L82" s="12" t="str">
        <x:v>Kampung / residential hamlet</x:v>
      </x:c>
      <x:c r="M82" s="12" t="str">
        <x:v>Flood / flash flood</x:v>
      </x:c>
      <x:c r="N82" s="12" t="str">
        <x:v>Verified - JPS annual report event table</x:v>
      </x:c>
      <x:c r="O82" s="12" t="str">
        <x:v>SRC_R2019_JPS_2019_TABLE</x:v>
      </x:c>
      <x:c r="P82" s="12"/>
      <x:c r="Q82" s="12" t="n">
        <x:v>103.66117</x:v>
      </x:c>
      <x:c r="R82" s="12" t="n">
        <x:v>1.56411</x:v>
      </x:c>
      <x:c r="S82" s="12" t="str">
        <x:v>YES</x:v>
      </x:c>
      <x:c r="T82" s="12" t="str">
        <x:v>PLOT</x:v>
      </x:c>
      <x:c r="U82" s="12"/>
      <x:c r="V82" s="12" t="str">
        <x:v>CLOSED COMMUNITY BOUNDARY SOURCE VERIFIED; WKT pending</x:v>
      </x:c>
      <x:c r="W82" s="12" t="str">
        <x:v>https://www.scribd.com/document/975564939/JPS2019</x:v>
      </x:c>
      <x:c r="X82" s="12"/>
    </x:row>
    <x:row r="83">
      <x:c r="A83" s="12" t="str">
        <x:v>FLOC-0075</x:v>
      </x:c>
      <x:c r="B83" s="12" t="str">
        <x:v>Kampung Batu 8 1/2, TUTA</x:v>
      </x:c>
      <x:c r="C83" s="12" t="str">
        <x:v>YES</x:v>
      </x:c>
      <x:c r="D83" s="12" t="n">
        <x:v>2019</x:v>
      </x:c>
      <x:c r="E83" s="12" t="str">
        <x:v>EVT-JB-20191215-KAMPUNG-BATU-8-1-2-TUTA</x:v>
      </x:c>
      <x:c r="F83" s="18" t="n">
        <x:v>43814</x:v>
      </x:c>
      <x:c r="G83" s="12" t="str">
        <x:v>DG-JB-20191215</x:v>
      </x:c>
      <x:c r="H83" s="12" t="str">
        <x:v>JBLOC-0078</x:v>
      </x:c>
      <x:c r="I83" s="12" t="str">
        <x:v>LOC-JB-KG-BATU-8-5-TUTA</x:v>
      </x:c>
      <x:c r="J83" s="12" t="str">
        <x:v>Kampung Batu 8 1/2 TUTA</x:v>
      </x:c>
      <x:c r="K83" s="12" t="str">
        <x:v>Kampung Batu 8 1/2, TUTA</x:v>
      </x:c>
      <x:c r="L83" s="12" t="str">
        <x:v>Kampung</x:v>
      </x:c>
      <x:c r="M83" s="12" t="str">
        <x:v>Flood / flash flood</x:v>
      </x:c>
      <x:c r="N83" s="12" t="str">
        <x:v>Verified - JPS annual report event table</x:v>
      </x:c>
      <x:c r="O83" s="12" t="str">
        <x:v>SRC_R2019_JPS_2019_TABLE</x:v>
      </x:c>
      <x:c r="P83" s="12"/>
      <x:c r="Q83" s="12" t="n">
        <x:v>103.67230887</x:v>
      </x:c>
      <x:c r="R83" s="12" t="n">
        <x:v>1.52340697</x:v>
      </x:c>
      <x:c r="S83" s="12" t="str">
        <x:v>YES</x:v>
      </x:c>
      <x:c r="T83" s="12" t="str">
        <x:v>PLOT</x:v>
      </x:c>
      <x:c r="U83" s="12"/>
      <x:c r="V83" s="12" t="str">
        <x:v>POINT RESOLVED; polygon pending</x:v>
      </x:c>
      <x:c r="W83" s="12" t="str">
        <x:v>https://www.scribd.com/document/975564939/JPS2019</x:v>
      </x:c>
      <x:c r="X83" s="12"/>
    </x:row>
    <x:row r="84">
      <x:c r="A84" s="12" t="str">
        <x:v>FLOC-0080</x:v>
      </x:c>
      <x:c r="B84" s="12" t="str">
        <x:v>Kampung Bunga Ros</x:v>
      </x:c>
      <x:c r="C84" s="12" t="str">
        <x:v>YES</x:v>
      </x:c>
      <x:c r="D84" s="12" t="n">
        <x:v>2019</x:v>
      </x:c>
      <x:c r="E84" s="12" t="str">
        <x:v>EVT-JB-20191215-KAMPUNG-BUNGA-ROS</x:v>
      </x:c>
      <x:c r="F84" s="18" t="n">
        <x:v>43814</x:v>
      </x:c>
      <x:c r="G84" s="12" t="str">
        <x:v>DG-JB-20191215</x:v>
      </x:c>
      <x:c r="H84" s="12" t="str">
        <x:v>JBLOC-0083</x:v>
      </x:c>
      <x:c r="I84" s="12" t="str">
        <x:v>LOC-JB-KG-BUNGA-ROS</x:v>
      </x:c>
      <x:c r="J84" s="12" t="str">
        <x:v>Kampung Bunga Ros</x:v>
      </x:c>
      <x:c r="K84" s="12" t="str">
        <x:v>Kampung Bunga Ros</x:v>
      </x:c>
      <x:c r="L84" s="12" t="str">
        <x:v>Kampung</x:v>
      </x:c>
      <x:c r="M84" s="12" t="str">
        <x:v>Flood / flash flood</x:v>
      </x:c>
      <x:c r="N84" s="12" t="str">
        <x:v>Verified - JPS annual report event table</x:v>
      </x:c>
      <x:c r="O84" s="12" t="str">
        <x:v>SRC_R2019_JPS_2019_TABLE</x:v>
      </x:c>
      <x:c r="P84" s="12"/>
      <x:c r="Q84" s="12" t="n">
        <x:v>103.75965347</x:v>
      </x:c>
      <x:c r="R84" s="12" t="n">
        <x:v>1.53411714</x:v>
      </x:c>
      <x:c r="S84" s="12" t="str">
        <x:v>YES</x:v>
      </x:c>
      <x:c r="T84" s="12" t="str">
        <x:v>PLOT</x:v>
      </x:c>
      <x:c r="U84" s="12"/>
      <x:c r="V84" s="12" t="str">
        <x:v>POINT RESOLVED; community polygon pending</x:v>
      </x:c>
      <x:c r="W84" s="12" t="str">
        <x:v>https://www.scribd.com/document/975564939/JPS2019</x:v>
      </x:c>
      <x:c r="X84" s="12"/>
    </x:row>
    <x:row r="85">
      <x:c r="A85" s="12" t="str">
        <x:v>FLOC-0048</x:v>
      </x:c>
      <x:c r="B85" s="12" t="str">
        <x:v>Jalan Permatang 6, Kempas</x:v>
      </x:c>
      <x:c r="C85" s="12" t="str">
        <x:v>YES</x:v>
      </x:c>
      <x:c r="D85" s="12" t="n">
        <x:v>2020</x:v>
      </x:c>
      <x:c r="E85" s="12" t="str">
        <x:v>EVT-JB-20200405-JALAN-PERMATANG-6-KEMPAS</x:v>
      </x:c>
      <x:c r="F85" s="18" t="n">
        <x:v>43926</x:v>
      </x:c>
      <x:c r="G85" s="12" t="str">
        <x:v>DG-JB-20200405</x:v>
      </x:c>
      <x:c r="H85" s="12" t="str">
        <x:v>JBLOC-0050</x:v>
      </x:c>
      <x:c r="I85" s="12" t="str">
        <x:v>LOC-JB-JLN-PERMATANG-6-KEMPAS</x:v>
      </x:c>
      <x:c r="J85" s="12" t="str">
        <x:v>Jalan Permatang 6, Kempas</x:v>
      </x:c>
      <x:c r="K85" s="12" t="str">
        <x:v>Jalan Permatang 6, Kempas</x:v>
      </x:c>
      <x:c r="L85" s="12" t="str">
        <x:v>Road</x:v>
      </x:c>
      <x:c r="M85" s="12" t="str">
        <x:v>Flood / flash flood</x:v>
      </x:c>
      <x:c r="N85" s="12" t="str">
        <x:v>Verified event evidence; spatial status per Location_Master</x:v>
      </x:c>
      <x:c r="O85" s="12" t="str">
        <x:v>SRC_R2020_BERNAMA_20200405</x:v>
      </x:c>
      <x:c r="P85" s="12"/>
      <x:c r="Q85" s="12" t="n">
        <x:v>103.7232702</x:v>
      </x:c>
      <x:c r="R85" s="12" t="n">
        <x:v>1.5353449</x:v>
      </x:c>
      <x:c r="S85" s="12" t="str">
        <x:v>NO</x:v>
      </x:c>
      <x:c r="T85" s="12" t="str">
        <x:v>DO NOT PLOT</x:v>
      </x:c>
      <x:c r="U85" s="12"/>
      <x:c r="V85" s="12" t="str">
        <x:v>ROAD REFERENCE RESOLVED; exact event segment pending</x:v>
      </x:c>
      <x:c r="W85" s="12" t="str">
        <x:v>https://www.bernama.com/en/news.php?id=1828912</x:v>
      </x:c>
      <x:c r="X85" s="12" t="str">
        <x:v>Independent Fire &amp; Rescue/Bernama event not listed in the JPS Johor annual table.</x:v>
      </x:c>
    </x:row>
    <x:row r="86">
      <x:c r="A86" s="12" t="str">
        <x:v>FLOC-0123</x:v>
      </x:c>
      <x:c r="B86" s="12" t="str">
        <x:v>Kampung Tuah Jaya</x:v>
      </x:c>
      <x:c r="C86" s="12" t="str">
        <x:v>YES</x:v>
      </x:c>
      <x:c r="D86" s="12" t="n">
        <x:v>2020</x:v>
      </x:c>
      <x:c r="E86" s="12" t="str">
        <x:v>EVT-JB-20200424-KAMPUNG-TUAH-JAYA</x:v>
      </x:c>
      <x:c r="F86" s="18" t="n">
        <x:v>43945</x:v>
      </x:c>
      <x:c r="G86" s="12" t="str">
        <x:v>DG-JB-20200424</x:v>
      </x:c>
      <x:c r="H86" s="12" t="str">
        <x:v>JBLOC-0145</x:v>
      </x:c>
      <x:c r="I86" s="12" t="str">
        <x:v>LOC-JB-KG-TUAH-JAYA</x:v>
      </x:c>
      <x:c r="J86" s="12" t="str">
        <x:v>Kampung Tuah Jaya</x:v>
      </x:c>
      <x:c r="K86" s="12" t="str">
        <x:v>Kampung Tuah Jaya</x:v>
      </x:c>
      <x:c r="L86" s="12" t="str">
        <x:v>Residential hamlet</x:v>
      </x:c>
      <x:c r="M86" s="12" t="str">
        <x:v>Flood / flash flood</x:v>
      </x:c>
      <x:c r="N86" s="12" t="str">
        <x:v>Verified event evidence; spatial status per Location_Master</x:v>
      </x:c>
      <x:c r="O86" s="12" t="str">
        <x:v>SRC_R2020_JPS_2020_TABLE</x:v>
      </x:c>
      <x:c r="P86" s="12"/>
      <x:c r="Q86" s="12" t="n">
        <x:v>103.67688</x:v>
      </x:c>
      <x:c r="R86" s="12" t="n">
        <x:v>1.47873</x:v>
      </x:c>
      <x:c r="S86" s="12" t="str">
        <x:v>YES</x:v>
      </x:c>
      <x:c r="T86" s="12" t="str">
        <x:v>PLOT</x:v>
      </x:c>
      <x:c r="U86" s="12"/>
      <x:c r="V86" s="12" t="str">
        <x:v>CLOSED</x:v>
      </x:c>
      <x:c r="W86" s="12" t="str">
        <x:v>https://bangi.pulasan.my/_media/lampiran/lbt2020.pdf</x:v>
      </x:c>
      <x:c r="X86" s="12"/>
    </x:row>
    <x:row r="87">
      <x:c r="A87" s="12" t="str">
        <x:v>FLOC-0134</x:v>
      </x:c>
      <x:c r="B87" s="12" t="str">
        <x:v>Kg. Sentosa (Cahaya Baru / eastern Johor Bahru)</x:v>
      </x:c>
      <x:c r="C87" s="12" t="str">
        <x:v>YES</x:v>
      </x:c>
      <x:c r="D87" s="12" t="n">
        <x:v>2020</x:v>
      </x:c>
      <x:c r="E87" s="12" t="str">
        <x:v>EVT-JB-20200505-KAMPUNG-SENTOSA</x:v>
      </x:c>
      <x:c r="F87" s="18" t="n">
        <x:v>43956</x:v>
      </x:c>
      <x:c r="G87" s="12" t="str">
        <x:v>DG-JB-20200505</x:v>
      </x:c>
      <x:c r="H87" s="12" t="str">
        <x:v>JBLOC-0122</x:v>
      </x:c>
      <x:c r="I87" s="12" t="str">
        <x:v>LOC-CAND-JB-KG-SENTOSA-2019</x:v>
      </x:c>
      <x:c r="J87" s="12" t="str">
        <x:v>Kampung Sentosa</x:v>
      </x:c>
      <x:c r="K87" s="12" t="str">
        <x:v>Kg. Sentosa (Cahaya Baru / eastern Johor Bahru)</x:v>
      </x:c>
      <x:c r="L87" s="12" t="str">
        <x:v>Kampung</x:v>
      </x:c>
      <x:c r="M87" s="12" t="str">
        <x:v>Flood / flash flood</x:v>
      </x:c>
      <x:c r="N87" s="12" t="str">
        <x:v>Verified event evidence; spatial status per Location_Master</x:v>
      </x:c>
      <x:c r="O87" s="12" t="str">
        <x:v>SRC_R2020_JPS_2020_TABLE</x:v>
      </x:c>
      <x:c r="P87" s="12"/>
      <x:c r="Q87" s="12" t="n">
        <x:v>103.92735539</x:v>
      </x:c>
      <x:c r="R87" s="12" t="n">
        <x:v>1.52125286</x:v>
      </x:c>
      <x:c r="S87" s="12" t="str">
        <x:v>YES</x:v>
      </x:c>
      <x:c r="T87" s="12" t="str">
        <x:v>PLOT</x:v>
      </x:c>
      <x:c r="U87" s="12"/>
      <x:c r="V87" s="12" t="str">
        <x:v>IDENTITY LINK PENDING</x:v>
      </x:c>
      <x:c r="W87" s="12" t="str">
        <x:v>https://bangi.pulasan.my/_media/lampiran/lbt2020.pdf</x:v>
      </x:c>
      <x:c r="X87" s="12" t="str">
        <x:v>Reuses the generic Sentosa candidate object; no silent merge with a specific Sentosa sector.</x:v>
      </x:c>
    </x:row>
    <x:row r="88">
      <x:c r="A88" s="12" t="str">
        <x:v>FLOC-0064</x:v>
      </x:c>
      <x:c r="B88" s="12" t="str">
        <x:v>Jalan Tawakal, Kampung Melayu Kangkar Pulai</x:v>
      </x:c>
      <x:c r="C88" s="12" t="str">
        <x:v>YES</x:v>
      </x:c>
      <x:c r="D88" s="12" t="n">
        <x:v>2020</x:v>
      </x:c>
      <x:c r="E88" s="12" t="str">
        <x:v>EVT-JB-20200513-JALAN-TAWAKAL-KAMPUNG-MELAYU-KANGKAR-PULAI</x:v>
      </x:c>
      <x:c r="F88" s="18" t="n">
        <x:v>43964</x:v>
      </x:c>
      <x:c r="G88" s="12" t="str">
        <x:v>DG-JB-20200513</x:v>
      </x:c>
      <x:c r="H88" s="12" t="str">
        <x:v>JBLOC-0066</x:v>
      </x:c>
      <x:c r="I88" s="12" t="str">
        <x:v>LOC-JB-JLN-TAWAKAL-KG-MELAYU-KANGKAR-PULAI</x:v>
      </x:c>
      <x:c r="J88" s="12" t="str">
        <x:v>Jalan Tawakal, Kampung Melayu Kangkar Pulai</x:v>
      </x:c>
      <x:c r="K88" s="12" t="str">
        <x:v>Jalan Tawakal, Kampung Melayu Kangkar Pulai</x:v>
      </x:c>
      <x:c r="L88" s="12" t="str">
        <x:v>Road within residential community</x:v>
      </x:c>
      <x:c r="M88" s="12" t="str">
        <x:v>Flood / flash flood</x:v>
      </x:c>
      <x:c r="N88" s="12" t="str">
        <x:v>Verified event evidence; spatial status per Location_Master</x:v>
      </x:c>
      <x:c r="O88" s="12" t="str">
        <x:v>SRC_R2020_JPS_2020_TABLE</x:v>
      </x:c>
      <x:c r="P88" s="12"/>
      <x:c r="Q88" s="12" t="n">
        <x:v>103.58622188</x:v>
      </x:c>
      <x:c r="R88" s="12" t="n">
        <x:v>1.55797471</x:v>
      </x:c>
      <x:c r="S88" s="12" t="str">
        <x:v>YES</x:v>
      </x:c>
      <x:c r="T88" s="12" t="str">
        <x:v>PLOT</x:v>
      </x:c>
      <x:c r="U88" s="12"/>
      <x:c r="V88" s="12" t="str">
        <x:v>CLOSED PARENT-COMMUNITY BOUNDARY SOURCE VERIFIED; road segment pending</x:v>
      </x:c>
      <x:c r="W88" s="12" t="str">
        <x:v>https://bangi.pulasan.my/_media/lampiran/lbt2020.pdf</x:v>
      </x:c>
      <x:c r="X88" s="12"/>
    </x:row>
    <x:row r="89">
      <x:c r="A89" s="12" t="str">
        <x:v>FLOC-0052</x:v>
      </x:c>
      <x:c r="B89" s="12" t="str">
        <x:v>Jalan Ros Merah</x:v>
      </x:c>
      <x:c r="C89" s="12" t="str">
        <x:v>YES</x:v>
      </x:c>
      <x:c r="D89" s="12" t="n">
        <x:v>2020</x:v>
      </x:c>
      <x:c r="E89" s="12" t="str">
        <x:v>EVT-JB-20200604-JALAN-ROSMERAH-JOHOR-JAYA</x:v>
      </x:c>
      <x:c r="F89" s="18" t="n">
        <x:v>43986</x:v>
      </x:c>
      <x:c r="G89" s="12" t="str">
        <x:v>DG-JB-20200604</x:v>
      </x:c>
      <x:c r="H89" s="12" t="str">
        <x:v>JBLOC-0054</x:v>
      </x:c>
      <x:c r="I89" s="12" t="str">
        <x:v>LOC-JB-JLN-ROS-MERAH</x:v>
      </x:c>
      <x:c r="J89" s="12" t="str">
        <x:v>Jalan Rosmerah, Johor Jaya</x:v>
      </x:c>
      <x:c r="K89" s="12" t="str">
        <x:v>Jalan Ros Merah</x:v>
      </x:c>
      <x:c r="L89" s="12" t="str">
        <x:v>Road</x:v>
      </x:c>
      <x:c r="M89" s="12" t="str">
        <x:v>Flood / flash flood</x:v>
      </x:c>
      <x:c r="N89" s="12" t="str">
        <x:v>Verified event evidence; spatial status per Location_Master</x:v>
      </x:c>
      <x:c r="O89" s="12" t="str">
        <x:v>SRC_R2020_JPS_2020_TABLE</x:v>
      </x:c>
      <x:c r="P89" s="12"/>
      <x:c r="Q89" s="12" t="n">
        <x:v>103.7947712</x:v>
      </x:c>
      <x:c r="R89" s="12" t="n">
        <x:v>1.534148</x:v>
      </x:c>
      <x:c r="S89" s="12" t="str">
        <x:v>YES</x:v>
      </x:c>
      <x:c r="T89" s="12" t="str">
        <x:v>PLOT</x:v>
      </x:c>
      <x:c r="U89" s="12"/>
      <x:c r="V89" s="12" t="str">
        <x:v>ROAD SEGMENT OPEN</x:v>
      </x:c>
      <x:c r="W89" s="12" t="str">
        <x:v>https://bangi.pulasan.my/_media/lampiran/lbt2020.pdf</x:v>
      </x:c>
      <x:c r="X89" s="12"/>
    </x:row>
    <x:row r="90">
      <x:c r="A90" s="12" t="str">
        <x:v>FLOC-0106</x:v>
      </x:c>
      <x:c r="B90" s="12" t="str">
        <x:v>Kampung Plentong</x:v>
      </x:c>
      <x:c r="C90" s="12" t="str">
        <x:v>YES</x:v>
      </x:c>
      <x:c r="D90" s="12" t="n">
        <x:v>2020</x:v>
      </x:c>
      <x:c r="E90" s="12" t="str">
        <x:v>EVT-JB-20200604-KAMPUNG-PLENTONG</x:v>
      </x:c>
      <x:c r="F90" s="18" t="n">
        <x:v>43986</x:v>
      </x:c>
      <x:c r="G90" s="12" t="str">
        <x:v>DG-JB-20200604</x:v>
      </x:c>
      <x:c r="H90" s="12" t="str">
        <x:v>JBLOC-0118</x:v>
      </x:c>
      <x:c r="I90" s="12" t="str">
        <x:v>LOC-JB-KG-PLENTONG-2020</x:v>
      </x:c>
      <x:c r="J90" s="12" t="str">
        <x:v>Kampung Plentong</x:v>
      </x:c>
      <x:c r="K90" s="12" t="str">
        <x:v>Kampung Plentong</x:v>
      </x:c>
      <x:c r="L90" s="12" t="str">
        <x:v>Kampung</x:v>
      </x:c>
      <x:c r="M90" s="12" t="str">
        <x:v>Flood / flash flood</x:v>
      </x:c>
      <x:c r="N90" s="12" t="str">
        <x:v>Verified event evidence; spatial status per Location_Master</x:v>
      </x:c>
      <x:c r="O90" s="12" t="str">
        <x:v>SRC_R2020_JPS_2020_TABLE</x:v>
      </x:c>
      <x:c r="P90" s="12"/>
      <x:c r="Q90" s="12" t="n">
        <x:v>103.800959</x:v>
      </x:c>
      <x:c r="R90" s="12" t="n">
        <x:v>1.493921</x:v>
      </x:c>
      <x:c r="S90" s="12" t="str">
        <x:v>YES</x:v>
      </x:c>
      <x:c r="T90" s="12" t="str">
        <x:v>PLOT</x:v>
      </x:c>
      <x:c r="U90" s="12"/>
      <x:c r="V90" s="12" t="str">
        <x:v>POINT RESOLVED; community polygon pending</x:v>
      </x:c>
      <x:c r="W90" s="12" t="str">
        <x:v>https://bangi.pulasan.my/_media/lampiran/lbt2020.pdf</x:v>
      </x:c>
      <x:c r="X90" s="12"/>
    </x:row>
    <x:row r="91">
      <x:c r="A91" s="12" t="str">
        <x:v>FLOC-0029</x:v>
      </x:c>
      <x:c r="B91" s="12" t="str">
        <x:v>Jalan Johor Bahru–Ulu Tiram, Desa Cemerlang</x:v>
      </x:c>
      <x:c r="C91" s="12" t="str">
        <x:v>YES</x:v>
      </x:c>
      <x:c r="D91" s="12" t="n">
        <x:v>2020</x:v>
      </x:c>
      <x:c r="E91" s="12" t="str">
        <x:v>EVT-JB-20200604-JALAN-JOHOR-BAHRU-ULU-TIRAM-DESA-CEMERLANG</x:v>
      </x:c>
      <x:c r="F91" s="18" t="n">
        <x:v>43986</x:v>
      </x:c>
      <x:c r="G91" s="12" t="str">
        <x:v>DG-JB-20200604</x:v>
      </x:c>
      <x:c r="H91" s="12" t="str">
        <x:v>JBLOC-0031</x:v>
      </x:c>
      <x:c r="I91" s="12" t="str">
        <x:v>LOC-JB-JLN-JB-ULU-TIRAM-DESA-CEMERLANG</x:v>
      </x:c>
      <x:c r="J91" s="12" t="str">
        <x:v>Jalan Johor Bahru–Ulu Tiram, Desa Cemerlang</x:v>
      </x:c>
      <x:c r="K91" s="12" t="str">
        <x:v>Jalan Johor Bahru–Ulu Tiram, Desa Cemerlang</x:v>
      </x:c>
      <x:c r="L91" s="12" t="str">
        <x:v>Road-area event reference</x:v>
      </x:c>
      <x:c r="M91" s="12" t="str">
        <x:v>Flood / flash flood</x:v>
      </x:c>
      <x:c r="N91" s="12" t="str">
        <x:v>Verified event evidence; spatial status per Location_Master</x:v>
      </x:c>
      <x:c r="O91" s="12" t="str">
        <x:v>SRC_R2020_JPS_2020_TABLE</x:v>
      </x:c>
      <x:c r="P91" s="12"/>
      <x:c r="Q91" s="12" t="n">
        <x:v>103.8009</x:v>
      </x:c>
      <x:c r="R91" s="12" t="n">
        <x:v>1.5513</x:v>
      </x:c>
      <x:c r="S91" s="12" t="str">
        <x:v>NO</x:v>
      </x:c>
      <x:c r="T91" s="12" t="str">
        <x:v>DO NOT PLOT</x:v>
      </x:c>
      <x:c r="U91" s="12"/>
      <x:c r="V91" s="12" t="str">
        <x:v>VALID EVENT ROAD-AREA POINT; exact segment polygon pending</x:v>
      </x:c>
      <x:c r="W91" s="12" t="str">
        <x:v>https://bangi.pulasan.my/_media/lampiran/lbt2020.pdf</x:v>
      </x:c>
      <x:c r="X91" s="12" t="str">
        <x:v>The identical 4 Jun JPS Johor Bahru block appears twice in the annual table; stored once.</x:v>
      </x:c>
    </x:row>
    <x:row r="92">
      <x:c r="A92" s="12" t="str">
        <x:v>FLOC-0025</x:v>
      </x:c>
      <x:c r="B92" s="12" t="str">
        <x:v>Jalan Gelang Patah–Lima Kedai</x:v>
      </x:c>
      <x:c r="C92" s="12" t="str">
        <x:v>YES</x:v>
      </x:c>
      <x:c r="D92" s="12" t="n">
        <x:v>2020</x:v>
      </x:c>
      <x:c r="E92" s="12" t="str">
        <x:v>EVT-JB-20200620-JALAN-GELANG-PATAH-LIMA-KEDAI</x:v>
      </x:c>
      <x:c r="F92" s="18" t="n">
        <x:v>44002</x:v>
      </x:c>
      <x:c r="G92" s="12" t="str">
        <x:v>DG-JB-20200620</x:v>
      </x:c>
      <x:c r="H92" s="12" t="str">
        <x:v>JBLOC-0027</x:v>
      </x:c>
      <x:c r="I92" s="12" t="str">
        <x:v>LOC-JB-JLN-GELANG-PATAH-LIMA-KEDAI</x:v>
      </x:c>
      <x:c r="J92" s="12" t="str">
        <x:v>Jalan Gelang Patah–Lima Kedai</x:v>
      </x:c>
      <x:c r="K92" s="12" t="str">
        <x:v>Jalan Gelang Patah–Lima Kedai</x:v>
      </x:c>
      <x:c r="L92" s="12" t="str">
        <x:v>Road-area event reference</x:v>
      </x:c>
      <x:c r="M92" s="12" t="str">
        <x:v>Flood / flash flood</x:v>
      </x:c>
      <x:c r="N92" s="12" t="str">
        <x:v>Verified event evidence; spatial status per Location_Master</x:v>
      </x:c>
      <x:c r="O92" s="12" t="str">
        <x:v>SRC_R2020_JPS_2020_TABLE</x:v>
      </x:c>
      <x:c r="P92" s="12"/>
      <x:c r="Q92" s="12" t="n">
        <x:v>103.6189</x:v>
      </x:c>
      <x:c r="R92" s="12" t="n">
        <x:v>1.5011</x:v>
      </x:c>
      <x:c r="S92" s="12" t="str">
        <x:v>NO</x:v>
      </x:c>
      <x:c r="T92" s="12" t="str">
        <x:v>DO NOT PLOT</x:v>
      </x:c>
      <x:c r="U92" s="12"/>
      <x:c r="V92" s="12" t="str">
        <x:v>VALID EVENT ROAD-AREA POINT; exact segment polygon pending</x:v>
      </x:c>
      <x:c r="W92" s="12" t="str">
        <x:v>https://bangi.pulasan.my/_media/lampiran/lbt2020.pdf</x:v>
      </x:c>
      <x:c r="X92" s="12"/>
    </x:row>
    <x:row r="93">
      <x:c r="A93" s="12" t="str">
        <x:v>FLOC-0074</x:v>
      </x:c>
      <x:c r="B93" s="12" t="str">
        <x:v>Kampung Baru Muafakat, Gelang Patah</x:v>
      </x:c>
      <x:c r="C93" s="12" t="str">
        <x:v>YES</x:v>
      </x:c>
      <x:c r="D93" s="12" t="n">
        <x:v>2020</x:v>
      </x:c>
      <x:c r="E93" s="12" t="str">
        <x:v>EVT-JB-20200620-KAMPUNG-BARU-MUAFAKAT</x:v>
      </x:c>
      <x:c r="F93" s="18" t="n">
        <x:v>44002</x:v>
      </x:c>
      <x:c r="G93" s="12" t="str">
        <x:v>DG-JB-20200620</x:v>
      </x:c>
      <x:c r="H93" s="12" t="str">
        <x:v>JBLOC-0077</x:v>
      </x:c>
      <x:c r="I93" s="12" t="str">
        <x:v>LOC-JB-KG-BARU-MUAFAKAT-GP</x:v>
      </x:c>
      <x:c r="J93" s="12" t="str">
        <x:v>Kampung Baru Muafakat</x:v>
      </x:c>
      <x:c r="K93" s="12" t="str">
        <x:v>Kampung Baru Muafakat, Gelang Patah</x:v>
      </x:c>
      <x:c r="L93" s="12" t="str">
        <x:v>Residential kampung</x:v>
      </x:c>
      <x:c r="M93" s="12" t="str">
        <x:v>Flood / flash flood</x:v>
      </x:c>
      <x:c r="N93" s="12" t="str">
        <x:v>Verified event evidence; spatial status per Location_Master</x:v>
      </x:c>
      <x:c r="O93" s="12" t="str">
        <x:v>SRC_R2020_JPS_2020_TABLE</x:v>
      </x:c>
      <x:c r="P93" s="12"/>
      <x:c r="Q93" s="12" t="n">
        <x:v>103.59504428</x:v>
      </x:c>
      <x:c r="R93" s="12" t="n">
        <x:v>1.44271108</x:v>
      </x:c>
      <x:c r="S93" s="12" t="str">
        <x:v>YES</x:v>
      </x:c>
      <x:c r="T93" s="12" t="str">
        <x:v>PLOT</x:v>
      </x:c>
      <x:c r="U93" s="12"/>
      <x:c r="V93" s="12" t="str">
        <x:v>CLOSED COMMUNITY BOUNDARY SOURCE VERIFIED; WKT pending</x:v>
      </x:c>
      <x:c r="W93" s="12" t="str">
        <x:v>https://bangi.pulasan.my/_media/lampiran/lbt2020.pdf</x:v>
      </x:c>
      <x:c r="X93" s="12"/>
    </x:row>
    <x:row r="94">
      <x:c r="A94" s="12" t="str">
        <x:v>FLOC-0126</x:v>
      </x:c>
      <x:c r="B94" s="12" t="str">
        <x:v>Kampung Wawasan, Gelang Patah (JPS label)</x:v>
      </x:c>
      <x:c r="C94" s="12" t="str">
        <x:v>YES</x:v>
      </x:c>
      <x:c r="D94" s="12" t="n">
        <x:v>2020</x:v>
      </x:c>
      <x:c r="E94" s="12" t="str">
        <x:v>EVT-JB-20200620-KAMPUNG-WAWASAN</x:v>
      </x:c>
      <x:c r="F94" s="18" t="n">
        <x:v>44002</x:v>
      </x:c>
      <x:c r="G94" s="12" t="str">
        <x:v>DG-JB-20200620</x:v>
      </x:c>
      <x:c r="H94" s="12" t="str">
        <x:v>JBLOC-0149</x:v>
      </x:c>
      <x:c r="I94" s="12" t="str">
        <x:v>LOC-CAND-JB-KG-WAWASAN-GP</x:v>
      </x:c>
      <x:c r="J94" s="12" t="str">
        <x:v>Kampung Wawasan</x:v>
      </x:c>
      <x:c r="K94" s="12" t="str">
        <x:v>Kampung Wawasan, Gelang Patah (JPS label)</x:v>
      </x:c>
      <x:c r="L94" s="12" t="str">
        <x:v>Kampung</x:v>
      </x:c>
      <x:c r="M94" s="12" t="str">
        <x:v>Flood / flash flood</x:v>
      </x:c>
      <x:c r="N94" s="12" t="str">
        <x:v>Verified event evidence; spatial status per Location_Master</x:v>
      </x:c>
      <x:c r="O94" s="12" t="str">
        <x:v>SRC_R2020_JPS_2020_TABLE</x:v>
      </x:c>
      <x:c r="P94" s="12"/>
      <x:c r="Q94" s="12" t="n">
        <x:v>103.6039</x:v>
      </x:c>
      <x:c r="R94" s="12" t="n">
        <x:v>1.4415</x:v>
      </x:c>
      <x:c r="S94" s="12" t="str">
        <x:v>NO</x:v>
      </x:c>
      <x:c r="T94" s="12" t="str">
        <x:v>DO NOT PLOT</x:v>
      </x:c>
      <x:c r="U94" s="12"/>
      <x:c r="V94" s="12" t="str">
        <x:v>AREA REFERENCE; exact geocode/polygon pending</x:v>
      </x:c>
      <x:c r="W94" s="12" t="str">
        <x:v>https://bangi.pulasan.my/_media/lampiran/lbt2020.pdf</x:v>
      </x:c>
      <x:c r="X94" s="12"/>
    </x:row>
    <x:row r="95">
      <x:c r="A95" s="12" t="str">
        <x:v>FLOC-0175</x:v>
      </x:c>
      <x:c r="B95" s="12" t="str">
        <x:v>Taman Dato Syed Mohammad Idrus</x:v>
      </x:c>
      <x:c r="C95" s="12" t="str">
        <x:v>YES</x:v>
      </x:c>
      <x:c r="D95" s="12" t="n">
        <x:v>2020</x:v>
      </x:c>
      <x:c r="E95" s="12" t="str">
        <x:v>EVT-JB-20200620-TAMAN-SYED-IDRUS</x:v>
      </x:c>
      <x:c r="F95" s="18" t="n">
        <x:v>44002</x:v>
      </x:c>
      <x:c r="G95" s="12" t="str">
        <x:v>DG-JB-20200620</x:v>
      </x:c>
      <x:c r="H95" s="12" t="str">
        <x:v>JBLOC-0191</x:v>
      </x:c>
      <x:c r="I95" s="12" t="str">
        <x:v>LOC-JB-TAMAN-SYED-IDRUS</x:v>
      </x:c>
      <x:c r="J95" s="12" t="str">
        <x:v>Taman Syed Idrus</x:v>
      </x:c>
      <x:c r="K95" s="12" t="str">
        <x:v>Taman Dato Syed Mohammad Idrus</x:v>
      </x:c>
      <x:c r="L95" s="12" t="str">
        <x:v>Locality / residential area</x:v>
      </x:c>
      <x:c r="M95" s="12" t="str">
        <x:v>Flood / flash flood</x:v>
      </x:c>
      <x:c r="N95" s="12" t="str">
        <x:v>Verified event evidence; spatial status per Location_Master</x:v>
      </x:c>
      <x:c r="O95" s="12" t="str">
        <x:v>SRC_R2020_JPS_2020_TABLE</x:v>
      </x:c>
      <x:c r="P95" s="12"/>
      <x:c r="Q95" s="12" t="n">
        <x:v>103.5923</x:v>
      </x:c>
      <x:c r="R95" s="12" t="n">
        <x:v>1.4417</x:v>
      </x:c>
      <x:c r="S95" s="12" t="str">
        <x:v>YES</x:v>
      </x:c>
      <x:c r="T95" s="12" t="str">
        <x:v>PLOT</x:v>
      </x:c>
      <x:c r="U95" s="12"/>
      <x:c r="V95" s="12" t="str">
        <x:v>POINT RESOLVED; community polygon pending</x:v>
      </x:c>
      <x:c r="W95" s="12" t="str">
        <x:v>https://bangi.pulasan.my/_media/lampiran/lbt2020.pdf</x:v>
      </x:c>
      <x:c r="X95" s="12"/>
    </x:row>
    <x:row r="96">
      <x:c r="A96" s="12" t="str">
        <x:v>FLOC-0174</x:v>
      </x:c>
      <x:c r="B96" s="12" t="str">
        <x:v>Taman Damai Jaya</x:v>
      </x:c>
      <x:c r="C96" s="12" t="str">
        <x:v>YES</x:v>
      </x:c>
      <x:c r="D96" s="12" t="n">
        <x:v>2020</x:v>
      </x:c>
      <x:c r="E96" s="12" t="str">
        <x:v>EVT-JB-20200705-TAMAN-DAMAI-JAYA</x:v>
      </x:c>
      <x:c r="F96" s="18" t="n">
        <x:v>44017</x:v>
      </x:c>
      <x:c r="G96" s="12" t="str">
        <x:v>DG-JB-20200705</x:v>
      </x:c>
      <x:c r="H96" s="12" t="str">
        <x:v>JBLOC-0190</x:v>
      </x:c>
      <x:c r="I96" s="12" t="str">
        <x:v>LOC-JB-TAMAN-DAMAI-JAYA</x:v>
      </x:c>
      <x:c r="J96" s="12" t="str">
        <x:v>Taman Damai Jaya</x:v>
      </x:c>
      <x:c r="K96" s="12" t="str">
        <x:v>Taman Damai Jaya</x:v>
      </x:c>
      <x:c r="L96" s="12" t="str">
        <x:v>Neighborhood</x:v>
      </x:c>
      <x:c r="M96" s="12" t="str">
        <x:v>Flood / flash flood</x:v>
      </x:c>
      <x:c r="N96" s="12" t="str">
        <x:v>Verified event evidence; spatial status per Location_Master</x:v>
      </x:c>
      <x:c r="O96" s="12" t="str">
        <x:v>SRC_R2020_JPS_2020_TABLE</x:v>
      </x:c>
      <x:c r="P96" s="12"/>
      <x:c r="Q96" s="12" t="n">
        <x:v>103.64612</x:v>
      </x:c>
      <x:c r="R96" s="12" t="n">
        <x:v>1.5035</x:v>
      </x:c>
      <x:c r="S96" s="12" t="str">
        <x:v>YES</x:v>
      </x:c>
      <x:c r="T96" s="12" t="str">
        <x:v>PLOT</x:v>
      </x:c>
      <x:c r="U96" s="12"/>
      <x:c r="V96" s="12" t="str">
        <x:v>CLOSED</x:v>
      </x:c>
      <x:c r="W96" s="12" t="str">
        <x:v>https://bangi.pulasan.my/_media/lampiran/lbt2020.pdf</x:v>
      </x:c>
      <x:c r="X96" s="12"/>
    </x:row>
    <x:row r="97">
      <x:c r="A97" s="12" t="str">
        <x:v>FLOC-0123</x:v>
      </x:c>
      <x:c r="B97" s="12" t="str">
        <x:v>Kampung Tuah Jaya</x:v>
      </x:c>
      <x:c r="C97" s="12" t="str">
        <x:v>YES</x:v>
      </x:c>
      <x:c r="D97" s="12" t="n">
        <x:v>2020</x:v>
      </x:c>
      <x:c r="E97" s="12" t="str">
        <x:v>EVT-JB-20200705-KAMPUNG-TUAH-JAYA</x:v>
      </x:c>
      <x:c r="F97" s="18" t="n">
        <x:v>44017</x:v>
      </x:c>
      <x:c r="G97" s="12" t="str">
        <x:v>DG-JB-20200705</x:v>
      </x:c>
      <x:c r="H97" s="12" t="str">
        <x:v>JBLOC-0145</x:v>
      </x:c>
      <x:c r="I97" s="12" t="str">
        <x:v>LOC-JB-KG-TUAH-JAYA</x:v>
      </x:c>
      <x:c r="J97" s="12" t="str">
        <x:v>Kampung Tuah Jaya</x:v>
      </x:c>
      <x:c r="K97" s="12" t="str">
        <x:v>Kampung Tuah Jaya</x:v>
      </x:c>
      <x:c r="L97" s="12" t="str">
        <x:v>Residential hamlet</x:v>
      </x:c>
      <x:c r="M97" s="12" t="str">
        <x:v>Flood / flash flood</x:v>
      </x:c>
      <x:c r="N97" s="12" t="str">
        <x:v>Verified event evidence; spatial status per Location_Master</x:v>
      </x:c>
      <x:c r="O97" s="12" t="str">
        <x:v>SRC_R2020_JPS_2020_TABLE</x:v>
      </x:c>
      <x:c r="P97" s="12"/>
      <x:c r="Q97" s="12" t="n">
        <x:v>103.67688</x:v>
      </x:c>
      <x:c r="R97" s="12" t="n">
        <x:v>1.47873</x:v>
      </x:c>
      <x:c r="S97" s="12" t="str">
        <x:v>YES</x:v>
      </x:c>
      <x:c r="T97" s="12" t="str">
        <x:v>PLOT</x:v>
      </x:c>
      <x:c r="U97" s="12"/>
      <x:c r="V97" s="12" t="str">
        <x:v>CLOSED</x:v>
      </x:c>
      <x:c r="W97" s="12" t="str">
        <x:v>https://bangi.pulasan.my/_media/lampiran/lbt2020.pdf</x:v>
      </x:c>
      <x:c r="X97" s="12"/>
    </x:row>
    <x:row r="98">
      <x:c r="A98" s="12" t="str">
        <x:v>FLOC-0094</x:v>
      </x:c>
      <x:c r="B98" s="12" t="str">
        <x:v>Kampung Mohd Amin, Kolam Air</x:v>
      </x:c>
      <x:c r="C98" s="12" t="str">
        <x:v>YES</x:v>
      </x:c>
      <x:c r="D98" s="12" t="n">
        <x:v>2020</x:v>
      </x:c>
      <x:c r="E98" s="12" t="str">
        <x:v>EVT-JB-20201001-KAMPUNG-MOHD-AMIN</x:v>
      </x:c>
      <x:c r="F98" s="18" t="n">
        <x:v>44105</x:v>
      </x:c>
      <x:c r="G98" s="12" t="str">
        <x:v>DG-JB-20201001</x:v>
      </x:c>
      <x:c r="H98" s="12" t="str">
        <x:v>JBLOC-0103</x:v>
      </x:c>
      <x:c r="I98" s="12" t="str">
        <x:v>LOC-JB-KG-MOHD-AMIN-KOLAM-AIR</x:v>
      </x:c>
      <x:c r="J98" s="12" t="str">
        <x:v>Kampung Mohd Amin</x:v>
      </x:c>
      <x:c r="K98" s="12" t="str">
        <x:v>Kampung Mohd Amin, Kolam Air</x:v>
      </x:c>
      <x:c r="L98" s="12" t="str">
        <x:v>Kampung</x:v>
      </x:c>
      <x:c r="M98" s="12" t="str">
        <x:v>Flood / flash flood</x:v>
      </x:c>
      <x:c r="N98" s="12" t="str">
        <x:v>Verified event evidence; spatial status per Location_Master</x:v>
      </x:c>
      <x:c r="O98" s="12" t="str">
        <x:v>SRC_R2020_JPS_2020_TABLE</x:v>
      </x:c>
      <x:c r="P98" s="12"/>
      <x:c r="Q98" s="12" t="n">
        <x:v>103.73541</x:v>
      </x:c>
      <x:c r="R98" s="12" t="n">
        <x:v>1.46736</x:v>
      </x:c>
      <x:c r="S98" s="12" t="str">
        <x:v>YES</x:v>
      </x:c>
      <x:c r="T98" s="12" t="str">
        <x:v>PLOT</x:v>
      </x:c>
      <x:c r="U98" s="12"/>
      <x:c r="V98" s="12" t="str">
        <x:v>POINT; POLYGON PENDING</x:v>
      </x:c>
      <x:c r="W98" s="12" t="str">
        <x:v>https://bangi.pulasan.my/_media/lampiran/lbt2020.pdf</x:v>
      </x:c>
      <x:c r="X98" s="12"/>
    </x:row>
    <x:row r="99">
      <x:c r="A99" s="12" t="str">
        <x:v>FLOC-0035</x:v>
      </x:c>
      <x:c r="B99" s="12" t="str">
        <x:v>Jalan Kolam Ayer</x:v>
      </x:c>
      <x:c r="C99" s="12" t="str">
        <x:v>YES</x:v>
      </x:c>
      <x:c r="D99" s="12" t="n">
        <x:v>2020</x:v>
      </x:c>
      <x:c r="E99" s="12" t="str">
        <x:v>EVT-JB-20201001-JALAN-KOLAM-AYER</x:v>
      </x:c>
      <x:c r="F99" s="18" t="n">
        <x:v>44105</x:v>
      </x:c>
      <x:c r="G99" s="12" t="str">
        <x:v>DG-JB-20201001</x:v>
      </x:c>
      <x:c r="H99" s="12" t="str">
        <x:v>JBLOC-0037</x:v>
      </x:c>
      <x:c r="I99" s="12" t="str">
        <x:v>LOC-JB-JLN-KOLAM-AYER</x:v>
      </x:c>
      <x:c r="J99" s="12" t="str">
        <x:v>Jalan Kolam Ayer</x:v>
      </x:c>
      <x:c r="K99" s="12" t="str">
        <x:v>Jalan Kolam Ayer</x:v>
      </x:c>
      <x:c r="L99" s="12" t="str">
        <x:v>Road</x:v>
      </x:c>
      <x:c r="M99" s="12" t="str">
        <x:v>Flood / flash flood</x:v>
      </x:c>
      <x:c r="N99" s="12" t="str">
        <x:v>Verified event evidence; spatial status per Location_Master</x:v>
      </x:c>
      <x:c r="O99" s="12" t="str">
        <x:v>SRC_R2020_JPS_2020_TABLE</x:v>
      </x:c>
      <x:c r="P99" s="12"/>
      <x:c r="Q99" s="12" t="n">
        <x:v>103.7220526</x:v>
      </x:c>
      <x:c r="R99" s="12" t="n">
        <x:v>1.4823854</x:v>
      </x:c>
      <x:c r="S99" s="12" t="str">
        <x:v>YES</x:v>
      </x:c>
      <x:c r="T99" s="12" t="str">
        <x:v>PLOT</x:v>
      </x:c>
      <x:c r="U99" s="12"/>
      <x:c r="V99" s="12" t="str">
        <x:v>FIXED REFERENCE POINT; exact flooded road segment polygon pending</x:v>
      </x:c>
      <x:c r="W99" s="12" t="str">
        <x:v>https://bangi.pulasan.my/_media/lampiran/lbt2020.pdf</x:v>
      </x:c>
      <x:c r="X99" s="12"/>
    </x:row>
    <x:row r="100">
      <x:c r="A100" s="12" t="str">
        <x:v>FLOC-0089</x:v>
      </x:c>
      <x:c r="B100" s="12" t="str">
        <x:v>Kampung Laut Batu 10, Skudai</x:v>
      </x:c>
      <x:c r="C100" s="12" t="str">
        <x:v>YES</x:v>
      </x:c>
      <x:c r="D100" s="12" t="n">
        <x:v>2020</x:v>
      </x:c>
      <x:c r="E100" s="12" t="str">
        <x:v>EVT-JB-20201102-KAMPUNG-LAUT-BATU-10-SKUDAI</x:v>
      </x:c>
      <x:c r="F100" s="18" t="n">
        <x:v>44137</x:v>
      </x:c>
      <x:c r="G100" s="12" t="str">
        <x:v>DG-JB-20201102</x:v>
      </x:c>
      <x:c r="H100" s="12" t="str">
        <x:v>JBLOC-0093</x:v>
      </x:c>
      <x:c r="I100" s="12" t="str">
        <x:v>LOC-JB-KG-LAUT-SKUDAI</x:v>
      </x:c>
      <x:c r="J100" s="12" t="str">
        <x:v>Kampung Laut Batu 10, Skudai</x:v>
      </x:c>
      <x:c r="K100" s="12" t="str">
        <x:v>Kampung Laut Batu 10, Skudai</x:v>
      </x:c>
      <x:c r="L100" s="12" t="str">
        <x:v>Kampung</x:v>
      </x:c>
      <x:c r="M100" s="12" t="str">
        <x:v>Flood / flash flood</x:v>
      </x:c>
      <x:c r="N100" s="12" t="str">
        <x:v>Verified event evidence; spatial status per Location_Master</x:v>
      </x:c>
      <x:c r="O100" s="12" t="str">
        <x:v>SRC_R2020_JPS_2020_TABLE</x:v>
      </x:c>
      <x:c r="P100" s="12"/>
      <x:c r="Q100" s="12" t="n">
        <x:v>103.6605</x:v>
      </x:c>
      <x:c r="R100" s="12" t="n">
        <x:v>1.5453</x:v>
      </x:c>
      <x:c r="S100" s="12" t="str">
        <x:v>YES</x:v>
      </x:c>
      <x:c r="T100" s="12" t="str">
        <x:v>PLOT</x:v>
      </x:c>
      <x:c r="U100" s="12"/>
      <x:c r="V100" s="12" t="str">
        <x:v>POINT; POLYGON PENDING</x:v>
      </x:c>
      <x:c r="W100" s="12" t="str">
        <x:v>https://bangi.pulasan.my/_media/lampiran/lbt2020.pdf</x:v>
      </x:c>
      <x:c r="X100" s="12"/>
    </x:row>
    <x:row r="101">
      <x:c r="A101" s="12" t="str">
        <x:v>FLOC-0074</x:v>
      </x:c>
      <x:c r="B101" s="12" t="str">
        <x:v>Kampung Baru Muafakat, Gelang Patah</x:v>
      </x:c>
      <x:c r="C101" s="12" t="str">
        <x:v>YES</x:v>
      </x:c>
      <x:c r="D101" s="12" t="n">
        <x:v>2020</x:v>
      </x:c>
      <x:c r="E101" s="12" t="str">
        <x:v>EVT-JB-20201116-KAMPUNG-MUAFAKAT-GELANG-PATAH</x:v>
      </x:c>
      <x:c r="F101" s="18" t="n">
        <x:v>44151</x:v>
      </x:c>
      <x:c r="G101" s="12" t="str">
        <x:v>DG-JB-20201116</x:v>
      </x:c>
      <x:c r="H101" s="12" t="str">
        <x:v>JBLOC-0077</x:v>
      </x:c>
      <x:c r="I101" s="12" t="str">
        <x:v>LOC-JB-KG-BARU-MUAFAKAT-GP</x:v>
      </x:c>
      <x:c r="J101" s="12" t="str">
        <x:v>Kampung Muafakat, Gelang Patah</x:v>
      </x:c>
      <x:c r="K101" s="12" t="str">
        <x:v>Kampung Baru Muafakat, Gelang Patah</x:v>
      </x:c>
      <x:c r="L101" s="12" t="str">
        <x:v>Residential kampung</x:v>
      </x:c>
      <x:c r="M101" s="12" t="str">
        <x:v>Flood / flash flood</x:v>
      </x:c>
      <x:c r="N101" s="12" t="str">
        <x:v>Verified event evidence; spatial status per Location_Master</x:v>
      </x:c>
      <x:c r="O101" s="12" t="str">
        <x:v>SRC_R2020_JPS_2020_TABLE</x:v>
      </x:c>
      <x:c r="P101" s="12"/>
      <x:c r="Q101" s="12" t="n">
        <x:v>103.59504428</x:v>
      </x:c>
      <x:c r="R101" s="12" t="n">
        <x:v>1.44271108</x:v>
      </x:c>
      <x:c r="S101" s="12" t="str">
        <x:v>YES</x:v>
      </x:c>
      <x:c r="T101" s="12" t="str">
        <x:v>PLOT</x:v>
      </x:c>
      <x:c r="U101" s="12"/>
      <x:c r="V101" s="12" t="str">
        <x:v>CLOSED COMMUNITY BOUNDARY SOURCE VERIFIED; WKT pending</x:v>
      </x:c>
      <x:c r="W101" s="12" t="str">
        <x:v>https://bangi.pulasan.my/_media/lampiran/lbt2020.pdf</x:v>
      </x:c>
      <x:c r="X101" s="12" t="str">
        <x:v>Normalized to the same Gelang Patah Kampung Baru Muafakat object as the 20 Jun JPS row; alias retained.</x:v>
      </x:c>
    </x:row>
    <x:row r="102">
      <x:c r="A102" s="12" t="str">
        <x:v>FLOC-0049</x:v>
      </x:c>
      <x:c r="B102" s="12" t="str">
        <x:v>Jalan Permatang Utama, Kampung Kempas Baru</x:v>
      </x:c>
      <x:c r="C102" s="12" t="str">
        <x:v>YES</x:v>
      </x:c>
      <x:c r="D102" s="12" t="n">
        <x:v>2020</x:v>
      </x:c>
      <x:c r="E102" s="12" t="str">
        <x:v>EVT-JB-20201119-JALAN-PERMATANG-UTAMA-KAMPUNG-KEMPAS-BARU</x:v>
      </x:c>
      <x:c r="F102" s="18" t="n">
        <x:v>44154</x:v>
      </x:c>
      <x:c r="G102" s="12" t="str">
        <x:v>DG-JB-20201119</x:v>
      </x:c>
      <x:c r="H102" s="12" t="str">
        <x:v>JBLOC-0052</x:v>
      </x:c>
      <x:c r="I102" s="12" t="str">
        <x:v>LOC-JB-JLN-PERMATANG-UTAMA-KEMPAS-BARU</x:v>
      </x:c>
      <x:c r="J102" s="12" t="str">
        <x:v>Jalan Permatang Utama, Kampung Kempas Baru</x:v>
      </x:c>
      <x:c r="K102" s="12" t="str">
        <x:v>Jalan Permatang Utama, Kampung Kempas Baru</x:v>
      </x:c>
      <x:c r="L102" s="12" t="str">
        <x:v>Flooded road segment / kampung</x:v>
      </x:c>
      <x:c r="M102" s="12" t="str">
        <x:v>Flood / flash flood</x:v>
      </x:c>
      <x:c r="N102" s="12" t="str">
        <x:v>Verified event evidence; spatial status per Location_Master</x:v>
      </x:c>
      <x:c r="O102" s="12" t="str">
        <x:v>SRC_R2020_MMAIL_20201119</x:v>
      </x:c>
      <x:c r="P102" s="12"/>
      <x:c r="Q102" s="12" t="n">
        <x:v>103.70542453</x:v>
      </x:c>
      <x:c r="R102" s="12" t="n">
        <x:v>1.5278641</x:v>
      </x:c>
      <x:c r="S102" s="12" t="str">
        <x:v>NO</x:v>
      </x:c>
      <x:c r="T102" s="12" t="str">
        <x:v>DO NOT PLOT</x:v>
      </x:c>
      <x:c r="U102" s="12"/>
      <x:c r="V102" s="12" t="str">
        <x:v>VALID AREA POINT; ROAD SEGMENT OPEN</x:v>
      </x:c>
      <x:c r="W102" s="12" t="str">
        <x:v>https://www.malaymail.com/news/malaysia/2020/11/19/flash-floods-hit-johor-13-victims-including-11-children-evacuated-to-relief/1924298</x:v>
      </x:c>
      <x:c r="X102" s="12" t="str">
        <x:v>Bernama/Fire &amp; Rescue additionally states flooding extended from Jalan Permatang Utama to Jalan Permatang Tiga.</x:v>
      </x:c>
    </x:row>
    <x:row r="103">
      <x:c r="A103" s="12" t="str">
        <x:v>FLOC-0096</x:v>
      </x:c>
      <x:c r="B103" s="12" t="str">
        <x:v>Kampung Pasir, Tampoi/Skudai</x:v>
      </x:c>
      <x:c r="C103" s="12" t="str">
        <x:v>YES</x:v>
      </x:c>
      <x:c r="D103" s="12" t="n">
        <x:v>2020</x:v>
      </x:c>
      <x:c r="E103" s="12" t="str">
        <x:v>EVT-JB-20201121-KAMPUNG-PASIR-TAMPOI</x:v>
      </x:c>
      <x:c r="F103" s="18" t="n">
        <x:v>44156</x:v>
      </x:c>
      <x:c r="G103" s="12" t="str">
        <x:v>DG-JB-20201121</x:v>
      </x:c>
      <x:c r="H103" s="12" t="str">
        <x:v>JBLOC-0105</x:v>
      </x:c>
      <x:c r="I103" s="12" t="str">
        <x:v>LOC-JB-KG-PASIR-TAMPOI</x:v>
      </x:c>
      <x:c r="J103" s="12" t="str">
        <x:v>Kampung Pasir, Tampoi</x:v>
      </x:c>
      <x:c r="K103" s="12" t="str">
        <x:v>Kampung Pasir, Tampoi</x:v>
      </x:c>
      <x:c r="L103" s="12" t="str">
        <x:v>Kampung</x:v>
      </x:c>
      <x:c r="M103" s="12" t="str">
        <x:v>Flood / flash flood</x:v>
      </x:c>
      <x:c r="N103" s="12" t="str">
        <x:v>Verified event evidence; spatial status per Location_Master</x:v>
      </x:c>
      <x:c r="O103" s="12" t="str">
        <x:v>SRC_R2020_UTUSAN_20201121</x:v>
      </x:c>
      <x:c r="P103" s="12"/>
      <x:c r="Q103" s="12" t="n">
        <x:v>103.6963972</x:v>
      </x:c>
      <x:c r="R103" s="12" t="n">
        <x:v>1.4999611</x:v>
      </x:c>
      <x:c r="S103" s="12" t="str">
        <x:v>YES</x:v>
      </x:c>
      <x:c r="T103" s="12" t="str">
        <x:v>PLOT</x:v>
      </x:c>
      <x:c r="U103" s="12"/>
      <x:c r="V103" s="12" t="str">
        <x:v>POLYGON READY NOT CLOSED</x:v>
      </x:c>
      <x:c r="W103" s="12" t="str">
        <x:v>https://www.utusan.com.my/nasional/2020/11/fenomena-air-pasang-punca-banjir-johor-bahru/</x:v>
      </x:c>
      <x:c r="X103" s="12" t="str">
        <x:v>Parent Kampung Pasir flood-network location; subareas below share the same episode and are not independent episodes.</x:v>
      </x:c>
    </x:row>
    <x:row r="104">
      <x:c r="A104" s="12" t="str">
        <x:v>FLOC-0105</x:v>
      </x:c>
      <x:c r="B104" s="12" t="str">
        <x:v>Kampung Pengkalan Rinting</x:v>
      </x:c>
      <x:c r="C104" s="12" t="str">
        <x:v>YES</x:v>
      </x:c>
      <x:c r="D104" s="12" t="n">
        <x:v>2020</x:v>
      </x:c>
      <x:c r="E104" s="12" t="str">
        <x:v>EVT-JB-20201121-KAMPUNG-PENGKALAN-RINTING</x:v>
      </x:c>
      <x:c r="F104" s="18" t="n">
        <x:v>44156</x:v>
      </x:c>
      <x:c r="G104" s="12" t="str">
        <x:v>DG-JB-20201121</x:v>
      </x:c>
      <x:c r="H104" s="12" t="str">
        <x:v>JBLOC-0117</x:v>
      </x:c>
      <x:c r="I104" s="12" t="str">
        <x:v>LOC-JB-KG-PENGKALAN-RINTING</x:v>
      </x:c>
      <x:c r="J104" s="12" t="str">
        <x:v>Kampung Pengkalan Rinting</x:v>
      </x:c>
      <x:c r="K104" s="12" t="str">
        <x:v>Kampung Pengkalan Rinting</x:v>
      </x:c>
      <x:c r="L104" s="12" t="str">
        <x:v>Kampung</x:v>
      </x:c>
      <x:c r="M104" s="12" t="str">
        <x:v>Flood / flash flood</x:v>
      </x:c>
      <x:c r="N104" s="12" t="str">
        <x:v>Verified event evidence; spatial status per Location_Master</x:v>
      </x:c>
      <x:c r="O104" s="12" t="str">
        <x:v>SRC_R2020_SINAR_20201122_PASIR</x:v>
      </x:c>
      <x:c r="P104" s="12"/>
      <x:c r="Q104" s="12" t="n">
        <x:v>103.70472574</x:v>
      </x:c>
      <x:c r="R104" s="12" t="n">
        <x:v>1.49166007</x:v>
      </x:c>
      <x:c r="S104" s="12" t="str">
        <x:v>YES</x:v>
      </x:c>
      <x:c r="T104" s="12" t="str">
        <x:v>PLOT</x:v>
      </x:c>
      <x:c r="U104" s="12"/>
      <x:c r="V104" s="12" t="str">
        <x:v>POINT RESOLVED; community polygon pending</x:v>
      </x:c>
      <x:c r="W104" s="12" t="str">
        <x:v>https://www.sinarharian.com.my/article/111426/edisi/johor/banjir-di-kampung-pasir-tampoi-kedua-terburuk-selepas-2006</x:v>
      </x:c>
      <x:c r="X104" s="12"/>
    </x:row>
    <x:row r="105">
      <x:c r="A105" s="12" t="str">
        <x:v>FLOC-0114</x:v>
      </x:c>
      <x:c r="B105" s="12" t="str">
        <x:v>Kampung Sri Jaya, Skudai</x:v>
      </x:c>
      <x:c r="C105" s="12" t="str">
        <x:v>YES</x:v>
      </x:c>
      <x:c r="D105" s="12" t="n">
        <x:v>2020</x:v>
      </x:c>
      <x:c r="E105" s="12" t="str">
        <x:v>EVT-JB-20201121-KAMPUNG-SERI-JAYA</x:v>
      </x:c>
      <x:c r="F105" s="18" t="n">
        <x:v>44156</x:v>
      </x:c>
      <x:c r="G105" s="12" t="str">
        <x:v>DG-JB-20201121</x:v>
      </x:c>
      <x:c r="H105" s="12" t="str">
        <x:v>JBLOC-0127</x:v>
      </x:c>
      <x:c r="I105" s="12" t="str">
        <x:v>LOC-JB-KG-SRI-JAYA-SKUDAI</x:v>
      </x:c>
      <x:c r="J105" s="12" t="str">
        <x:v>Kampung Seri Jaya</x:v>
      </x:c>
      <x:c r="K105" s="12" t="str">
        <x:v>Kampung Seri Jaya</x:v>
      </x:c>
      <x:c r="L105" s="12" t="str">
        <x:v>Kampung</x:v>
      </x:c>
      <x:c r="M105" s="12" t="str">
        <x:v>Flood / flash flood</x:v>
      </x:c>
      <x:c r="N105" s="12" t="str">
        <x:v>Verified event evidence; spatial status per Location_Master</x:v>
      </x:c>
      <x:c r="O105" s="12" t="str">
        <x:v>SRC_R2020_SINAR_20201122_PASIR</x:v>
      </x:c>
      <x:c r="P105" s="12"/>
      <x:c r="Q105" s="12" t="n">
        <x:v>103.68912</x:v>
      </x:c>
      <x:c r="R105" s="12" t="n">
        <x:v>1.49933</x:v>
      </x:c>
      <x:c r="S105" s="12" t="str">
        <x:v>YES</x:v>
      </x:c>
      <x:c r="T105" s="12" t="str">
        <x:v>PLOT</x:v>
      </x:c>
      <x:c r="U105" s="12"/>
      <x:c r="V105" s="12" t="str">
        <x:v>POINT; POLYGON PENDING</x:v>
      </x:c>
      <x:c r="W105" s="12" t="str">
        <x:v>https://www.sinarharian.com.my/article/111426/edisi/johor/banjir-di-kampung-pasir-tampoi-kedua-terburuk-selepas-2006</x:v>
      </x:c>
      <x:c r="X105" s="12"/>
    </x:row>
    <x:row r="106">
      <x:c r="A106" s="12" t="str">
        <x:v>FLOC-0113</x:v>
      </x:c>
      <x:c r="B106" s="12" t="str">
        <x:v>Kampung Sri Jaya Baru</x:v>
      </x:c>
      <x:c r="C106" s="12" t="str">
        <x:v>YES</x:v>
      </x:c>
      <x:c r="D106" s="12" t="n">
        <x:v>2020</x:v>
      </x:c>
      <x:c r="E106" s="12" t="str">
        <x:v>EVT-JB-20201121-KAMPUNG-SERI-JAYA-BARU</x:v>
      </x:c>
      <x:c r="F106" s="18" t="n">
        <x:v>44156</x:v>
      </x:c>
      <x:c r="G106" s="12" t="str">
        <x:v>DG-JB-20201121</x:v>
      </x:c>
      <x:c r="H106" s="12" t="str">
        <x:v>JBLOC-0134</x:v>
      </x:c>
      <x:c r="I106" s="12" t="str">
        <x:v>LOC-JB-KG-SRI-JAYA-BARU</x:v>
      </x:c>
      <x:c r="J106" s="12" t="str">
        <x:v>Kampung Seri Jaya Baru</x:v>
      </x:c>
      <x:c r="K106" s="12" t="str">
        <x:v>Kampung Sri Jaya Baru</x:v>
      </x:c>
      <x:c r="L106" s="12" t="str">
        <x:v>Kampung</x:v>
      </x:c>
      <x:c r="M106" s="12" t="str">
        <x:v>Flood / flash flood</x:v>
      </x:c>
      <x:c r="N106" s="12" t="str">
        <x:v>Verified event evidence; spatial status per Location_Master</x:v>
      </x:c>
      <x:c r="O106" s="12" t="str">
        <x:v>SRC_R2020_SINAR_20201122_PASIR</x:v>
      </x:c>
      <x:c r="P106" s="12"/>
      <x:c r="Q106" s="12" t="n">
        <x:v>103.69059841</x:v>
      </x:c>
      <x:c r="R106" s="12" t="n">
        <x:v>1.49949602</x:v>
      </x:c>
      <x:c r="S106" s="12" t="str">
        <x:v>YES</x:v>
      </x:c>
      <x:c r="T106" s="12" t="str">
        <x:v>PLOT</x:v>
      </x:c>
      <x:c r="U106" s="12"/>
      <x:c r="V106" s="12" t="str">
        <x:v>POINT RESOLVED; community polygon pending</x:v>
      </x:c>
      <x:c r="W106" s="12" t="str">
        <x:v>https://www.sinarharian.com.my/article/111426/edisi/johor/banjir-di-kampung-pasir-tampoi-kedua-terburuk-selepas-2006</x:v>
      </x:c>
      <x:c r="X106" s="12"/>
    </x:row>
    <x:row r="107">
      <x:c r="A107" s="12" t="str">
        <x:v>FLOC-0115</x:v>
      </x:c>
      <x:c r="B107" s="12" t="str">
        <x:v>Kampung Sri Serdang</x:v>
      </x:c>
      <x:c r="C107" s="12" t="str">
        <x:v>YES</x:v>
      </x:c>
      <x:c r="D107" s="12" t="n">
        <x:v>2020</x:v>
      </x:c>
      <x:c r="E107" s="12" t="str">
        <x:v>EVT-JB-20201121-KAMPUNG-SRI-SERDANG</x:v>
      </x:c>
      <x:c r="F107" s="18" t="n">
        <x:v>44156</x:v>
      </x:c>
      <x:c r="G107" s="12" t="str">
        <x:v>DG-JB-20201121</x:v>
      </x:c>
      <x:c r="H107" s="12" t="str">
        <x:v>JBLOC-0136</x:v>
      </x:c>
      <x:c r="I107" s="12" t="str">
        <x:v>LOC-JB-KG-SRI-SERDANG</x:v>
      </x:c>
      <x:c r="J107" s="12" t="str">
        <x:v>Kampung Sri Serdang</x:v>
      </x:c>
      <x:c r="K107" s="12" t="str">
        <x:v>Kampung Sri Serdang</x:v>
      </x:c>
      <x:c r="L107" s="12" t="str">
        <x:v>Kampung</x:v>
      </x:c>
      <x:c r="M107" s="12" t="str">
        <x:v>Flood / flash flood</x:v>
      </x:c>
      <x:c r="N107" s="12" t="str">
        <x:v>Verified event evidence; spatial status per Location_Master</x:v>
      </x:c>
      <x:c r="O107" s="12" t="str">
        <x:v>SRC_R2020_UTUSAN_20201121</x:v>
      </x:c>
      <x:c r="P107" s="12"/>
      <x:c r="Q107" s="12" t="n">
        <x:v>103.6919335</x:v>
      </x:c>
      <x:c r="R107" s="12" t="n">
        <x:v>1.5017487</x:v>
      </x:c>
      <x:c r="S107" s="12" t="str">
        <x:v>YES</x:v>
      </x:c>
      <x:c r="T107" s="12" t="str">
        <x:v>PLOT</x:v>
      </x:c>
      <x:c r="U107" s="12"/>
      <x:c r="V107" s="12" t="str">
        <x:v>FIXED REFERENCE POINT; community polygon pending</x:v>
      </x:c>
      <x:c r="W107" s="12" t="str">
        <x:v>https://www.utusan.com.my/nasional/2020/11/fenomena-air-pasang-punca-banjir-johor-bahru/</x:v>
      </x:c>
      <x:c r="X107" s="12"/>
    </x:row>
    <x:row r="108">
      <x:c r="A108" s="12" t="str">
        <x:v>FLOC-0110</x:v>
      </x:c>
      <x:c r="B108" s="12" t="str">
        <x:v>Kampung Seri Serdang Baru</x:v>
      </x:c>
      <x:c r="C108" s="12" t="str">
        <x:v>YES</x:v>
      </x:c>
      <x:c r="D108" s="12" t="n">
        <x:v>2020</x:v>
      </x:c>
      <x:c r="E108" s="12" t="str">
        <x:v>EVT-JB-20201121-KAMPUNG-SERI-SERDANG-BARU</x:v>
      </x:c>
      <x:c r="F108" s="18" t="n">
        <x:v>44156</x:v>
      </x:c>
      <x:c r="G108" s="12" t="str">
        <x:v>DG-JB-20201121</x:v>
      </x:c>
      <x:c r="H108" s="12" t="str">
        <x:v>JBLOC-0130</x:v>
      </x:c>
      <x:c r="I108" s="12" t="str">
        <x:v>LOC-JB-KG-SERI-SERDANG-BARU</x:v>
      </x:c>
      <x:c r="J108" s="12" t="str">
        <x:v>Kampung Seri Serdang Baru</x:v>
      </x:c>
      <x:c r="K108" s="12" t="str">
        <x:v>Kampung Seri Serdang Baru</x:v>
      </x:c>
      <x:c r="L108" s="12" t="str">
        <x:v>Kampung</x:v>
      </x:c>
      <x:c r="M108" s="12" t="str">
        <x:v>Flood / flash flood</x:v>
      </x:c>
      <x:c r="N108" s="12" t="str">
        <x:v>Verified event evidence; spatial status per Location_Master</x:v>
      </x:c>
      <x:c r="O108" s="12" t="str">
        <x:v>SRC_R2020_SINAR_20201122_PASIR</x:v>
      </x:c>
      <x:c r="P108" s="12"/>
      <x:c r="Q108" s="12" t="n">
        <x:v>103.68986464</x:v>
      </x:c>
      <x:c r="R108" s="12" t="n">
        <x:v>1.50134219</x:v>
      </x:c>
      <x:c r="S108" s="12" t="str">
        <x:v>YES</x:v>
      </x:c>
      <x:c r="T108" s="12" t="str">
        <x:v>PLOT</x:v>
      </x:c>
      <x:c r="U108" s="12"/>
      <x:c r="V108" s="12" t="str">
        <x:v>POINT RESOLVED; community polygon pending</x:v>
      </x:c>
      <x:c r="W108" s="12" t="str">
        <x:v>https://www.sinarharian.com.my/article/111426/edisi/johor/banjir-di-kampung-pasir-tampoi-kedua-terburuk-selepas-2006</x:v>
      </x:c>
      <x:c r="X108" s="12"/>
    </x:row>
    <x:row r="109">
      <x:c r="A109" s="12" t="str">
        <x:v>FLOC-0194</x:v>
      </x:c>
      <x:c r="B109" s="12" t="str">
        <x:v>Taman Tampoi Utama</x:v>
      </x:c>
      <x:c r="C109" s="12" t="str">
        <x:v>YES</x:v>
      </x:c>
      <x:c r="D109" s="12" t="n">
        <x:v>2020</x:v>
      </x:c>
      <x:c r="E109" s="12" t="str">
        <x:v>EVT-JB-20201121-TAMAN-TAMPOI-UTAMA</x:v>
      </x:c>
      <x:c r="F109" s="18" t="n">
        <x:v>44156</x:v>
      </x:c>
      <x:c r="G109" s="12" t="str">
        <x:v>DG-JB-20201121</x:v>
      </x:c>
      <x:c r="H109" s="12" t="str">
        <x:v>JBLOC-0209</x:v>
      </x:c>
      <x:c r="I109" s="12" t="str">
        <x:v>LOC-JB-TAMAN-TAMPOI-UTAMA</x:v>
      </x:c>
      <x:c r="J109" s="12" t="str">
        <x:v>Taman Tampoi Utama</x:v>
      </x:c>
      <x:c r="K109" s="12" t="str">
        <x:v>Taman Tampoi Utama</x:v>
      </x:c>
      <x:c r="L109" s="12" t="str">
        <x:v>Neighborhood</x:v>
      </x:c>
      <x:c r="M109" s="12" t="str">
        <x:v>Flood / flash flood</x:v>
      </x:c>
      <x:c r="N109" s="12" t="str">
        <x:v>Verified event evidence; spatial status per Location_Master</x:v>
      </x:c>
      <x:c r="O109" s="12" t="str">
        <x:v>SRC_R2020_SINAR_20201122_PASIR</x:v>
      </x:c>
      <x:c r="P109" s="12"/>
      <x:c r="Q109" s="12" t="n">
        <x:v>103.6859554</x:v>
      </x:c>
      <x:c r="R109" s="12" t="n">
        <x:v>1.502518</x:v>
      </x:c>
      <x:c r="S109" s="12" t="str">
        <x:v>YES</x:v>
      </x:c>
      <x:c r="T109" s="12" t="str">
        <x:v>PLOT</x:v>
      </x:c>
      <x:c r="U109" s="12"/>
      <x:c r="V109" s="12" t="str">
        <x:v>FIXED REFERENCE POINT; neighbourhood polygon pending</x:v>
      </x:c>
      <x:c r="W109" s="12" t="str">
        <x:v>https://www.sinarharian.com.my/article/111426/edisi/johor/banjir-di-kampung-pasir-tampoi-kedua-terburuk-selepas-2006</x:v>
      </x:c>
      <x:c r="X109" s="12"/>
    </x:row>
    <x:row r="110">
      <x:c r="A110" s="12" t="str">
        <x:v>FLOC-0118</x:v>
      </x:c>
      <x:c r="B110" s="12" t="str">
        <x:v>Kampung Sungai Rinting D, Taman Rinting</x:v>
      </x:c>
      <x:c r="C110" s="12" t="str">
        <x:v>YES</x:v>
      </x:c>
      <x:c r="D110" s="12" t="n">
        <x:v>2020</x:v>
      </x:c>
      <x:c r="E110" s="12" t="str">
        <x:v>EVT-JB-20201121-KAMPUNG-SUNGAI-RINTING-D-TAMAN-RINTING</x:v>
      </x:c>
      <x:c r="F110" s="18" t="n">
        <x:v>44156</x:v>
      </x:c>
      <x:c r="G110" s="12" t="str">
        <x:v>DG-JB-20201121</x:v>
      </x:c>
      <x:c r="H110" s="12" t="str">
        <x:v>JBLOC-0139</x:v>
      </x:c>
      <x:c r="I110" s="12" t="str">
        <x:v>LOC-JB-KG-SUNGAI-RINTING-D</x:v>
      </x:c>
      <x:c r="J110" s="12" t="str">
        <x:v>Kampung Sungai Rinting D, Taman Rinting</x:v>
      </x:c>
      <x:c r="K110" s="12" t="str">
        <x:v>Kampung Sungai Rinting D, Taman Rinting</x:v>
      </x:c>
      <x:c r="L110" s="12" t="str">
        <x:v>Kampung subarea / flood location</x:v>
      </x:c>
      <x:c r="M110" s="12" t="str">
        <x:v>Flood / flash flood</x:v>
      </x:c>
      <x:c r="N110" s="12" t="str">
        <x:v>Verified event evidence; spatial status per Location_Master</x:v>
      </x:c>
      <x:c r="O110" s="12" t="str">
        <x:v>SRC_R2020_UTUSAN_20201128_RINTING</x:v>
      </x:c>
      <x:c r="P110" s="12"/>
      <x:c r="Q110" s="12" t="n">
        <x:v>103.873917</x:v>
      </x:c>
      <x:c r="R110" s="12" t="n">
        <x:v>1.4804527</x:v>
      </x:c>
      <x:c r="S110" s="12" t="str">
        <x:v>NO</x:v>
      </x:c>
      <x:c r="T110" s="12" t="str">
        <x:v>DO NOT PLOT</x:v>
      </x:c>
      <x:c r="U110" s="12"/>
      <x:c r="V110" s="12" t="str">
        <x:v>VALID AREA POINT; subarea polygon pending</x:v>
      </x:c>
      <x:c r="W110" s="12" t="str">
        <x:v>https://www.utusan.com.my/berita/2020/11/banjir-kali-pertama-selepas-tempoh-20-tahun/</x:v>
      </x:c>
      <x:c r="X110" s="12"/>
    </x:row>
    <x:row r="111">
      <x:c r="A111" s="12" t="str">
        <x:v>FLOC-0089</x:v>
      </x:c>
      <x:c r="B111" s="12" t="str">
        <x:v>Kampung Laut Batu 10, Skudai</x:v>
      </x:c>
      <x:c r="C111" s="12" t="str">
        <x:v>YES</x:v>
      </x:c>
      <x:c r="D111" s="12" t="n">
        <x:v>2020</x:v>
      </x:c>
      <x:c r="E111" s="12" t="str">
        <x:v>EVT-JB-20201122-KAMPUNG-LAUT-BATU-10-SKUDAI</x:v>
      </x:c>
      <x:c r="F111" s="18" t="n">
        <x:v>44157</x:v>
      </x:c>
      <x:c r="G111" s="12" t="str">
        <x:v>DG-JB-20201122</x:v>
      </x:c>
      <x:c r="H111" s="12" t="str">
        <x:v>JBLOC-0093</x:v>
      </x:c>
      <x:c r="I111" s="12" t="str">
        <x:v>LOC-JB-KG-LAUT-SKUDAI</x:v>
      </x:c>
      <x:c r="J111" s="12" t="str">
        <x:v>Kampung Laut Batu 10, Skudai</x:v>
      </x:c>
      <x:c r="K111" s="12" t="str">
        <x:v>Kampung Laut Batu 10, Skudai</x:v>
      </x:c>
      <x:c r="L111" s="12" t="str">
        <x:v>Kampung</x:v>
      </x:c>
      <x:c r="M111" s="12" t="str">
        <x:v>Flood / flash flood</x:v>
      </x:c>
      <x:c r="N111" s="12" t="str">
        <x:v>Verified event evidence; spatial status per Location_Master</x:v>
      </x:c>
      <x:c r="O111" s="12" t="str">
        <x:v>SRC_R2020_MMAIL_20201123</x:v>
      </x:c>
      <x:c r="P111" s="12"/>
      <x:c r="Q111" s="12" t="n">
        <x:v>103.6605</x:v>
      </x:c>
      <x:c r="R111" s="12" t="n">
        <x:v>1.5453</x:v>
      </x:c>
      <x:c r="S111" s="12" t="str">
        <x:v>YES</x:v>
      </x:c>
      <x:c r="T111" s="12" t="str">
        <x:v>PLOT</x:v>
      </x:c>
      <x:c r="U111" s="12"/>
      <x:c r="V111" s="12" t="str">
        <x:v>POINT; POLYGON PENDING</x:v>
      </x:c>
      <x:c r="W111" s="12" t="str">
        <x:v>https://www.malaymail.com/news/malaysia/2020/11/23/johor-floods-69-evacuated-from-kampung-laut-kampung-pasir/1925153</x:v>
      </x:c>
      <x:c r="X111" s="12" t="str">
        <x:v>Separate recurrence: relief centre opened 22 Nov evening.</x:v>
      </x:c>
    </x:row>
    <x:row r="112">
      <x:c r="A112" s="12" t="str">
        <x:v>FLOC-0096</x:v>
      </x:c>
      <x:c r="B112" s="12" t="str">
        <x:v>Kampung Pasir, Tampoi/Skudai</x:v>
      </x:c>
      <x:c r="C112" s="12" t="str">
        <x:v>YES</x:v>
      </x:c>
      <x:c r="D112" s="12" t="n">
        <x:v>2020</x:v>
      </x:c>
      <x:c r="E112" s="12" t="str">
        <x:v>EVT-JB-20201122-KAMPUNG-PASIR-TAMPOI</x:v>
      </x:c>
      <x:c r="F112" s="18" t="n">
        <x:v>44157</x:v>
      </x:c>
      <x:c r="G112" s="12" t="str">
        <x:v>DG-JB-20201122</x:v>
      </x:c>
      <x:c r="H112" s="12" t="str">
        <x:v>JBLOC-0105</x:v>
      </x:c>
      <x:c r="I112" s="12" t="str">
        <x:v>LOC-JB-KG-PASIR-TAMPOI</x:v>
      </x:c>
      <x:c r="J112" s="12" t="str">
        <x:v>Kampung Pasir, Tampoi</x:v>
      </x:c>
      <x:c r="K112" s="12" t="str">
        <x:v>Kampung Pasir, Tampoi</x:v>
      </x:c>
      <x:c r="L112" s="12" t="str">
        <x:v>Kampung</x:v>
      </x:c>
      <x:c r="M112" s="12" t="str">
        <x:v>Flood / flash flood</x:v>
      </x:c>
      <x:c r="N112" s="12" t="str">
        <x:v>Verified event evidence; spatial status per Location_Master</x:v>
      </x:c>
      <x:c r="O112" s="12" t="str">
        <x:v>SRC_R2020_MMAIL_20201123</x:v>
      </x:c>
      <x:c r="P112" s="12"/>
      <x:c r="Q112" s="12" t="n">
        <x:v>103.6963972</x:v>
      </x:c>
      <x:c r="R112" s="12" t="n">
        <x:v>1.4999611</x:v>
      </x:c>
      <x:c r="S112" s="12" t="str">
        <x:v>YES</x:v>
      </x:c>
      <x:c r="T112" s="12" t="str">
        <x:v>PLOT</x:v>
      </x:c>
      <x:c r="U112" s="12"/>
      <x:c r="V112" s="12" t="str">
        <x:v>POLYGON READY NOT CLOSED</x:v>
      </x:c>
      <x:c r="W112" s="12" t="str">
        <x:v>https://www.malaymail.com/news/malaysia/2020/11/23/johor-floods-69-evacuated-from-kampung-laut-kampung-pasir/1925153</x:v>
      </x:c>
      <x:c r="X112" s="12" t="str">
        <x:v>Separate recurrence: SK Kampung Pasir PPS opened 22 Nov evening.</x:v>
      </x:c>
    </x:row>
    <x:row r="113">
      <x:c r="A113" s="12" t="str">
        <x:v>FLOC-0089</x:v>
      </x:c>
      <x:c r="B113" s="12" t="str">
        <x:v>Kampung Laut Batu 10, Skudai</x:v>
      </x:c>
      <x:c r="C113" s="12" t="str">
        <x:v>YES</x:v>
      </x:c>
      <x:c r="D113" s="12" t="n">
        <x:v>2021</x:v>
      </x:c>
      <x:c r="E113" s="12" t="str">
        <x:v>EVT-JB-2021-001</x:v>
      </x:c>
      <x:c r="F113" s="18" t="n">
        <x:v>44198</x:v>
      </x:c>
      <x:c r="G113" s="12" t="str">
        <x:v>DG-JB-20210101-20210102</x:v>
      </x:c>
      <x:c r="H113" s="12" t="str">
        <x:v>JBLOC-0093</x:v>
      </x:c>
      <x:c r="I113" s="12" t="str">
        <x:v>S2021-001</x:v>
      </x:c>
      <x:c r="J113" s="12" t="str">
        <x:v>Kampung Laut Batu 10, Skudai</x:v>
      </x:c>
      <x:c r="K113" s="12" t="str">
        <x:v>Kampung Laut Batu 10, Skudai</x:v>
      </x:c>
      <x:c r="L113" s="12" t="str">
        <x:v>COMMUNITY</x:v>
      </x:c>
      <x:c r="M113" s="12" t="str">
        <x:v>Flood / flash flood</x:v>
      </x:c>
      <x:c r="N113" s="12" t="str">
        <x:v>A/B</x:v>
      </x:c>
      <x:c r="O113" s="12" t="str">
        <x:v>SRC2021-JAN02-BERNAMA</x:v>
      </x:c>
      <x:c r="P113" s="12" t="str">
        <x:v>SRC2021-JAN02-KOSMO</x:v>
      </x:c>
      <x:c r="Q113" s="12" t="n">
        <x:v>103.6605</x:v>
      </x:c>
      <x:c r="R113" s="12" t="n">
        <x:v>1.5453</x:v>
      </x:c>
      <x:c r="S113" s="12" t="str">
        <x:v>YES</x:v>
      </x:c>
      <x:c r="T113" s="12" t="str">
        <x:v>PLOT</x:v>
      </x:c>
      <x:c r="U113" s="12"/>
      <x:c r="V113" s="12" t="str">
        <x:v>POINT_READY; POLYGON_OPEN</x:v>
      </x:c>
      <x:c r="W113" s="12" t="str">
        <x:v>https://www.malaymail.com/news/malaysia/2021/01/02/five-districts-affected-in-johor-floods-evacuees-on-the-rise/1936787
https://www.kosmo.com.my/2021/01/02/275-mangsa-banjir-dipindahkan/</x:v>
      </x:c>
      <x:c r="X113" s="12"/>
    </x:row>
    <x:row r="114">
      <x:c r="A114" s="12" t="str">
        <x:v>FLOC-0135</x:v>
      </x:c>
      <x:c r="B114" s="12" t="str">
        <x:v>Kg. Sentosa Barat</x:v>
      </x:c>
      <x:c r="C114" s="12" t="str">
        <x:v>YES</x:v>
      </x:c>
      <x:c r="D114" s="12" t="n">
        <x:v>2021</x:v>
      </x:c>
      <x:c r="E114" s="12" t="str">
        <x:v>EVT-JB-2021-002</x:v>
      </x:c>
      <x:c r="F114" s="18" t="n">
        <x:v>44198</x:v>
      </x:c>
      <x:c r="G114" s="12" t="str">
        <x:v>DG-JB-20210101-20210102</x:v>
      </x:c>
      <x:c r="H114" s="12" t="str">
        <x:v>JBLOC-0123</x:v>
      </x:c>
      <x:c r="I114" s="12" t="str">
        <x:v>S2021-002</x:v>
      </x:c>
      <x:c r="J114" s="12" t="str">
        <x:v>Kampung Sentosa Barat</x:v>
      </x:c>
      <x:c r="K114" s="12" t="str">
        <x:v>Kg. Sentosa Barat</x:v>
      </x:c>
      <x:c r="L114" s="12" t="str">
        <x:v>COMMUNITY</x:v>
      </x:c>
      <x:c r="M114" s="12" t="str">
        <x:v>Flood / flash flood</x:v>
      </x:c>
      <x:c r="N114" s="12" t="str">
        <x:v>A/B</x:v>
      </x:c>
      <x:c r="O114" s="12" t="str">
        <x:v>SRC2021-JAN02-BERNAMA</x:v>
      </x:c>
      <x:c r="P114" s="12" t="str">
        <x:v>SRC2021-JAN02-KOSMO</x:v>
      </x:c>
      <x:c r="Q114" s="12" t="n">
        <x:v>103.92185516</x:v>
      </x:c>
      <x:c r="R114" s="12" t="n">
        <x:v>1.52194889</x:v>
      </x:c>
      <x:c r="S114" s="12" t="str">
        <x:v>YES</x:v>
      </x:c>
      <x:c r="T114" s="12" t="str">
        <x:v>PLOT</x:v>
      </x:c>
      <x:c r="U114" s="12"/>
      <x:c r="V114" s="12" t="str">
        <x:v>IDENTITY_READY; POINT_OPEN</x:v>
      </x:c>
      <x:c r="W114" s="12" t="str">
        <x:v>https://www.malaymail.com/news/malaysia/2021/01/02/five-districts-affected-in-johor-floods-evacuees-on-the-rise/1936787
https://www.kosmo.com.my/2021/01/02/275-mangsa-banjir-dipindahkan/</x:v>
      </x:c>
      <x:c r="X114" s="12"/>
    </x:row>
    <x:row r="115">
      <x:c r="A115" s="12" t="str">
        <x:v>FLOC-0136</x:v>
      </x:c>
      <x:c r="B115" s="12" t="str">
        <x:v>Kg. Sentosa Damai</x:v>
      </x:c>
      <x:c r="C115" s="12" t="str">
        <x:v>YES</x:v>
      </x:c>
      <x:c r="D115" s="12" t="n">
        <x:v>2021</x:v>
      </x:c>
      <x:c r="E115" s="12" t="str">
        <x:v>EVT-JB-2021-003</x:v>
      </x:c>
      <x:c r="F115" s="18" t="n">
        <x:v>44198</x:v>
      </x:c>
      <x:c r="G115" s="12" t="str">
        <x:v>DG-JB-20210101-20210102</x:v>
      </x:c>
      <x:c r="H115" s="12" t="str">
        <x:v>JBLOC-0124</x:v>
      </x:c>
      <x:c r="I115" s="12" t="str">
        <x:v>S2021-003</x:v>
      </x:c>
      <x:c r="J115" s="12" t="str">
        <x:v>Kampung Sentosa Damai</x:v>
      </x:c>
      <x:c r="K115" s="12" t="str">
        <x:v>Kg. Sentosa Damai</x:v>
      </x:c>
      <x:c r="L115" s="12" t="str">
        <x:v>COMMUNITY</x:v>
      </x:c>
      <x:c r="M115" s="12" t="str">
        <x:v>Flood / flash flood</x:v>
      </x:c>
      <x:c r="N115" s="12" t="str">
        <x:v>A/B</x:v>
      </x:c>
      <x:c r="O115" s="12" t="str">
        <x:v>SRC2021-JAN02-BERNAMA</x:v>
      </x:c>
      <x:c r="P115" s="12" t="str">
        <x:v>SRC2021-JAN02-KOSMO</x:v>
      </x:c>
      <x:c r="Q115" s="12" t="n">
        <x:v>103.93562865</x:v>
      </x:c>
      <x:c r="R115" s="12" t="n">
        <x:v>1.52139605</x:v>
      </x:c>
      <x:c r="S115" s="12" t="str">
        <x:v>YES</x:v>
      </x:c>
      <x:c r="T115" s="12" t="str">
        <x:v>PLOT</x:v>
      </x:c>
      <x:c r="U115" s="12"/>
      <x:c r="V115" s="12" t="str">
        <x:v>IDENTITY_READY; POINT_OPEN</x:v>
      </x:c>
      <x:c r="W115" s="12" t="str">
        <x:v>https://www.malaymail.com/news/malaysia/2021/01/02/five-districts-affected-in-johor-floods-evacuees-on-the-rise/1936787
https://www.kosmo.com.my/2021/01/02/275-mangsa-banjir-dipindahkan/</x:v>
      </x:c>
      <x:c r="X115" s="12"/>
    </x:row>
    <x:row r="116">
      <x:c r="A116" s="12" t="str">
        <x:v>FLOC-0148</x:v>
      </x:c>
      <x:c r="B116" s="12" t="str">
        <x:v>Lorong Aris / Kg. Batu 8 1/2, Skudai</x:v>
      </x:c>
      <x:c r="C116" s="12" t="str">
        <x:v>YES</x:v>
      </x:c>
      <x:c r="D116" s="12" t="n">
        <x:v>2021</x:v>
      </x:c>
      <x:c r="E116" s="12" t="str">
        <x:v>EVT-JB-2021-004</x:v>
      </x:c>
      <x:c r="F116" s="18" t="n">
        <x:v>44198</x:v>
      </x:c>
      <x:c r="G116" s="12" t="str">
        <x:v>DG-JB-20210101-20210102</x:v>
      </x:c>
      <x:c r="H116" s="12" t="str">
        <x:v>JBLOC-0164</x:v>
      </x:c>
      <x:c r="I116" s="12" t="str">
        <x:v>S2021-004</x:v>
      </x:c>
      <x:c r="J116" s="12" t="str">
        <x:v>Lorong Aris Batu 8, Skudai</x:v>
      </x:c>
      <x:c r="K116" s="12" t="str">
        <x:v>Lorong Aris / Kg. Batu 8 1/2, Skudai</x:v>
      </x:c>
      <x:c r="L116" s="12" t="str">
        <x:v>ROAD/SUBAREA</x:v>
      </x:c>
      <x:c r="M116" s="12" t="str">
        <x:v>Flood / flash flood</x:v>
      </x:c>
      <x:c r="N116" s="12" t="str">
        <x:v>A/B</x:v>
      </x:c>
      <x:c r="O116" s="12" t="str">
        <x:v>SRC2021-JAN02-BERNAMA</x:v>
      </x:c>
      <x:c r="P116" s="12" t="str">
        <x:v>SRC2021-DOSM-JB</x:v>
      </x:c>
      <x:c r="Q116" s="12" t="n">
        <x:v>103.67230887</x:v>
      </x:c>
      <x:c r="R116" s="12" t="n">
        <x:v>1.52340697</x:v>
      </x:c>
      <x:c r="S116" s="12" t="str">
        <x:v>YES</x:v>
      </x:c>
      <x:c r="T116" s="12" t="str">
        <x:v>PLOT</x:v>
      </x:c>
      <x:c r="U116" s="12"/>
      <x:c r="V116" s="12" t="str">
        <x:v>ROAD_SEGMENT_OPEN</x:v>
      </x:c>
      <x:c r="W116" s="12" t="str">
        <x:v>https://www.malaymail.com/news/malaysia/2021/01/02/five-districts-affected-in-johor-floods-evacuees-on-the-rise/1936787
https://www.dosm.gov.my/v1/uploads/files/6_Newsletter/Newsletter%202023/DOSM_BPPD_11_2023_Series%2022.pdf</x:v>
      </x:c>
      <x:c r="X116" s="12"/>
    </x:row>
    <x:row r="117">
      <x:c r="A117" s="12" t="str">
        <x:v>FLOC-0158</x:v>
      </x:c>
      <x:c r="B117" s="12" t="str">
        <x:v>Rumah Orang Tua Sam Poh</x:v>
      </x:c>
      <x:c r="C117" s="12" t="str">
        <x:v>YES</x:v>
      </x:c>
      <x:c r="D117" s="12" t="n">
        <x:v>2021</x:v>
      </x:c>
      <x:c r="E117" s="12" t="str">
        <x:v>EVT-JB-2021-005</x:v>
      </x:c>
      <x:c r="F117" s="18" t="n">
        <x:v>44198</x:v>
      </x:c>
      <x:c r="G117" s="12" t="str">
        <x:v>DG-JB-20210101-20210102</x:v>
      </x:c>
      <x:c r="H117" s="12" t="str">
        <x:v>JBLOC-0174</x:v>
      </x:c>
      <x:c r="I117" s="12" t="str">
        <x:v>S2021-005</x:v>
      </x:c>
      <x:c r="J117" s="12" t="str">
        <x:v>Rumah Orang Tua Sam Poh</x:v>
      </x:c>
      <x:c r="K117" s="12" t="str">
        <x:v>Rumah Orang Tua Sam Poh</x:v>
      </x:c>
      <x:c r="L117" s="12" t="str">
        <x:v>FACILITY</x:v>
      </x:c>
      <x:c r="M117" s="12" t="str">
        <x:v>Flood / flash flood</x:v>
      </x:c>
      <x:c r="N117" s="12" t="str">
        <x:v>A/B</x:v>
      </x:c>
      <x:c r="O117" s="12" t="str">
        <x:v>SRC2021-JAN02-BERNAMA</x:v>
      </x:c>
      <x:c r="P117" s="12" t="str">
        <x:v>SRC2021-DOSM-JB</x:v>
      </x:c>
      <x:c r="Q117" s="12"/>
      <x:c r="R117" s="12"/>
      <x:c r="S117" s="12" t="str">
        <x:v>NO</x:v>
      </x:c>
      <x:c r="T117" s="12" t="str">
        <x:v>DO NOT PLOT</x:v>
      </x:c>
      <x:c r="U117" s="12"/>
      <x:c r="V117" s="12" t="str">
        <x:v>FACILITY_POINT_OPEN</x:v>
      </x:c>
      <x:c r="W117" s="12" t="str">
        <x:v>https://www.malaymail.com/news/malaysia/2021/01/02/five-districts-affected-in-johor-floods-evacuees-on-the-rise/1936787
https://www.dosm.gov.my/v1/uploads/files/6_Newsletter/Newsletter%202023/DOSM_BPPD_11_2023_Series%2022.pdf</x:v>
      </x:c>
      <x:c r="X117" s="12"/>
    </x:row>
    <x:row r="118">
      <x:c r="A118" s="12" t="str">
        <x:v>FLOC-0096</x:v>
      </x:c>
      <x:c r="B118" s="12" t="str">
        <x:v>Kampung Pasir, Tampoi/Skudai</x:v>
      </x:c>
      <x:c r="C118" s="12" t="str">
        <x:v>YES</x:v>
      </x:c>
      <x:c r="D118" s="12" t="n">
        <x:v>2021</x:v>
      </x:c>
      <x:c r="E118" s="12" t="str">
        <x:v>EVT-JB-2021-006</x:v>
      </x:c>
      <x:c r="F118" s="18" t="n">
        <x:v>44198</x:v>
      </x:c>
      <x:c r="G118" s="12" t="str">
        <x:v>DG-JB-20210101-20210102</x:v>
      </x:c>
      <x:c r="H118" s="12" t="str">
        <x:v>JBLOC-0104</x:v>
      </x:c>
      <x:c r="I118" s="12" t="str">
        <x:v>S2021-006</x:v>
      </x:c>
      <x:c r="J118" s="12" t="str">
        <x:v>Kampung Pasir</x:v>
      </x:c>
      <x:c r="K118" s="12" t="str">
        <x:v>Kampung Pasir</x:v>
      </x:c>
      <x:c r="L118" s="12" t="str">
        <x:v>COMMUNITY</x:v>
      </x:c>
      <x:c r="M118" s="12" t="str">
        <x:v>Flood / flash flood</x:v>
      </x:c>
      <x:c r="N118" s="12" t="str">
        <x:v>A/B</x:v>
      </x:c>
      <x:c r="O118" s="12" t="str">
        <x:v>SRC2021-JAN02-KOSMO</x:v>
      </x:c>
      <x:c r="P118" s="12"/>
      <x:c r="Q118" s="12" t="n">
        <x:v>103.6969651</x:v>
      </x:c>
      <x:c r="R118" s="12" t="n">
        <x:v>1.4955303</x:v>
      </x:c>
      <x:c r="S118" s="12" t="str">
        <x:v>YES</x:v>
      </x:c>
      <x:c r="T118" s="12" t="str">
        <x:v>PLOT</x:v>
      </x:c>
      <x:c r="U118" s="12"/>
      <x:c r="V118" s="12" t="str">
        <x:v>POINT_READY; POLYGON_OPEN</x:v>
      </x:c>
      <x:c r="W118" s="12" t="str">
        <x:v>https://www.kosmo.com.my/2021/01/02/275-mangsa-banjir-dipindahkan/</x:v>
      </x:c>
      <x:c r="X118" s="12" t="str">
        <x:v>PPS had already closed by report time; event still explicitly linked.</x:v>
      </x:c>
    </x:row>
    <x:row r="119">
      <x:c r="A119" s="12" t="str">
        <x:v>FLOC-0120</x:v>
      </x:c>
      <x:c r="B119" s="12" t="str">
        <x:v>Kampung Teluk Serdang Baru</x:v>
      </x:c>
      <x:c r="C119" s="12" t="str">
        <x:v>YES</x:v>
      </x:c>
      <x:c r="D119" s="12" t="n">
        <x:v>2021</x:v>
      </x:c>
      <x:c r="E119" s="12" t="str">
        <x:v>EVT-JB-2021-007</x:v>
      </x:c>
      <x:c r="F119" s="18" t="n">
        <x:v>44198</x:v>
      </x:c>
      <x:c r="G119" s="12" t="str">
        <x:v>DG-JB-20210101-20210102</x:v>
      </x:c>
      <x:c r="H119" s="12" t="str">
        <x:v>JBLOC-0142</x:v>
      </x:c>
      <x:c r="I119" s="12" t="str">
        <x:v>S2021-007</x:v>
      </x:c>
      <x:c r="J119" s="12" t="str">
        <x:v>Kampung Teluk Serdang Baru</x:v>
      </x:c>
      <x:c r="K119" s="12" t="str">
        <x:v>Kampung Teluk Serdang Baru</x:v>
      </x:c>
      <x:c r="L119" s="12" t="str">
        <x:v>COMMUNITY</x:v>
      </x:c>
      <x:c r="M119" s="12" t="str">
        <x:v>Flood / flash flood</x:v>
      </x:c>
      <x:c r="N119" s="12" t="str">
        <x:v>A/B</x:v>
      </x:c>
      <x:c r="O119" s="12" t="str">
        <x:v>SRC2021-JAN02-KOSMO</x:v>
      </x:c>
      <x:c r="P119" s="12"/>
      <x:c r="Q119" s="12"/>
      <x:c r="R119" s="12"/>
      <x:c r="S119" s="12" t="str">
        <x:v>NO</x:v>
      </x:c>
      <x:c r="T119" s="12" t="str">
        <x:v>DO NOT PLOT</x:v>
      </x:c>
      <x:c r="U119" s="12"/>
      <x:c r="V119" s="12" t="str">
        <x:v>IDENTITY_REVIEW; POINT_OPEN</x:v>
      </x:c>
      <x:c r="W119" s="12" t="str">
        <x:v>https://www.kosmo.com.my/2021/01/02/275-mangsa-banjir-dipindahkan/</x:v>
      </x:c>
      <x:c r="X119" s="12" t="str">
        <x:v>PPS had already closed by report time; event still explicitly linked.</x:v>
      </x:c>
    </x:row>
    <x:row r="120">
      <x:c r="A120" s="12" t="str">
        <x:v>FLOC-0109</x:v>
      </x:c>
      <x:c r="B120" s="12" t="str">
        <x:v>Kampung Sepakat Baru</x:v>
      </x:c>
      <x:c r="C120" s="12" t="str">
        <x:v>YES</x:v>
      </x:c>
      <x:c r="D120" s="12" t="n">
        <x:v>2021</x:v>
      </x:c>
      <x:c r="E120" s="12" t="str">
        <x:v>EVT-JB-2021-008</x:v>
      </x:c>
      <x:c r="F120" s="18" t="n">
        <x:v>44198</x:v>
      </x:c>
      <x:c r="G120" s="12" t="str">
        <x:v>DG-JB-20210101-20210102</x:v>
      </x:c>
      <x:c r="H120" s="12" t="str">
        <x:v>JBLOC-0125</x:v>
      </x:c>
      <x:c r="I120" s="12" t="str">
        <x:v>S2021-008</x:v>
      </x:c>
      <x:c r="J120" s="12" t="str">
        <x:v>Kampung Sepakat Baru</x:v>
      </x:c>
      <x:c r="K120" s="12" t="str">
        <x:v>Kampung Sepakat Baru</x:v>
      </x:c>
      <x:c r="L120" s="12" t="str">
        <x:v>COMMUNITY</x:v>
      </x:c>
      <x:c r="M120" s="12" t="str">
        <x:v>Flood / flash flood</x:v>
      </x:c>
      <x:c r="N120" s="12" t="str">
        <x:v>A/B</x:v>
      </x:c>
      <x:c r="O120" s="12" t="str">
        <x:v>SRC2021-JAN02-BERNAMA-PHOTO</x:v>
      </x:c>
      <x:c r="P120" s="12"/>
      <x:c r="Q120" s="12" t="n">
        <x:v>103.66117</x:v>
      </x:c>
      <x:c r="R120" s="12" t="n">
        <x:v>1.56411</x:v>
      </x:c>
      <x:c r="S120" s="12" t="str">
        <x:v>YES</x:v>
      </x:c>
      <x:c r="T120" s="12" t="str">
        <x:v>PLOT</x:v>
      </x:c>
      <x:c r="U120" s="12" t="str">
        <x:v>PG2019-KG-SEPAKAT-BARU</x:v>
      </x:c>
      <x:c r="V120" s="12" t="str">
        <x:v>REUSED_CLOSED</x:v>
      </x:c>
      <x:c r="W120" s="12" t="str">
        <x:v>https://imagesapps.bernama.com/images/1117920/kampung-sepakat-baru</x:v>
      </x:c>
      <x:c r="X120" s="12" t="str">
        <x:v>Bernama documentary evidence.</x:v>
      </x:c>
    </x:row>
    <x:row r="121">
      <x:c r="A121" s="12" t="str">
        <x:v>FLOC-0098</x:v>
      </x:c>
      <x:c r="B121" s="12" t="str">
        <x:v>Kampung Paya Kenangan</x:v>
      </x:c>
      <x:c r="C121" s="12" t="str">
        <x:v>YES</x:v>
      </x:c>
      <x:c r="D121" s="12" t="n">
        <x:v>2021</x:v>
      </x:c>
      <x:c r="E121" s="12" t="str">
        <x:v>EVT-JB-2021-009</x:v>
      </x:c>
      <x:c r="F121" s="18" t="n">
        <x:v>44198</x:v>
      </x:c>
      <x:c r="G121" s="12" t="str">
        <x:v>DG-JB-20210101-20210102</x:v>
      </x:c>
      <x:c r="H121" s="12" t="str">
        <x:v>JBLOC-0110</x:v>
      </x:c>
      <x:c r="I121" s="12" t="str">
        <x:v>S2021-009</x:v>
      </x:c>
      <x:c r="J121" s="12" t="str">
        <x:v>Kampung Paya Kenangan</x:v>
      </x:c>
      <x:c r="K121" s="12" t="str">
        <x:v>Kampung Paya Kenangan</x:v>
      </x:c>
      <x:c r="L121" s="12" t="str">
        <x:v>COMMUNITY</x:v>
      </x:c>
      <x:c r="M121" s="12" t="str">
        <x:v>Flood / flash flood</x:v>
      </x:c>
      <x:c r="N121" s="12" t="str">
        <x:v>A/B</x:v>
      </x:c>
      <x:c r="O121" s="12" t="str">
        <x:v>SRC2021-JAN04-BERNAMA</x:v>
      </x:c>
      <x:c r="P121" s="12" t="str">
        <x:v>SRC2021-JAN04-UTUSAN</x:v>
      </x:c>
      <x:c r="Q121" s="12" t="n">
        <x:v>103.7513</x:v>
      </x:c>
      <x:c r="R121" s="12" t="n">
        <x:v>1.5415</x:v>
      </x:c>
      <x:c r="S121" s="12" t="str">
        <x:v>YES</x:v>
      </x:c>
      <x:c r="T121" s="12" t="str">
        <x:v>PLOT</x:v>
      </x:c>
      <x:c r="U121" s="12"/>
      <x:c r="V121" s="12" t="str">
        <x:v>POINT_READY; POLYGON_OPEN</x:v>
      </x:c>
      <x:c r="W121" s="12" t="str">
        <x:v>https://www.bernama.com/bm/news.php?id=1918395
https://www.utusan.com.my/berita/2021/01/segerakan-projek-lebar-sungai-tebrau-elak-banjir-berulang/</x:v>
      </x:c>
      <x:c r="X121" s="12" t="str">
        <x:v>4 Jan source states flood occurred two days earlier.</x:v>
      </x:c>
    </x:row>
    <x:row r="122">
      <x:c r="A122" s="12" t="str">
        <x:v>FLOC-0095</x:v>
      </x:c>
      <x:c r="B122" s="12" t="str">
        <x:v>Kampung Pasir Tebrau</x:v>
      </x:c>
      <x:c r="C122" s="12" t="str">
        <x:v>YES</x:v>
      </x:c>
      <x:c r="D122" s="12" t="n">
        <x:v>2021</x:v>
      </x:c>
      <x:c r="E122" s="12" t="str">
        <x:v>EVT-JB-2021-010</x:v>
      </x:c>
      <x:c r="F122" s="18" t="n">
        <x:v>44198</x:v>
      </x:c>
      <x:c r="G122" s="12" t="str">
        <x:v>DG-JB-20210101-20210102</x:v>
      </x:c>
      <x:c r="H122" s="12" t="str">
        <x:v>JBLOC-0107</x:v>
      </x:c>
      <x:c r="I122" s="12" t="str">
        <x:v>S2021-010</x:v>
      </x:c>
      <x:c r="J122" s="12" t="str">
        <x:v>Kampung Pasir Tebrau</x:v>
      </x:c>
      <x:c r="K122" s="12" t="str">
        <x:v>Kampung Pasir Tebrau</x:v>
      </x:c>
      <x:c r="L122" s="12" t="str">
        <x:v>COMMUNITY</x:v>
      </x:c>
      <x:c r="M122" s="12" t="str">
        <x:v>Flood / flash flood</x:v>
      </x:c>
      <x:c r="N122" s="12" t="str">
        <x:v>A/B</x:v>
      </x:c>
      <x:c r="O122" s="12" t="str">
        <x:v>SRC2021-JAN04-BERNAMA</x:v>
      </x:c>
      <x:c r="P122" s="12" t="str">
        <x:v>SRC2021-JAN04-UTUSAN</x:v>
      </x:c>
      <x:c r="Q122" s="12" t="n">
        <x:v>103.7432778</x:v>
      </x:c>
      <x:c r="R122" s="12" t="n">
        <x:v>1.5441389</x:v>
      </x:c>
      <x:c r="S122" s="12" t="str">
        <x:v>YES</x:v>
      </x:c>
      <x:c r="T122" s="12" t="str">
        <x:v>PLOT</x:v>
      </x:c>
      <x:c r="U122" s="12"/>
      <x:c r="V122" s="12" t="str">
        <x:v>POINT_READY; POLYGON_OPEN</x:v>
      </x:c>
      <x:c r="W122" s="12" t="str">
        <x:v>https://www.bernama.com/bm/news.php?id=1918395
https://www.utusan.com.my/berita/2021/01/segerakan-projek-lebar-sungai-tebrau-elak-banjir-berulang/</x:v>
      </x:c>
      <x:c r="X122" s="12" t="str">
        <x:v>4 Jan source states flood occurred two days earlier.</x:v>
      </x:c>
    </x:row>
    <x:row r="123">
      <x:c r="A123" s="12" t="str">
        <x:v>FLOC-0086</x:v>
      </x:c>
      <x:c r="B123" s="12" t="str">
        <x:v>Kampung Kangkar Tebrau</x:v>
      </x:c>
      <x:c r="C123" s="12" t="str">
        <x:v>YES</x:v>
      </x:c>
      <x:c r="D123" s="12" t="n">
        <x:v>2021</x:v>
      </x:c>
      <x:c r="E123" s="12" t="str">
        <x:v>EVT-JB-2021-011</x:v>
      </x:c>
      <x:c r="F123" s="18" t="n">
        <x:v>44198</x:v>
      </x:c>
      <x:c r="G123" s="12" t="str">
        <x:v>DG-JB-20210101-20210102</x:v>
      </x:c>
      <x:c r="H123" s="12" t="str">
        <x:v>JBLOC-0090</x:v>
      </x:c>
      <x:c r="I123" s="12" t="str">
        <x:v>S2021-011</x:v>
      </x:c>
      <x:c r="J123" s="12" t="str">
        <x:v>Kampung Kangkar Tebrau</x:v>
      </x:c>
      <x:c r="K123" s="12" t="str">
        <x:v>Kampung Kangkar Tebrau</x:v>
      </x:c>
      <x:c r="L123" s="12" t="str">
        <x:v>COMMUNITY</x:v>
      </x:c>
      <x:c r="M123" s="12" t="str">
        <x:v>Flood / flash flood</x:v>
      </x:c>
      <x:c r="N123" s="12" t="str">
        <x:v>A/B</x:v>
      </x:c>
      <x:c r="O123" s="12" t="str">
        <x:v>SRC2021-JAN04-BERNAMA</x:v>
      </x:c>
      <x:c r="P123" s="12" t="str">
        <x:v>SRC2021-JAN04-UTUSAN</x:v>
      </x:c>
      <x:c r="Q123" s="12" t="n">
        <x:v>103.75589</x:v>
      </x:c>
      <x:c r="R123" s="12" t="n">
        <x:v>1.53176</x:v>
      </x:c>
      <x:c r="S123" s="12" t="str">
        <x:v>YES</x:v>
      </x:c>
      <x:c r="T123" s="12" t="str">
        <x:v>PLOT</x:v>
      </x:c>
      <x:c r="U123" s="12" t="str">
        <x:v>PG2017-KANGKAR-TEBRAU</x:v>
      </x:c>
      <x:c r="V123" s="12" t="str">
        <x:v>REUSED_CLOSED</x:v>
      </x:c>
      <x:c r="W123" s="12" t="str">
        <x:v>https://www.bernama.com/bm/news.php?id=1918395
https://www.utusan.com.my/berita/2021/01/segerakan-projek-lebar-sungai-tebrau-elak-banjir-berulang/</x:v>
      </x:c>
      <x:c r="X123" s="12" t="str">
        <x:v>4 Jan source states flood occurred two days earlier.</x:v>
      </x:c>
    </x:row>
    <x:row r="124">
      <x:c r="A124" s="12" t="str">
        <x:v>FLOC-0089</x:v>
      </x:c>
      <x:c r="B124" s="12" t="str">
        <x:v>Kampung Laut Batu 10, Skudai</x:v>
      </x:c>
      <x:c r="C124" s="12" t="str">
        <x:v>YES</x:v>
      </x:c>
      <x:c r="D124" s="12" t="n">
        <x:v>2021</x:v>
      </x:c>
      <x:c r="E124" s="12" t="str">
        <x:v>EVT-JB-2021-012</x:v>
      </x:c>
      <x:c r="F124" s="18" t="n">
        <x:v>44206</x:v>
      </x:c>
      <x:c r="G124" s="12" t="str">
        <x:v>DG-JB-20210110</x:v>
      </x:c>
      <x:c r="H124" s="12" t="str">
        <x:v>JBLOC-0093</x:v>
      </x:c>
      <x:c r="I124" s="12" t="str">
        <x:v>S2021-001</x:v>
      </x:c>
      <x:c r="J124" s="12" t="str">
        <x:v>Kampung Laut</x:v>
      </x:c>
      <x:c r="K124" s="12" t="str">
        <x:v>Kampung Laut Batu 10, Skudai</x:v>
      </x:c>
      <x:c r="L124" s="12" t="str">
        <x:v>COMMUNITY</x:v>
      </x:c>
      <x:c r="M124" s="12" t="str">
        <x:v>Flood</x:v>
      </x:c>
      <x:c r="N124" s="12" t="str">
        <x:v>B</x:v>
      </x:c>
      <x:c r="O124" s="12" t="str">
        <x:v>SRC2021-JAN10-KOSMO</x:v>
      </x:c>
      <x:c r="P124" s="12" t="str">
        <x:v>SRC2021-JAN10-BERNAMA-MM</x:v>
      </x:c>
      <x:c r="Q124" s="12" t="n">
        <x:v>103.6605</x:v>
      </x:c>
      <x:c r="R124" s="12" t="n">
        <x:v>1.5453</x:v>
      </x:c>
      <x:c r="S124" s="12" t="str">
        <x:v>YES</x:v>
      </x:c>
      <x:c r="T124" s="12" t="str">
        <x:v>PLOT</x:v>
      </x:c>
      <x:c r="U124" s="12"/>
      <x:c r="V124" s="12" t="str">
        <x:v>POINT_READY; POLYGON_OPEN</x:v>
      </x:c>
      <x:c r="W124" s="12" t="str">
        <x:v>https://www.kosmo.com.my/2021/01/10/johor-bahru-kota-tinggi-kembali-dilanda-banjir/
https://www.malaymail.com/amp/news/malaysia/2021/01/10/several-areas-in-jb-kota-tinggi-hit-by-floods-again/1939147</x:v>
      </x:c>
      <x:c r="X124" s="12"/>
    </x:row>
    <x:row r="125">
      <x:c r="A125" s="12" t="str">
        <x:v>FLOC-0109</x:v>
      </x:c>
      <x:c r="B125" s="12" t="str">
        <x:v>Kampung Sepakat Baru</x:v>
      </x:c>
      <x:c r="C125" s="12" t="str">
        <x:v>YES</x:v>
      </x:c>
      <x:c r="D125" s="12" t="n">
        <x:v>2021</x:v>
      </x:c>
      <x:c r="E125" s="12" t="str">
        <x:v>EVT-JB-2021-013</x:v>
      </x:c>
      <x:c r="F125" s="18" t="n">
        <x:v>44206</x:v>
      </x:c>
      <x:c r="G125" s="12" t="str">
        <x:v>DG-JB-20210110</x:v>
      </x:c>
      <x:c r="H125" s="12" t="str">
        <x:v>JBLOC-0125</x:v>
      </x:c>
      <x:c r="I125" s="12" t="str">
        <x:v>S2021-008</x:v>
      </x:c>
      <x:c r="J125" s="12" t="str">
        <x:v>Kampung Sepakat</x:v>
      </x:c>
      <x:c r="K125" s="12" t="str">
        <x:v>Kampung Sepakat Baru</x:v>
      </x:c>
      <x:c r="L125" s="12" t="str">
        <x:v>COMMUNITY</x:v>
      </x:c>
      <x:c r="M125" s="12" t="str">
        <x:v>Flood</x:v>
      </x:c>
      <x:c r="N125" s="12" t="str">
        <x:v>B</x:v>
      </x:c>
      <x:c r="O125" s="12" t="str">
        <x:v>SRC2021-JAN10-KOSMO</x:v>
      </x:c>
      <x:c r="P125" s="12"/>
      <x:c r="Q125" s="12" t="n">
        <x:v>103.66117</x:v>
      </x:c>
      <x:c r="R125" s="12" t="n">
        <x:v>1.56411</x:v>
      </x:c>
      <x:c r="S125" s="12" t="str">
        <x:v>YES</x:v>
      </x:c>
      <x:c r="T125" s="12" t="str">
        <x:v>PLOT</x:v>
      </x:c>
      <x:c r="U125" s="12" t="str">
        <x:v>PG2019-KG-SEPAKAT-BARU</x:v>
      </x:c>
      <x:c r="V125" s="12" t="str">
        <x:v>REUSED_CLOSED</x:v>
      </x:c>
      <x:c r="W125" s="12" t="str">
        <x:v>https://www.kosmo.com.my/2021/01/10/johor-bahru-kota-tinggi-kembali-dilanda-banjir/</x:v>
      </x:c>
      <x:c r="X125" s="12" t="str">
        <x:v>Source label 'Kampung Sepakat' normalized cautiously to established Kampung Sepakat Baru object.</x:v>
      </x:c>
    </x:row>
    <x:row r="126">
      <x:c r="A126" s="12" t="str">
        <x:v>FLOC-0164</x:v>
      </x:c>
      <x:c r="B126" s="12" t="str">
        <x:v>Simpang Mados</x:v>
      </x:c>
      <x:c r="C126" s="12" t="str">
        <x:v>YES</x:v>
      </x:c>
      <x:c r="D126" s="12" t="n">
        <x:v>2021</x:v>
      </x:c>
      <x:c r="E126" s="12" t="str">
        <x:v>EVT-JB-2021-014</x:v>
      </x:c>
      <x:c r="F126" s="18" t="n">
        <x:v>44206</x:v>
      </x:c>
      <x:c r="G126" s="12" t="str">
        <x:v>DG-JB-20210110</x:v>
      </x:c>
      <x:c r="H126" s="12" t="str">
        <x:v>JBLOC-0184</x:v>
      </x:c>
      <x:c r="I126" s="12" t="str">
        <x:v>S2021-012</x:v>
      </x:c>
      <x:c r="J126" s="12" t="str">
        <x:v>Simpang Mados</x:v>
      </x:c>
      <x:c r="K126" s="12" t="str">
        <x:v>Simpang Mados</x:v>
      </x:c>
      <x:c r="L126" s="12" t="str">
        <x:v>LOCALITY</x:v>
      </x:c>
      <x:c r="M126" s="12" t="str">
        <x:v>Flood</x:v>
      </x:c>
      <x:c r="N126" s="12" t="str">
        <x:v>B</x:v>
      </x:c>
      <x:c r="O126" s="12" t="str">
        <x:v>SRC2021-JAN10-KOSMO</x:v>
      </x:c>
      <x:c r="P126" s="12"/>
      <x:c r="Q126" s="12"/>
      <x:c r="R126" s="12"/>
      <x:c r="S126" s="12" t="str">
        <x:v>NO</x:v>
      </x:c>
      <x:c r="T126" s="12" t="str">
        <x:v>DO NOT PLOT</x:v>
      </x:c>
      <x:c r="U126" s="12"/>
      <x:c r="V126" s="12" t="str">
        <x:v>POINT_OPEN</x:v>
      </x:c>
      <x:c r="W126" s="12" t="str">
        <x:v>https://www.kosmo.com.my/2021/01/10/johor-bahru-kota-tinggi-kembali-dilanda-banjir/</x:v>
      </x:c>
      <x:c r="X126" s="12"/>
    </x:row>
    <x:row r="127">
      <x:c r="A127" s="12" t="str">
        <x:v>FLOC-0003</x:v>
      </x:c>
      <x:c r="B127" s="12" t="str">
        <x:v>Batu 20, Jalan Sungai Tiram</x:v>
      </x:c>
      <x:c r="C127" s="12" t="str">
        <x:v>YES</x:v>
      </x:c>
      <x:c r="D127" s="12" t="n">
        <x:v>2021</x:v>
      </x:c>
      <x:c r="E127" s="12" t="str">
        <x:v>EVT-JB-2021-015</x:v>
      </x:c>
      <x:c r="F127" s="18" t="n">
        <x:v>44206</x:v>
      </x:c>
      <x:c r="G127" s="12" t="str">
        <x:v>DG-JB-20210110</x:v>
      </x:c>
      <x:c r="H127" s="12" t="str">
        <x:v>JBLOC-0005</x:v>
      </x:c>
      <x:c r="I127" s="12" t="str">
        <x:v>S2021-013</x:v>
      </x:c>
      <x:c r="J127" s="12" t="str">
        <x:v>Batu 20 Sungai Tiram</x:v>
      </x:c>
      <x:c r="K127" s="12" t="str">
        <x:v>Batu 20, Jalan Sungai Tiram</x:v>
      </x:c>
      <x:c r="L127" s="12" t="str">
        <x:v>ROAD/LOCALITY</x:v>
      </x:c>
      <x:c r="M127" s="12" t="str">
        <x:v>Flood</x:v>
      </x:c>
      <x:c r="N127" s="12" t="str">
        <x:v>B</x:v>
      </x:c>
      <x:c r="O127" s="12" t="str">
        <x:v>SRC2021-JAN10-KOSMO</x:v>
      </x:c>
      <x:c r="P127" s="12"/>
      <x:c r="Q127" s="12" t="n">
        <x:v>103.9119375</x:v>
      </x:c>
      <x:c r="R127" s="12" t="n">
        <x:v>1.5850625</x:v>
      </x:c>
      <x:c r="S127" s="12" t="str">
        <x:v>YES</x:v>
      </x:c>
      <x:c r="T127" s="12" t="str">
        <x:v>PLOT</x:v>
      </x:c>
      <x:c r="U127" s="12"/>
      <x:c r="V127" s="12" t="str">
        <x:v>ROAD_SEGMENT_OPEN</x:v>
      </x:c>
      <x:c r="W127" s="12" t="str">
        <x:v>https://www.kosmo.com.my/2021/01/10/johor-bahru-kota-tinggi-kembali-dilanda-banjir/</x:v>
      </x:c>
      <x:c r="X127" s="12"/>
    </x:row>
    <x:row r="128">
      <x:c r="A128" s="12" t="str">
        <x:v>FLOC-0136</x:v>
      </x:c>
      <x:c r="B128" s="12" t="str">
        <x:v>Kg. Sentosa Damai</x:v>
      </x:c>
      <x:c r="C128" s="12" t="str">
        <x:v>YES</x:v>
      </x:c>
      <x:c r="D128" s="12" t="n">
        <x:v>2021</x:v>
      </x:c>
      <x:c r="E128" s="12" t="str">
        <x:v>EVT-JB-2021-016</x:v>
      </x:c>
      <x:c r="F128" s="18" t="n">
        <x:v>44206</x:v>
      </x:c>
      <x:c r="G128" s="12" t="str">
        <x:v>DG-JB-20210110</x:v>
      </x:c>
      <x:c r="H128" s="12" t="str">
        <x:v>JBLOC-0124</x:v>
      </x:c>
      <x:c r="I128" s="12" t="str">
        <x:v>S2021-003</x:v>
      </x:c>
      <x:c r="J128" s="12" t="str">
        <x:v>Kampung Sentosa Damai</x:v>
      </x:c>
      <x:c r="K128" s="12" t="str">
        <x:v>Kg. Sentosa Damai</x:v>
      </x:c>
      <x:c r="L128" s="12" t="str">
        <x:v>COMMUNITY</x:v>
      </x:c>
      <x:c r="M128" s="12" t="str">
        <x:v>Flood</x:v>
      </x:c>
      <x:c r="N128" s="12" t="str">
        <x:v>B</x:v>
      </x:c>
      <x:c r="O128" s="12" t="str">
        <x:v>SRC2021-JAN10-KOSMO</x:v>
      </x:c>
      <x:c r="P128" s="12"/>
      <x:c r="Q128" s="12" t="n">
        <x:v>103.93562865</x:v>
      </x:c>
      <x:c r="R128" s="12" t="n">
        <x:v>1.52139605</x:v>
      </x:c>
      <x:c r="S128" s="12" t="str">
        <x:v>YES</x:v>
      </x:c>
      <x:c r="T128" s="12" t="str">
        <x:v>PLOT</x:v>
      </x:c>
      <x:c r="U128" s="12"/>
      <x:c r="V128" s="12" t="str">
        <x:v>IDENTITY_READY; POINT_OPEN</x:v>
      </x:c>
      <x:c r="W128" s="12" t="str">
        <x:v>https://www.kosmo.com.my/2021/01/10/johor-bahru-kota-tinggi-kembali-dilanda-banjir/</x:v>
      </x:c>
      <x:c r="X128" s="12"/>
    </x:row>
    <x:row r="129">
      <x:c r="A129" s="12" t="str">
        <x:v>FLOC-0135</x:v>
      </x:c>
      <x:c r="B129" s="12" t="str">
        <x:v>Kg. Sentosa Barat</x:v>
      </x:c>
      <x:c r="C129" s="12" t="str">
        <x:v>YES</x:v>
      </x:c>
      <x:c r="D129" s="12" t="n">
        <x:v>2021</x:v>
      </x:c>
      <x:c r="E129" s="12" t="str">
        <x:v>EVT-JB-2021-017</x:v>
      </x:c>
      <x:c r="F129" s="18" t="n">
        <x:v>44206</x:v>
      </x:c>
      <x:c r="G129" s="12" t="str">
        <x:v>DG-JB-20210110</x:v>
      </x:c>
      <x:c r="H129" s="12" t="str">
        <x:v>JBLOC-0123</x:v>
      </x:c>
      <x:c r="I129" s="12" t="str">
        <x:v>S2021-002</x:v>
      </x:c>
      <x:c r="J129" s="12" t="str">
        <x:v>Kampung Sentosa Barat</x:v>
      </x:c>
      <x:c r="K129" s="12" t="str">
        <x:v>Kg. Sentosa Barat</x:v>
      </x:c>
      <x:c r="L129" s="12" t="str">
        <x:v>COMMUNITY</x:v>
      </x:c>
      <x:c r="M129" s="12" t="str">
        <x:v>Flood</x:v>
      </x:c>
      <x:c r="N129" s="12" t="str">
        <x:v>B</x:v>
      </x:c>
      <x:c r="O129" s="12" t="str">
        <x:v>SRC2021-JAN10-KOSMO</x:v>
      </x:c>
      <x:c r="P129" s="12"/>
      <x:c r="Q129" s="12" t="n">
        <x:v>103.92185516</x:v>
      </x:c>
      <x:c r="R129" s="12" t="n">
        <x:v>1.52194889</x:v>
      </x:c>
      <x:c r="S129" s="12" t="str">
        <x:v>YES</x:v>
      </x:c>
      <x:c r="T129" s="12" t="str">
        <x:v>PLOT</x:v>
      </x:c>
      <x:c r="U129" s="12"/>
      <x:c r="V129" s="12" t="str">
        <x:v>IDENTITY_READY; POINT_OPEN</x:v>
      </x:c>
      <x:c r="W129" s="12" t="str">
        <x:v>https://www.kosmo.com.my/2021/01/10/johor-bahru-kota-tinggi-kembali-dilanda-banjir/</x:v>
      </x:c>
      <x:c r="X129" s="12"/>
    </x:row>
    <x:row r="130">
      <x:c r="A130" s="12" t="str">
        <x:v>FLOC-0098</x:v>
      </x:c>
      <x:c r="B130" s="12" t="str">
        <x:v>Kampung Paya Kenangan</x:v>
      </x:c>
      <x:c r="C130" s="12" t="str">
        <x:v>YES</x:v>
      </x:c>
      <x:c r="D130" s="12" t="n">
        <x:v>2021</x:v>
      </x:c>
      <x:c r="E130" s="12" t="str">
        <x:v>EVT-JB-2021-018</x:v>
      </x:c>
      <x:c r="F130" s="18" t="n">
        <x:v>44206</x:v>
      </x:c>
      <x:c r="G130" s="12" t="str">
        <x:v>DG-JB-20210110</x:v>
      </x:c>
      <x:c r="H130" s="12" t="str">
        <x:v>JBLOC-0110</x:v>
      </x:c>
      <x:c r="I130" s="12" t="str">
        <x:v>S2021-009</x:v>
      </x:c>
      <x:c r="J130" s="12" t="str">
        <x:v>Kampung Paya Kenangan</x:v>
      </x:c>
      <x:c r="K130" s="12" t="str">
        <x:v>Kampung Paya Kenangan</x:v>
      </x:c>
      <x:c r="L130" s="12" t="str">
        <x:v>COMMUNITY</x:v>
      </x:c>
      <x:c r="M130" s="12" t="str">
        <x:v>Flood</x:v>
      </x:c>
      <x:c r="N130" s="12" t="str">
        <x:v>B</x:v>
      </x:c>
      <x:c r="O130" s="12" t="str">
        <x:v>SRC2021-JAN10-KOSMO</x:v>
      </x:c>
      <x:c r="P130" s="12"/>
      <x:c r="Q130" s="12" t="n">
        <x:v>103.7513</x:v>
      </x:c>
      <x:c r="R130" s="12" t="n">
        <x:v>1.5415</x:v>
      </x:c>
      <x:c r="S130" s="12" t="str">
        <x:v>YES</x:v>
      </x:c>
      <x:c r="T130" s="12" t="str">
        <x:v>PLOT</x:v>
      </x:c>
      <x:c r="U130" s="12"/>
      <x:c r="V130" s="12" t="str">
        <x:v>POINT_READY; POLYGON_OPEN</x:v>
      </x:c>
      <x:c r="W130" s="12" t="str">
        <x:v>https://www.kosmo.com.my/2021/01/10/johor-bahru-kota-tinggi-kembali-dilanda-banjir/</x:v>
      </x:c>
      <x:c r="X130" s="12"/>
    </x:row>
    <x:row r="131">
      <x:c r="A131" s="12" t="str">
        <x:v>FLOC-0096</x:v>
      </x:c>
      <x:c r="B131" s="12" t="str">
        <x:v>Kampung Pasir, Tampoi/Skudai</x:v>
      </x:c>
      <x:c r="C131" s="12" t="str">
        <x:v>YES</x:v>
      </x:c>
      <x:c r="D131" s="12" t="n">
        <x:v>2021</x:v>
      </x:c>
      <x:c r="E131" s="12" t="str">
        <x:v>EVT-JB-2021-019</x:v>
      </x:c>
      <x:c r="F131" s="18" t="n">
        <x:v>44206</x:v>
      </x:c>
      <x:c r="G131" s="12" t="str">
        <x:v>DG-JB-20210110</x:v>
      </x:c>
      <x:c r="H131" s="12" t="str">
        <x:v>JBLOC-0104</x:v>
      </x:c>
      <x:c r="I131" s="12" t="str">
        <x:v>S2021-006</x:v>
      </x:c>
      <x:c r="J131" s="12" t="str">
        <x:v>Kampung Pasir</x:v>
      </x:c>
      <x:c r="K131" s="12" t="str">
        <x:v>Kampung Pasir</x:v>
      </x:c>
      <x:c r="L131" s="12" t="str">
        <x:v>COMMUNITY</x:v>
      </x:c>
      <x:c r="M131" s="12" t="str">
        <x:v>Flood</x:v>
      </x:c>
      <x:c r="N131" s="12" t="str">
        <x:v>B</x:v>
      </x:c>
      <x:c r="O131" s="12" t="str">
        <x:v>SRC2021-JAN10-KOSMO</x:v>
      </x:c>
      <x:c r="P131" s="12"/>
      <x:c r="Q131" s="12" t="n">
        <x:v>103.6969651</x:v>
      </x:c>
      <x:c r="R131" s="12" t="n">
        <x:v>1.4955303</x:v>
      </x:c>
      <x:c r="S131" s="12" t="str">
        <x:v>YES</x:v>
      </x:c>
      <x:c r="T131" s="12" t="str">
        <x:v>PLOT</x:v>
      </x:c>
      <x:c r="U131" s="12"/>
      <x:c r="V131" s="12" t="str">
        <x:v>POINT_READY; POLYGON_OPEN</x:v>
      </x:c>
      <x:c r="W131" s="12" t="str">
        <x:v>https://www.kosmo.com.my/2021/01/10/johor-bahru-kota-tinggi-kembali-dilanda-banjir/</x:v>
      </x:c>
      <x:c r="X131" s="12"/>
    </x:row>
    <x:row r="132">
      <x:c r="A132" s="12" t="str">
        <x:v>FLOC-0086</x:v>
      </x:c>
      <x:c r="B132" s="12" t="str">
        <x:v>Kampung Kangkar Tebrau</x:v>
      </x:c>
      <x:c r="C132" s="12" t="str">
        <x:v>YES</x:v>
      </x:c>
      <x:c r="D132" s="12" t="n">
        <x:v>2021</x:v>
      </x:c>
      <x:c r="E132" s="12" t="str">
        <x:v>EVT-JB-2021-020</x:v>
      </x:c>
      <x:c r="F132" s="18" t="n">
        <x:v>44206</x:v>
      </x:c>
      <x:c r="G132" s="12" t="str">
        <x:v>DG-JB-20210110</x:v>
      </x:c>
      <x:c r="H132" s="12" t="str">
        <x:v>JBLOC-0090</x:v>
      </x:c>
      <x:c r="I132" s="12" t="str">
        <x:v>S2021-011</x:v>
      </x:c>
      <x:c r="J132" s="12" t="str">
        <x:v>Kampung Kangkar Tebrau</x:v>
      </x:c>
      <x:c r="K132" s="12" t="str">
        <x:v>Kampung Kangkar Tebrau</x:v>
      </x:c>
      <x:c r="L132" s="12" t="str">
        <x:v>COMMUNITY</x:v>
      </x:c>
      <x:c r="M132" s="12" t="str">
        <x:v>Flood</x:v>
      </x:c>
      <x:c r="N132" s="12" t="str">
        <x:v>B</x:v>
      </x:c>
      <x:c r="O132" s="12" t="str">
        <x:v>SRC2021-JAN10-KOSMO</x:v>
      </x:c>
      <x:c r="P132" s="12"/>
      <x:c r="Q132" s="12" t="n">
        <x:v>103.75589</x:v>
      </x:c>
      <x:c r="R132" s="12" t="n">
        <x:v>1.53176</x:v>
      </x:c>
      <x:c r="S132" s="12" t="str">
        <x:v>YES</x:v>
      </x:c>
      <x:c r="T132" s="12" t="str">
        <x:v>PLOT</x:v>
      </x:c>
      <x:c r="U132" s="12" t="str">
        <x:v>PG2017-KANGKAR-TEBRAU</x:v>
      </x:c>
      <x:c r="V132" s="12" t="str">
        <x:v>REUSED_CLOSED</x:v>
      </x:c>
      <x:c r="W132" s="12" t="str">
        <x:v>https://www.kosmo.com.my/2021/01/10/johor-bahru-kota-tinggi-kembali-dilanda-banjir/</x:v>
      </x:c>
      <x:c r="X132" s="12"/>
    </x:row>
    <x:row r="133">
      <x:c r="A133" s="12" t="str">
        <x:v>FLOC-0148</x:v>
      </x:c>
      <x:c r="B133" s="12" t="str">
        <x:v>Lorong Aris / Kg. Batu 8 1/2, Skudai</x:v>
      </x:c>
      <x:c r="C133" s="12" t="str">
        <x:v>YES</x:v>
      </x:c>
      <x:c r="D133" s="12" t="n">
        <x:v>2021</x:v>
      </x:c>
      <x:c r="E133" s="12" t="str">
        <x:v>EVT-JB-2021-021</x:v>
      </x:c>
      <x:c r="F133" s="18" t="n">
        <x:v>44206</x:v>
      </x:c>
      <x:c r="G133" s="12" t="str">
        <x:v>DG-JB-20210110</x:v>
      </x:c>
      <x:c r="H133" s="12" t="str">
        <x:v>JBLOC-0164</x:v>
      </x:c>
      <x:c r="I133" s="12" t="str">
        <x:v>S2021-004</x:v>
      </x:c>
      <x:c r="J133" s="12" t="str">
        <x:v>Lorong Aris Batu 8, Skudai</x:v>
      </x:c>
      <x:c r="K133" s="12" t="str">
        <x:v>Lorong Aris / Kg. Batu 8 1/2, Skudai</x:v>
      </x:c>
      <x:c r="L133" s="12" t="str">
        <x:v>ROAD/SUBAREA</x:v>
      </x:c>
      <x:c r="M133" s="12" t="str">
        <x:v>Flood</x:v>
      </x:c>
      <x:c r="N133" s="12" t="str">
        <x:v>B</x:v>
      </x:c>
      <x:c r="O133" s="12" t="str">
        <x:v>SRC2021-JAN10-KOSMO</x:v>
      </x:c>
      <x:c r="P133" s="12"/>
      <x:c r="Q133" s="12" t="n">
        <x:v>103.67230887</x:v>
      </x:c>
      <x:c r="R133" s="12" t="n">
        <x:v>1.52340697</x:v>
      </x:c>
      <x:c r="S133" s="12" t="str">
        <x:v>YES</x:v>
      </x:c>
      <x:c r="T133" s="12" t="str">
        <x:v>PLOT</x:v>
      </x:c>
      <x:c r="U133" s="12"/>
      <x:c r="V133" s="12" t="str">
        <x:v>ROAD_SEGMENT_OPEN</x:v>
      </x:c>
      <x:c r="W133" s="12" t="str">
        <x:v>https://www.kosmo.com.my/2021/01/10/johor-bahru-kota-tinggi-kembali-dilanda-banjir/</x:v>
      </x:c>
      <x:c r="X133" s="12"/>
    </x:row>
    <x:row r="134">
      <x:c r="A134" s="12" t="str">
        <x:v>FLOC-0101</x:v>
      </x:c>
      <x:c r="B134" s="12" t="str">
        <x:v>Kampung Paya, Bukit Mutiara</x:v>
      </x:c>
      <x:c r="C134" s="12" t="str">
        <x:v>YES</x:v>
      </x:c>
      <x:c r="D134" s="12" t="n">
        <x:v>2021</x:v>
      </x:c>
      <x:c r="E134" s="12" t="str">
        <x:v>EVT-JB-2021-022</x:v>
      </x:c>
      <x:c r="F134" s="18" t="n">
        <x:v>44206</x:v>
      </x:c>
      <x:c r="G134" s="12" t="str">
        <x:v>DG-JB-20210110</x:v>
      </x:c>
      <x:c r="H134" s="12" t="str">
        <x:v>JBLOC-0109</x:v>
      </x:c>
      <x:c r="I134" s="12" t="str">
        <x:v>S2021-014</x:v>
      </x:c>
      <x:c r="J134" s="12" t="str">
        <x:v>Kampung Paya, Bukit Mutiara</x:v>
      </x:c>
      <x:c r="K134" s="12" t="str">
        <x:v>Kampung Paya, Bukit Mutiara</x:v>
      </x:c>
      <x:c r="L134" s="12" t="str">
        <x:v>COMMUNITY</x:v>
      </x:c>
      <x:c r="M134" s="12" t="str">
        <x:v>Flood</x:v>
      </x:c>
      <x:c r="N134" s="12" t="str">
        <x:v>B</x:v>
      </x:c>
      <x:c r="O134" s="12" t="str">
        <x:v>SRC2021-JAN10-BERNAMA-MM</x:v>
      </x:c>
      <x:c r="P134" s="12"/>
      <x:c r="Q134" s="12"/>
      <x:c r="R134" s="12"/>
      <x:c r="S134" s="12" t="str">
        <x:v>NO</x:v>
      </x:c>
      <x:c r="T134" s="12" t="str">
        <x:v>DO NOT PLOT</x:v>
      </x:c>
      <x:c r="U134" s="12"/>
      <x:c r="V134" s="12" t="str">
        <x:v>POINT_OPEN</x:v>
      </x:c>
      <x:c r="W134" s="12" t="str">
        <x:v>https://www.malaymail.com/amp/news/malaysia/2021/01/10/several-areas-in-jb-kota-tinggi-hit-by-floods-again/1939147</x:v>
      </x:c>
      <x:c r="X134" s="12"/>
    </x:row>
    <x:row r="135">
      <x:c r="A135" s="12" t="str">
        <x:v>FLOC-0096</x:v>
      </x:c>
      <x:c r="B135" s="12" t="str">
        <x:v>Kampung Pasir, Tampoi/Skudai</x:v>
      </x:c>
      <x:c r="C135" s="12" t="str">
        <x:v>YES</x:v>
      </x:c>
      <x:c r="D135" s="12" t="n">
        <x:v>2021</x:v>
      </x:c>
      <x:c r="E135" s="12" t="str">
        <x:v>EVT-JB-2021-023</x:v>
      </x:c>
      <x:c r="F135" s="18" t="n">
        <x:v>44303</x:v>
      </x:c>
      <x:c r="G135" s="12" t="str">
        <x:v>DG-JB-20210417</x:v>
      </x:c>
      <x:c r="H135" s="12" t="str">
        <x:v>JBLOC-0104</x:v>
      </x:c>
      <x:c r="I135" s="12" t="str">
        <x:v>S2021-006</x:v>
      </x:c>
      <x:c r="J135" s="12" t="str">
        <x:v>Kampung Pasir</x:v>
      </x:c>
      <x:c r="K135" s="12" t="str">
        <x:v>Kampung Pasir</x:v>
      </x:c>
      <x:c r="L135" s="12" t="str">
        <x:v>COMMUNITY</x:v>
      </x:c>
      <x:c r="M135" s="12" t="str">
        <x:v>Flash flood</x:v>
      </x:c>
      <x:c r="N135" s="12" t="str">
        <x:v>B</x:v>
      </x:c>
      <x:c r="O135" s="12" t="str">
        <x:v>SRC2021-APR17-UTUSAN</x:v>
      </x:c>
      <x:c r="P135" s="12"/>
      <x:c r="Q135" s="12" t="n">
        <x:v>103.6969651</x:v>
      </x:c>
      <x:c r="R135" s="12" t="n">
        <x:v>1.4955303</x:v>
      </x:c>
      <x:c r="S135" s="12" t="str">
        <x:v>YES</x:v>
      </x:c>
      <x:c r="T135" s="12" t="str">
        <x:v>PLOT</x:v>
      </x:c>
      <x:c r="U135" s="12"/>
      <x:c r="V135" s="12" t="str">
        <x:v>POINT_READY; POLYGON_OPEN</x:v>
      </x:c>
      <x:c r="W135" s="12" t="str">
        <x:v>https://www.utusan.com.my/berita/2021/04/penduduk-kampung-pasir-berbuka-puasa-dalam-banjir/</x:v>
      </x:c>
      <x:c r="X135" s="12" t="str">
        <x:v>Article explicitly states this was the second flood there in 2021.</x:v>
      </x:c>
    </x:row>
    <x:row r="136">
      <x:c r="A136" s="12" t="str">
        <x:v>FLOC-0117</x:v>
      </x:c>
      <x:c r="B136" s="12" t="str">
        <x:v>Kampung Sungai Rinting</x:v>
      </x:c>
      <x:c r="C136" s="12" t="str">
        <x:v>YES</x:v>
      </x:c>
      <x:c r="D136" s="12" t="n">
        <x:v>2021</x:v>
      </x:c>
      <x:c r="E136" s="12" t="str">
        <x:v>EVT-JB-2021-024</x:v>
      </x:c>
      <x:c r="F136" s="18" t="n">
        <x:v>44389</x:v>
      </x:c>
      <x:c r="G136" s="12" t="str">
        <x:v>DG-JB-20210712</x:v>
      </x:c>
      <x:c r="H136" s="12" t="str">
        <x:v>JBLOC-0138</x:v>
      </x:c>
      <x:c r="I136" s="12" t="str">
        <x:v>S2021-015</x:v>
      </x:c>
      <x:c r="J136" s="12" t="str">
        <x:v>Kampung Sungai Rinting</x:v>
      </x:c>
      <x:c r="K136" s="12" t="str">
        <x:v>Kampung Sungai Rinting</x:v>
      </x:c>
      <x:c r="L136" s="12" t="str">
        <x:v>COMMUNITY</x:v>
      </x:c>
      <x:c r="M136" s="12" t="str">
        <x:v>Flash flood</x:v>
      </x:c>
      <x:c r="N136" s="12" t="str">
        <x:v>C</x:v>
      </x:c>
      <x:c r="O136" s="12" t="str">
        <x:v>SRC2021-JUL12-UMNOPG</x:v>
      </x:c>
      <x:c r="P136" s="12"/>
      <x:c r="Q136" s="12" t="n">
        <x:v>103.8743</x:v>
      </x:c>
      <x:c r="R136" s="12" t="n">
        <x:v>1.48054</x:v>
      </x:c>
      <x:c r="S136" s="12" t="str">
        <x:v>YES</x:v>
      </x:c>
      <x:c r="T136" s="12" t="str">
        <x:v>PLOT</x:v>
      </x:c>
      <x:c r="U136" s="12"/>
      <x:c r="V136" s="12" t="str">
        <x:v>POINT_READY; POLYGON_OPEN</x:v>
      </x:c>
      <x:c r="W136" s="12" t="str">
        <x:v>https://www.umnopg.com.my/2021/07/14/sungai-masai-perlukan-segera-kerja-kerja-tebatan-banjir/</x:v>
      </x:c>
      <x:c r="X136" s="12" t="str">
        <x:v>Lower-tier local primary statement retained transparently.</x:v>
      </x:c>
    </x:row>
    <x:row r="137">
      <x:c r="A137" s="12" t="str">
        <x:v>FLOC-0181</x:v>
      </x:c>
      <x:c r="B137" s="12" t="str">
        <x:v>Taman Mawar</x:v>
      </x:c>
      <x:c r="C137" s="12" t="str">
        <x:v>YES</x:v>
      </x:c>
      <x:c r="D137" s="12" t="n">
        <x:v>2021</x:v>
      </x:c>
      <x:c r="E137" s="12" t="str">
        <x:v>EVT-JB-2021-025</x:v>
      </x:c>
      <x:c r="F137" s="18" t="n">
        <x:v>44389</x:v>
      </x:c>
      <x:c r="G137" s="12" t="str">
        <x:v>DG-JB-20210712</x:v>
      </x:c>
      <x:c r="H137" s="12" t="str">
        <x:v>JBLOC-0196</x:v>
      </x:c>
      <x:c r="I137" s="12" t="str">
        <x:v>S2021-016</x:v>
      </x:c>
      <x:c r="J137" s="12" t="str">
        <x:v>Taman Mawar</x:v>
      </x:c>
      <x:c r="K137" s="12" t="str">
        <x:v>Taman Mawar</x:v>
      </x:c>
      <x:c r="L137" s="12" t="str">
        <x:v>RESIDENTIAL</x:v>
      </x:c>
      <x:c r="M137" s="12" t="str">
        <x:v>Flash flood</x:v>
      </x:c>
      <x:c r="N137" s="12" t="str">
        <x:v>C</x:v>
      </x:c>
      <x:c r="O137" s="12" t="str">
        <x:v>SRC2021-JUL12-UMNOPG</x:v>
      </x:c>
      <x:c r="P137" s="12"/>
      <x:c r="Q137" s="12" t="n">
        <x:v>103.8948094913</x:v>
      </x:c>
      <x:c r="R137" s="12" t="n">
        <x:v>1.4696218674</x:v>
      </x:c>
      <x:c r="S137" s="12" t="str">
        <x:v>YES</x:v>
      </x:c>
      <x:c r="T137" s="12" t="str">
        <x:v>PLOT</x:v>
      </x:c>
      <x:c r="U137" s="12" t="str">
        <x:v>PG2021-TAMAN-MAWAR</x:v>
      </x:c>
      <x:c r="V137" s="12" t="str">
        <x:v>NEW_CLOSED</x:v>
      </x:c>
      <x:c r="W137" s="12" t="str">
        <x:v>https://www.umnopg.com.my/2021/07/14/sungai-masai-perlukan-segera-kerja-kerja-tebatan-banjir/</x:v>
      </x:c>
      <x:c r="X137" s="12" t="str">
        <x:v>Lower-tier local primary statement retained transparently.</x:v>
      </x:c>
    </x:row>
    <x:row r="138">
      <x:c r="A138" s="12" t="str">
        <x:v>FLOC-0189</x:v>
      </x:c>
      <x:c r="B138" s="12" t="str">
        <x:v>Taman Rinting</x:v>
      </x:c>
      <x:c r="C138" s="12" t="str">
        <x:v>YES</x:v>
      </x:c>
      <x:c r="D138" s="12" t="n">
        <x:v>2021</x:v>
      </x:c>
      <x:c r="E138" s="12" t="str">
        <x:v>EVT-JB-2021-026</x:v>
      </x:c>
      <x:c r="F138" s="18" t="n">
        <x:v>44389</x:v>
      </x:c>
      <x:c r="G138" s="12" t="str">
        <x:v>DG-JB-20210712</x:v>
      </x:c>
      <x:c r="H138" s="12" t="str">
        <x:v>JBLOC-0204</x:v>
      </x:c>
      <x:c r="I138" s="12" t="str">
        <x:v>S2021-017</x:v>
      </x:c>
      <x:c r="J138" s="12" t="str">
        <x:v>Taman Rinting</x:v>
      </x:c>
      <x:c r="K138" s="12" t="str">
        <x:v>Taman Rinting</x:v>
      </x:c>
      <x:c r="L138" s="12" t="str">
        <x:v>RESIDENTIAL</x:v>
      </x:c>
      <x:c r="M138" s="12" t="str">
        <x:v>Flash flood</x:v>
      </x:c>
      <x:c r="N138" s="12" t="str">
        <x:v>C</x:v>
      </x:c>
      <x:c r="O138" s="12" t="str">
        <x:v>SRC2021-JUL12-UMNOPG</x:v>
      </x:c>
      <x:c r="P138" s="12"/>
      <x:c r="Q138" s="12" t="n">
        <x:v>103.8788</x:v>
      </x:c>
      <x:c r="R138" s="12" t="n">
        <x:v>1.4959</x:v>
      </x:c>
      <x:c r="S138" s="12" t="str">
        <x:v>YES</x:v>
      </x:c>
      <x:c r="T138" s="12" t="str">
        <x:v>PLOT</x:v>
      </x:c>
      <x:c r="U138" s="12"/>
      <x:c r="V138" s="12" t="str">
        <x:v>POINT_READY; POLYGON_OPEN</x:v>
      </x:c>
      <x:c r="W138" s="12" t="str">
        <x:v>https://www.umnopg.com.my/2021/07/14/sungai-masai-perlukan-segera-kerja-kerja-tebatan-banjir/</x:v>
      </x:c>
      <x:c r="X138" s="12" t="str">
        <x:v>Lower-tier local primary statement retained transparently.</x:v>
      </x:c>
    </x:row>
    <x:row r="139">
      <x:c r="A139" s="12" t="str">
        <x:v>FLOC-0145</x:v>
      </x:c>
      <x:c r="B139" s="12" t="str">
        <x:v>Lebuhraya Pasir Gudang</x:v>
      </x:c>
      <x:c r="C139" s="12" t="str">
        <x:v>YES</x:v>
      </x:c>
      <x:c r="D139" s="12" t="n">
        <x:v>2021</x:v>
      </x:c>
      <x:c r="E139" s="12" t="str">
        <x:v>EVT-JB-2021-027</x:v>
      </x:c>
      <x:c r="F139" s="18" t="n">
        <x:v>44389</x:v>
      </x:c>
      <x:c r="G139" s="12" t="str">
        <x:v>DG-JB-20210712</x:v>
      </x:c>
      <x:c r="H139" s="12" t="str">
        <x:v>JBLOC-0161</x:v>
      </x:c>
      <x:c r="I139" s="12" t="str">
        <x:v>S2021-018</x:v>
      </x:c>
      <x:c r="J139" s="12" t="str">
        <x:v>Lebuhraya Pasir Gudang</x:v>
      </x:c>
      <x:c r="K139" s="12" t="str">
        <x:v>Lebuhraya Pasir Gudang</x:v>
      </x:c>
      <x:c r="L139" s="12" t="str">
        <x:v>ROAD</x:v>
      </x:c>
      <x:c r="M139" s="12" t="str">
        <x:v>Flash flood / traffic disruption</x:v>
      </x:c>
      <x:c r="N139" s="12" t="str">
        <x:v>C</x:v>
      </x:c>
      <x:c r="O139" s="12" t="str">
        <x:v>SRC2021-JUL12-UMNOPG</x:v>
      </x:c>
      <x:c r="P139" s="12"/>
      <x:c r="Q139" s="12" t="n">
        <x:v>103.7149533</x:v>
      </x:c>
      <x:c r="R139" s="12" t="n">
        <x:v>1.5118305</x:v>
      </x:c>
      <x:c r="S139" s="12" t="str">
        <x:v>YES</x:v>
      </x:c>
      <x:c r="T139" s="12" t="str">
        <x:v>PLOT</x:v>
      </x:c>
      <x:c r="U139" s="12"/>
      <x:c r="V139" s="12" t="str">
        <x:v>ROAD_SEGMENT_OPEN</x:v>
      </x:c>
      <x:c r="W139" s="12" t="str">
        <x:v>https://www.umnopg.com.my/2021/07/14/sungai-masai-perlukan-segera-kerja-kerja-tebatan-banjir/</x:v>
      </x:c>
      <x:c r="X139" s="12" t="str">
        <x:v>Lower-tier local primary statement retained transparently.</x:v>
      </x:c>
    </x:row>
    <x:row r="140">
      <x:c r="A140" s="12" t="str">
        <x:v>FLOC-0089</x:v>
      </x:c>
      <x:c r="B140" s="12" t="str">
        <x:v>Kampung Laut Batu 10, Skudai</x:v>
      </x:c>
      <x:c r="C140" s="12" t="str">
        <x:v>YES</x:v>
      </x:c>
      <x:c r="D140" s="12" t="n">
        <x:v>2021</x:v>
      </x:c>
      <x:c r="E140" s="12" t="str">
        <x:v>EVT-JB-2021-028</x:v>
      </x:c>
      <x:c r="F140" s="18" t="n">
        <x:v>44441</x:v>
      </x:c>
      <x:c r="G140" s="12" t="str">
        <x:v>DG-JB-20210902-SKUDAI</x:v>
      </x:c>
      <x:c r="H140" s="12" t="str">
        <x:v>JBLOC-0093</x:v>
      </x:c>
      <x:c r="I140" s="12" t="str">
        <x:v>S2021-001</x:v>
      </x:c>
      <x:c r="J140" s="12" t="str">
        <x:v>Batu 10, Kampung Laut, Skudai</x:v>
      </x:c>
      <x:c r="K140" s="12" t="str">
        <x:v>Kampung Laut Batu 10, Skudai</x:v>
      </x:c>
      <x:c r="L140" s="12" t="str">
        <x:v>COMMUNITY</x:v>
      </x:c>
      <x:c r="M140" s="12" t="str">
        <x:v>Flash flood</x:v>
      </x:c>
      <x:c r="N140" s="12" t="str">
        <x:v>B</x:v>
      </x:c>
      <x:c r="O140" s="12" t="str">
        <x:v>SRC2021-SEP02-UTUSAN</x:v>
      </x:c>
      <x:c r="P140" s="12"/>
      <x:c r="Q140" s="12" t="n">
        <x:v>103.6605</x:v>
      </x:c>
      <x:c r="R140" s="12" t="n">
        <x:v>1.5453</x:v>
      </x:c>
      <x:c r="S140" s="12" t="str">
        <x:v>YES</x:v>
      </x:c>
      <x:c r="T140" s="12" t="str">
        <x:v>PLOT</x:v>
      </x:c>
      <x:c r="U140" s="12"/>
      <x:c r="V140" s="12" t="str">
        <x:v>POINT_READY; POLYGON_OPEN</x:v>
      </x:c>
      <x:c r="W140" s="12" t="str">
        <x:v>https://www.utusan.com.my/terkini/2021/09/100-rumah-dinaiki-air-akibat-banjir-kilat/</x:v>
      </x:c>
      <x:c r="X140" s="12" t="str">
        <x:v>Separate Skudai rescue from Masai/Pasir Gudang cluster.</x:v>
      </x:c>
    </x:row>
    <x:row r="141">
      <x:c r="A141" s="12" t="str">
        <x:v>FLOC-0137</x:v>
      </x:c>
      <x:c r="B141" s="12" t="str">
        <x:v>Kg. Seri Aman / Batu Pulai</x:v>
      </x:c>
      <x:c r="C141" s="12" t="str">
        <x:v>YES</x:v>
      </x:c>
      <x:c r="D141" s="12" t="n">
        <x:v>2021</x:v>
      </x:c>
      <x:c r="E141" s="12" t="str">
        <x:v>EVT-JB-2021-029</x:v>
      </x:c>
      <x:c r="F141" s="18" t="n">
        <x:v>44441</x:v>
      </x:c>
      <x:c r="G141" s="12" t="str">
        <x:v>DG-JB-20210902-MASAI</x:v>
      </x:c>
      <x:c r="H141" s="12" t="str">
        <x:v>JBLOC-0126</x:v>
      </x:c>
      <x:c r="I141" s="12" t="str">
        <x:v>S2021-019</x:v>
      </x:c>
      <x:c r="J141" s="12" t="str">
        <x:v>Kampung Bukit Pulai</x:v>
      </x:c>
      <x:c r="K141" s="12" t="str">
        <x:v>Kg. Seri Aman / Batu Pulai</x:v>
      </x:c>
      <x:c r="L141" s="12" t="str">
        <x:v>COMMUNITY</x:v>
      </x:c>
      <x:c r="M141" s="12" t="str">
        <x:v>Flash flood</x:v>
      </x:c>
      <x:c r="N141" s="12" t="str">
        <x:v>B</x:v>
      </x:c>
      <x:c r="O141" s="12" t="str">
        <x:v>SRC2021-SEP02-UTUSAN</x:v>
      </x:c>
      <x:c r="P141" s="12"/>
      <x:c r="Q141" s="12" t="n">
        <x:v>103.9404605</x:v>
      </x:c>
      <x:c r="R141" s="12" t="n">
        <x:v>1.47435541</x:v>
      </x:c>
      <x:c r="S141" s="12" t="str">
        <x:v>YES</x:v>
      </x:c>
      <x:c r="T141" s="12" t="str">
        <x:v>PLOT</x:v>
      </x:c>
      <x:c r="U141" s="12"/>
      <x:c r="V141" s="12" t="str">
        <x:v>POINT_OPEN</x:v>
      </x:c>
      <x:c r="W141" s="12" t="str">
        <x:v>https://www.utusan.com.my/terkini/2021/09/100-rumah-dinaiki-air-akibat-banjir-kilat/</x:v>
      </x:c>
      <x:c r="X141" s="12"/>
    </x:row>
    <x:row r="142">
      <x:c r="A142" s="12" t="str">
        <x:v>FLOC-0186</x:v>
      </x:c>
      <x:c r="B142" s="12" t="str">
        <x:v>Taman Pasir Putih</x:v>
      </x:c>
      <x:c r="C142" s="12" t="str">
        <x:v>YES</x:v>
      </x:c>
      <x:c r="D142" s="12" t="n">
        <x:v>2021</x:v>
      </x:c>
      <x:c r="E142" s="12" t="str">
        <x:v>EVT-JB-2021-030</x:v>
      </x:c>
      <x:c r="F142" s="18" t="n">
        <x:v>44441</x:v>
      </x:c>
      <x:c r="G142" s="12" t="str">
        <x:v>DG-JB-20210902-MASAI</x:v>
      </x:c>
      <x:c r="H142" s="12" t="str">
        <x:v>JBLOC-0201</x:v>
      </x:c>
      <x:c r="I142" s="12" t="str">
        <x:v>S2021-020</x:v>
      </x:c>
      <x:c r="J142" s="12" t="str">
        <x:v>Taman Pasir Putih</x:v>
      </x:c>
      <x:c r="K142" s="12" t="str">
        <x:v>Taman Pasir Putih</x:v>
      </x:c>
      <x:c r="L142" s="12" t="str">
        <x:v>RESIDENTIAL</x:v>
      </x:c>
      <x:c r="M142" s="12" t="str">
        <x:v>Flash flood</x:v>
      </x:c>
      <x:c r="N142" s="12" t="str">
        <x:v>B</x:v>
      </x:c>
      <x:c r="O142" s="12" t="str">
        <x:v>SRC2021-SEP02-UTUSAN</x:v>
      </x:c>
      <x:c r="P142" s="12"/>
      <x:c r="Q142" s="12" t="n">
        <x:v>103.93887</x:v>
      </x:c>
      <x:c r="R142" s="12" t="n">
        <x:v>1.47292</x:v>
      </x:c>
      <x:c r="S142" s="12" t="str">
        <x:v>YES</x:v>
      </x:c>
      <x:c r="T142" s="12" t="str">
        <x:v>PLOT</x:v>
      </x:c>
      <x:c r="U142" s="12"/>
      <x:c r="V142" s="12" t="str">
        <x:v>POINT_READY; POLYGON_OPEN</x:v>
      </x:c>
      <x:c r="W142" s="12" t="str">
        <x:v>https://www.utusan.com.my/terkini/2021/09/100-rumah-dinaiki-air-akibat-banjir-kilat/</x:v>
      </x:c>
      <x:c r="X142" s="12"/>
    </x:row>
    <x:row r="143">
      <x:c r="A143" s="12" t="str">
        <x:v>FLOC-0135</x:v>
      </x:c>
      <x:c r="B143" s="12" t="str">
        <x:v>Kg. Sentosa Barat</x:v>
      </x:c>
      <x:c r="C143" s="12" t="str">
        <x:v>YES</x:v>
      </x:c>
      <x:c r="D143" s="12" t="n">
        <x:v>2021</x:v>
      </x:c>
      <x:c r="E143" s="12" t="str">
        <x:v>EVT-JB-2021-031</x:v>
      </x:c>
      <x:c r="F143" s="18" t="n">
        <x:v>44441</x:v>
      </x:c>
      <x:c r="G143" s="12" t="str">
        <x:v>DG-JB-20210902-MASAI</x:v>
      </x:c>
      <x:c r="H143" s="12" t="str">
        <x:v>JBLOC-0123</x:v>
      </x:c>
      <x:c r="I143" s="12" t="str">
        <x:v>S2021-002</x:v>
      </x:c>
      <x:c r="J143" s="12" t="str">
        <x:v>Kampung Sentosa Barat</x:v>
      </x:c>
      <x:c r="K143" s="12" t="str">
        <x:v>Kg. Sentosa Barat</x:v>
      </x:c>
      <x:c r="L143" s="12" t="str">
        <x:v>COMMUNITY</x:v>
      </x:c>
      <x:c r="M143" s="12" t="str">
        <x:v>Flash flood</x:v>
      </x:c>
      <x:c r="N143" s="12" t="str">
        <x:v>B</x:v>
      </x:c>
      <x:c r="O143" s="12" t="str">
        <x:v>SRC2021-SEP02-UTUSAN</x:v>
      </x:c>
      <x:c r="P143" s="12"/>
      <x:c r="Q143" s="12" t="n">
        <x:v>103.92185516</x:v>
      </x:c>
      <x:c r="R143" s="12" t="n">
        <x:v>1.52194889</x:v>
      </x:c>
      <x:c r="S143" s="12" t="str">
        <x:v>YES</x:v>
      </x:c>
      <x:c r="T143" s="12" t="str">
        <x:v>PLOT</x:v>
      </x:c>
      <x:c r="U143" s="12"/>
      <x:c r="V143" s="12" t="str">
        <x:v>IDENTITY_READY; POINT_OPEN</x:v>
      </x:c>
      <x:c r="W143" s="12" t="str">
        <x:v>https://www.utusan.com.my/terkini/2021/09/100-rumah-dinaiki-air-akibat-banjir-kilat/</x:v>
      </x:c>
      <x:c r="X143" s="12"/>
    </x:row>
    <x:row r="144">
      <x:c r="A144" s="12" t="str">
        <x:v>FLOC-0030</x:v>
      </x:c>
      <x:c r="B144" s="12" t="str">
        <x:v>Jalan Kampung Masjid, Masai</x:v>
      </x:c>
      <x:c r="C144" s="12" t="str">
        <x:v>YES</x:v>
      </x:c>
      <x:c r="D144" s="12" t="n">
        <x:v>2021</x:v>
      </x:c>
      <x:c r="E144" s="12" t="str">
        <x:v>EVT-JB-2021-032</x:v>
      </x:c>
      <x:c r="F144" s="18" t="n">
        <x:v>44441</x:v>
      </x:c>
      <x:c r="G144" s="12" t="str">
        <x:v>DG-JB-20210902-MASAI</x:v>
      </x:c>
      <x:c r="H144" s="12" t="str">
        <x:v>JBLOC-0032</x:v>
      </x:c>
      <x:c r="I144" s="12" t="str">
        <x:v>S2021-021</x:v>
      </x:c>
      <x:c r="J144" s="12" t="str">
        <x:v>Jalan Kampung Masjid, Masai</x:v>
      </x:c>
      <x:c r="K144" s="12" t="str">
        <x:v>Jalan Kampung Masjid, Masai</x:v>
      </x:c>
      <x:c r="L144" s="12" t="str">
        <x:v>ROAD</x:v>
      </x:c>
      <x:c r="M144" s="12" t="str">
        <x:v>Flash flood</x:v>
      </x:c>
      <x:c r="N144" s="12" t="str">
        <x:v>B</x:v>
      </x:c>
      <x:c r="O144" s="12" t="str">
        <x:v>SRC2021-SEP02-UTUSAN</x:v>
      </x:c>
      <x:c r="P144" s="12"/>
      <x:c r="Q144" s="12"/>
      <x:c r="R144" s="12"/>
      <x:c r="S144" s="12" t="str">
        <x:v>NO</x:v>
      </x:c>
      <x:c r="T144" s="12" t="str">
        <x:v>DO NOT PLOT</x:v>
      </x:c>
      <x:c r="U144" s="12"/>
      <x:c r="V144" s="12" t="str">
        <x:v>ROAD_SEGMENT_OPEN</x:v>
      </x:c>
      <x:c r="W144" s="12" t="str">
        <x:v>https://www.utusan.com.my/terkini/2021/09/100-rumah-dinaiki-air-akibat-banjir-kilat/</x:v>
      </x:c>
      <x:c r="X144" s="12"/>
    </x:row>
    <x:row r="145">
      <x:c r="A145" s="12" t="str">
        <x:v>FLOC-0089</x:v>
      </x:c>
      <x:c r="B145" s="12" t="str">
        <x:v>Kampung Laut Batu 10, Skudai</x:v>
      </x:c>
      <x:c r="C145" s="12" t="str">
        <x:v>YES</x:v>
      </x:c>
      <x:c r="D145" s="12" t="n">
        <x:v>2021</x:v>
      </x:c>
      <x:c r="E145" s="12" t="str">
        <x:v>EVT-JB-2021-033</x:v>
      </x:c>
      <x:c r="F145" s="18" t="n">
        <x:v>44443</x:v>
      </x:c>
      <x:c r="G145" s="12" t="str">
        <x:v>DG-JB-20210904</x:v>
      </x:c>
      <x:c r="H145" s="12" t="str">
        <x:v>JBLOC-0093</x:v>
      </x:c>
      <x:c r="I145" s="12" t="str">
        <x:v>S2021-001</x:v>
      </x:c>
      <x:c r="J145" s="12" t="str">
        <x:v>Batu 10, Kampung Laut, Skudai</x:v>
      </x:c>
      <x:c r="K145" s="12" t="str">
        <x:v>Kampung Laut Batu 10, Skudai</x:v>
      </x:c>
      <x:c r="L145" s="12" t="str">
        <x:v>COMMUNITY</x:v>
      </x:c>
      <x:c r="M145" s="12" t="str">
        <x:v>Flash flood</x:v>
      </x:c>
      <x:c r="N145" s="12" t="str">
        <x:v>B</x:v>
      </x:c>
      <x:c r="O145" s="12" t="str">
        <x:v>SRC2021-SEP04-UTUSAN</x:v>
      </x:c>
      <x:c r="P145" s="12"/>
      <x:c r="Q145" s="12" t="n">
        <x:v>103.6605</x:v>
      </x:c>
      <x:c r="R145" s="12" t="n">
        <x:v>1.5453</x:v>
      </x:c>
      <x:c r="S145" s="12" t="str">
        <x:v>YES</x:v>
      </x:c>
      <x:c r="T145" s="12" t="str">
        <x:v>PLOT</x:v>
      </x:c>
      <x:c r="U145" s="12"/>
      <x:c r="V145" s="12" t="str">
        <x:v>POINT_READY; POLYGON_OPEN</x:v>
      </x:c>
      <x:c r="W145" s="12" t="str">
        <x:v>https://www.utusan.com.my/nasional/2021/09/kampung-laut-skudai-banjir-lagi-28-mangsa-dipindahkan/</x:v>
      </x:c>
      <x:c r="X145" s="12" t="str">
        <x:v>Published 5 Sep; emergency call 7:39 pm the previous night.</x:v>
      </x:c>
    </x:row>
    <x:row r="146">
      <x:c r="A146" s="12" t="str">
        <x:v>FLOC-0092</x:v>
      </x:c>
      <x:c r="B146" s="12" t="str">
        <x:v>Kampung Melayu Majidi</x:v>
      </x:c>
      <x:c r="C146" s="12" t="str">
        <x:v>YES</x:v>
      </x:c>
      <x:c r="D146" s="12" t="n">
        <x:v>2021</x:v>
      </x:c>
      <x:c r="E146" s="12" t="str">
        <x:v>EVT-JB-2021-034</x:v>
      </x:c>
      <x:c r="F146" s="18" t="n">
        <x:v>44469</x:v>
      </x:c>
      <x:c r="G146" s="12" t="str">
        <x:v>DG-JB-20210930</x:v>
      </x:c>
      <x:c r="H146" s="12" t="str">
        <x:v>JBLOC-0097</x:v>
      </x:c>
      <x:c r="I146" s="12" t="str">
        <x:v>S2021-022</x:v>
      </x:c>
      <x:c r="J146" s="12" t="str">
        <x:v>Kampung Melayu Majidee</x:v>
      </x:c>
      <x:c r="K146" s="12" t="str">
        <x:v>Kampung Melayu Majidee</x:v>
      </x:c>
      <x:c r="L146" s="12" t="str">
        <x:v>COMMUNITY</x:v>
      </x:c>
      <x:c r="M146" s="12" t="str">
        <x:v>Flash flood</x:v>
      </x:c>
      <x:c r="N146" s="12" t="str">
        <x:v>B</x:v>
      </x:c>
      <x:c r="O146" s="12" t="str">
        <x:v>SRC2021-SEP30-SINAR</x:v>
      </x:c>
      <x:c r="P146" s="12"/>
      <x:c r="Q146" s="12" t="n">
        <x:v>103.75192484</x:v>
      </x:c>
      <x:c r="R146" s="12" t="n">
        <x:v>1.51174352</x:v>
      </x:c>
      <x:c r="S146" s="12" t="str">
        <x:v>YES</x:v>
      </x:c>
      <x:c r="T146" s="12" t="str">
        <x:v>PLOT</x:v>
      </x:c>
      <x:c r="U146" s="12"/>
      <x:c r="V146" s="12" t="str">
        <x:v>POINT_READY; POLYGON_CANDIDATE_OPEN</x:v>
      </x:c>
      <x:c r="W146" s="12" t="str">
        <x:v>https://www.sinarharian.com.my/article/164321/EDISI/Beberapa-kawasan-di-Johor-Bahru-dilanda-banjir-kilat</x:v>
      </x:c>
      <x:c r="X146" s="12"/>
    </x:row>
    <x:row r="147">
      <x:c r="A147" s="12" t="str">
        <x:v>FLOC-0130</x:v>
      </x:c>
      <x:c r="B147" s="12" t="str">
        <x:v>Kempas Lurah</x:v>
      </x:c>
      <x:c r="C147" s="12" t="str">
        <x:v>YES</x:v>
      </x:c>
      <x:c r="D147" s="12" t="n">
        <x:v>2021</x:v>
      </x:c>
      <x:c r="E147" s="12" t="str">
        <x:v>EVT-JB-2021-035</x:v>
      </x:c>
      <x:c r="F147" s="18" t="n">
        <x:v>44469</x:v>
      </x:c>
      <x:c r="G147" s="12" t="str">
        <x:v>DG-JB-20210930</x:v>
      </x:c>
      <x:c r="H147" s="12" t="str">
        <x:v>JBLOC-0153</x:v>
      </x:c>
      <x:c r="I147" s="12" t="str">
        <x:v>S2021-023</x:v>
      </x:c>
      <x:c r="J147" s="12" t="str">
        <x:v>Kempas Lurah</x:v>
      </x:c>
      <x:c r="K147" s="12" t="str">
        <x:v>Kempas Lurah</x:v>
      </x:c>
      <x:c r="L147" s="12" t="str">
        <x:v>COMMUNITY</x:v>
      </x:c>
      <x:c r="M147" s="12" t="str">
        <x:v>Flash flood</x:v>
      </x:c>
      <x:c r="N147" s="12" t="str">
        <x:v>B</x:v>
      </x:c>
      <x:c r="O147" s="12" t="str">
        <x:v>SRC2021-SEP30-SINAR</x:v>
      </x:c>
      <x:c r="P147" s="12"/>
      <x:c r="Q147" s="12" t="n">
        <x:v>103.71579344</x:v>
      </x:c>
      <x:c r="R147" s="12" t="n">
        <x:v>1.52911376</x:v>
      </x:c>
      <x:c r="S147" s="12" t="str">
        <x:v>YES</x:v>
      </x:c>
      <x:c r="T147" s="12" t="str">
        <x:v>PLOT</x:v>
      </x:c>
      <x:c r="U147" s="12" t="str">
        <x:v>PG2021-KEMPAS-LURAH</x:v>
      </x:c>
      <x:c r="V147" s="12" t="str">
        <x:v>NEW_CLOSED</x:v>
      </x:c>
      <x:c r="W147" s="12" t="str">
        <x:v>https://www.sinarharian.com.my/article/164321/EDISI/Beberapa-kawasan-di-Johor-Bahru-dilanda-banjir-kilat</x:v>
      </x:c>
      <x:c r="X147" s="12"/>
    </x:row>
    <x:row r="148">
      <x:c r="A148" s="12" t="str">
        <x:v>FLOC-0191</x:v>
      </x:c>
      <x:c r="B148" s="12" t="str">
        <x:v>Taman Skudai Baru</x:v>
      </x:c>
      <x:c r="C148" s="12" t="str">
        <x:v>YES</x:v>
      </x:c>
      <x:c r="D148" s="12" t="n">
        <x:v>2021</x:v>
      </x:c>
      <x:c r="E148" s="12" t="str">
        <x:v>EVT-JB-2021-036</x:v>
      </x:c>
      <x:c r="F148" s="18" t="n">
        <x:v>44469</x:v>
      </x:c>
      <x:c r="G148" s="12" t="str">
        <x:v>DG-JB-20210930</x:v>
      </x:c>
      <x:c r="H148" s="12" t="str">
        <x:v>JBLOC-0206</x:v>
      </x:c>
      <x:c r="I148" s="12" t="str">
        <x:v>S2021-024</x:v>
      </x:c>
      <x:c r="J148" s="12" t="str">
        <x:v>Taman Skudai Baru</x:v>
      </x:c>
      <x:c r="K148" s="12" t="str">
        <x:v>Taman Skudai Baru</x:v>
      </x:c>
      <x:c r="L148" s="12" t="str">
        <x:v>RESIDENTIAL</x:v>
      </x:c>
      <x:c r="M148" s="12" t="str">
        <x:v>Flash flood</x:v>
      </x:c>
      <x:c r="N148" s="12" t="str">
        <x:v>B</x:v>
      </x:c>
      <x:c r="O148" s="12" t="str">
        <x:v>SRC2021-SEP30-SINAR</x:v>
      </x:c>
      <x:c r="P148" s="12"/>
      <x:c r="Q148" s="12" t="n">
        <x:v>103.6448842</x:v>
      </x:c>
      <x:c r="R148" s="12" t="n">
        <x:v>1.510224</x:v>
      </x:c>
      <x:c r="S148" s="12" t="str">
        <x:v>YES</x:v>
      </x:c>
      <x:c r="T148" s="12" t="str">
        <x:v>PLOT</x:v>
      </x:c>
      <x:c r="U148" s="12"/>
      <x:c r="V148" s="12" t="str">
        <x:v>IDENTITY_CONFLICT; POLYGON_OPEN</x:v>
      </x:c>
      <x:c r="W148" s="12" t="str">
        <x:v>https://www.sinarharian.com.my/article/164321/EDISI/Beberapa-kawasan-di-Johor-Bahru-dilanda-banjir-kilat</x:v>
      </x:c>
      <x:c r="X148" s="12"/>
    </x:row>
    <x:row r="149">
      <x:c r="A149" s="12" t="str">
        <x:v>FLOC-0179</x:v>
      </x:c>
      <x:c r="B149" s="12" t="str">
        <x:v>Taman Johor Jaya</x:v>
      </x:c>
      <x:c r="C149" s="12" t="str">
        <x:v>YES</x:v>
      </x:c>
      <x:c r="D149" s="12" t="n">
        <x:v>2021</x:v>
      </x:c>
      <x:c r="E149" s="12" t="str">
        <x:v>EVT-JB-2021-037</x:v>
      </x:c>
      <x:c r="F149" s="18" t="n">
        <x:v>44469</x:v>
      </x:c>
      <x:c r="G149" s="12" t="str">
        <x:v>DG-JB-20210930</x:v>
      </x:c>
      <x:c r="H149" s="12" t="str">
        <x:v>JBLOC-0194</x:v>
      </x:c>
      <x:c r="I149" s="12" t="str">
        <x:v>S2021-025</x:v>
      </x:c>
      <x:c r="J149" s="12" t="str">
        <x:v>Taman Johor Jaya</x:v>
      </x:c>
      <x:c r="K149" s="12" t="str">
        <x:v>Taman Johor Jaya</x:v>
      </x:c>
      <x:c r="L149" s="12" t="str">
        <x:v>RESIDENTIAL</x:v>
      </x:c>
      <x:c r="M149" s="12" t="str">
        <x:v>Flash flood</x:v>
      </x:c>
      <x:c r="N149" s="12" t="str">
        <x:v>B</x:v>
      </x:c>
      <x:c r="O149" s="12" t="str">
        <x:v>SRC2021-SEP30-SINAR</x:v>
      </x:c>
      <x:c r="P149" s="12"/>
      <x:c r="Q149" s="12" t="n">
        <x:v>103.8024</x:v>
      </x:c>
      <x:c r="R149" s="12" t="n">
        <x:v>1.5428</x:v>
      </x:c>
      <x:c r="S149" s="12" t="str">
        <x:v>YES</x:v>
      </x:c>
      <x:c r="T149" s="12" t="str">
        <x:v>PLOT</x:v>
      </x:c>
      <x:c r="U149" s="12"/>
      <x:c r="V149" s="12" t="str">
        <x:v>POINT_READY; POLYGON_OPEN</x:v>
      </x:c>
      <x:c r="W149" s="12" t="str">
        <x:v>https://www.sinarharian.com.my/article/164321/EDISI/Beberapa-kawasan-di-Johor-Bahru-dilanda-banjir-kilat</x:v>
      </x:c>
      <x:c r="X149" s="12" t="str">
        <x:v>Separate article mentions Jalan Belumut/Taman Johor; not auto-merged.</x:v>
      </x:c>
    </x:row>
    <x:row r="150">
      <x:c r="A150" s="12" t="str">
        <x:v>FLOC-0084</x:v>
      </x:c>
      <x:c r="B150" s="12" t="str">
        <x:v>Kampung Ibu</x:v>
      </x:c>
      <x:c r="C150" s="12" t="str">
        <x:v>YES</x:v>
      </x:c>
      <x:c r="D150" s="12" t="n">
        <x:v>2021</x:v>
      </x:c>
      <x:c r="E150" s="12" t="str">
        <x:v>EVT-JB-2021-038</x:v>
      </x:c>
      <x:c r="F150" s="18" t="n">
        <x:v>44469</x:v>
      </x:c>
      <x:c r="G150" s="12" t="str">
        <x:v>DG-JB-20210930</x:v>
      </x:c>
      <x:c r="H150" s="12" t="str">
        <x:v>JBLOC-0088</x:v>
      </x:c>
      <x:c r="I150" s="12" t="str">
        <x:v>S2021-026</x:v>
      </x:c>
      <x:c r="J150" s="12" t="str">
        <x:v>Kampung Ibu</x:v>
      </x:c>
      <x:c r="K150" s="12" t="str">
        <x:v>Kampung Ibu</x:v>
      </x:c>
      <x:c r="L150" s="12" t="str">
        <x:v>COMMUNITY</x:v>
      </x:c>
      <x:c r="M150" s="12" t="str">
        <x:v>Flash flood</x:v>
      </x:c>
      <x:c r="N150" s="12" t="str">
        <x:v>B</x:v>
      </x:c>
      <x:c r="O150" s="12" t="str">
        <x:v>SRC2021-SEP30-SINAR</x:v>
      </x:c>
      <x:c r="P150" s="12"/>
      <x:c r="Q150" s="12"/>
      <x:c r="R150" s="12"/>
      <x:c r="S150" s="12" t="str">
        <x:v>NO</x:v>
      </x:c>
      <x:c r="T150" s="12" t="str">
        <x:v>DO NOT PLOT</x:v>
      </x:c>
      <x:c r="U150" s="12"/>
      <x:c r="V150" s="12" t="str">
        <x:v>POINT_OPEN</x:v>
      </x:c>
      <x:c r="W150" s="12" t="str">
        <x:v>https://www.sinarharian.com.my/article/164321/EDISI/Beberapa-kawasan-di-Johor-Bahru-dilanda-banjir-kilat</x:v>
      </x:c>
      <x:c r="X150" s="12"/>
    </x:row>
    <x:row r="151">
      <x:c r="A151" s="12" t="str">
        <x:v>FLOC-0180</x:v>
      </x:c>
      <x:c r="B151" s="12" t="str">
        <x:v>Taman Kolam Air</x:v>
      </x:c>
      <x:c r="C151" s="12" t="str">
        <x:v>YES</x:v>
      </x:c>
      <x:c r="D151" s="12" t="n">
        <x:v>2021</x:v>
      </x:c>
      <x:c r="E151" s="12" t="str">
        <x:v>EVT-JB-2021-039</x:v>
      </x:c>
      <x:c r="F151" s="18" t="n">
        <x:v>44469</x:v>
      </x:c>
      <x:c r="G151" s="12" t="str">
        <x:v>DG-JB-20210930</x:v>
      </x:c>
      <x:c r="H151" s="12" t="str">
        <x:v>JBLOC-0195</x:v>
      </x:c>
      <x:c r="I151" s="12" t="str">
        <x:v>S2021-027</x:v>
      </x:c>
      <x:c r="J151" s="12" t="str">
        <x:v>Kolam Air</x:v>
      </x:c>
      <x:c r="K151" s="12" t="str">
        <x:v>Taman Kolam Air</x:v>
      </x:c>
      <x:c r="L151" s="12" t="str">
        <x:v>AREA</x:v>
      </x:c>
      <x:c r="M151" s="12" t="str">
        <x:v>Flash flood</x:v>
      </x:c>
      <x:c r="N151" s="12" t="str">
        <x:v>B</x:v>
      </x:c>
      <x:c r="O151" s="12" t="str">
        <x:v>SRC2021-SEP30-SINAR</x:v>
      </x:c>
      <x:c r="P151" s="12"/>
      <x:c r="Q151" s="12" t="n">
        <x:v>103.736444</x:v>
      </x:c>
      <x:c r="R151" s="12" t="n">
        <x:v>1.473837</x:v>
      </x:c>
      <x:c r="S151" s="12" t="str">
        <x:v>YES</x:v>
      </x:c>
      <x:c r="T151" s="12" t="str">
        <x:v>PLOT</x:v>
      </x:c>
      <x:c r="U151" s="12"/>
      <x:c r="V151" s="12" t="str">
        <x:v>IDENTITY_AMBIGUOUS; POINT_OPEN</x:v>
      </x:c>
      <x:c r="W151" s="12" t="str">
        <x:v>https://www.sinarharian.com.my/article/164321/EDISI/Beberapa-kawasan-di-Johor-Bahru-dilanda-banjir-kilat</x:v>
      </x:c>
      <x:c r="X151" s="12" t="str">
        <x:v>Generic place label kept unresolved.</x:v>
      </x:c>
    </x:row>
    <x:row r="152">
      <x:c r="A152" s="12" t="str">
        <x:v>FLOC-0129</x:v>
      </x:c>
      <x:c r="B152" s="12" t="str">
        <x:v>Kempas Denai</x:v>
      </x:c>
      <x:c r="C152" s="12" t="str">
        <x:v>YES</x:v>
      </x:c>
      <x:c r="D152" s="12" t="n">
        <x:v>2021</x:v>
      </x:c>
      <x:c r="E152" s="12" t="str">
        <x:v>EVT-JB-2021-040</x:v>
      </x:c>
      <x:c r="F152" s="18" t="n">
        <x:v>44469</x:v>
      </x:c>
      <x:c r="G152" s="12" t="str">
        <x:v>DG-JB-20210930</x:v>
      </x:c>
      <x:c r="H152" s="12" t="str">
        <x:v>JBLOC-0152</x:v>
      </x:c>
      <x:c r="I152" s="12" t="str">
        <x:v>S2021-028</x:v>
      </x:c>
      <x:c r="J152" s="12" t="str">
        <x:v>Kempas Denai</x:v>
      </x:c>
      <x:c r="K152" s="12" t="str">
        <x:v>Kempas Denai</x:v>
      </x:c>
      <x:c r="L152" s="12" t="str">
        <x:v>ROAD/AREA</x:v>
      </x:c>
      <x:c r="M152" s="12" t="str">
        <x:v>Flash flood</x:v>
      </x:c>
      <x:c r="N152" s="12" t="str">
        <x:v>B</x:v>
      </x:c>
      <x:c r="O152" s="12" t="str">
        <x:v>SRC2021-SEP30-SINAR</x:v>
      </x:c>
      <x:c r="P152" s="12"/>
      <x:c r="Q152" s="12" t="n">
        <x:v>103.71851</x:v>
      </x:c>
      <x:c r="R152" s="12" t="n">
        <x:v>1.514607</x:v>
      </x:c>
      <x:c r="S152" s="12" t="str">
        <x:v>YES</x:v>
      </x:c>
      <x:c r="T152" s="12" t="str">
        <x:v>PLOT</x:v>
      </x:c>
      <x:c r="U152" s="12"/>
      <x:c r="V152" s="12" t="str">
        <x:v>SOURCE_LABEL_CONFLICT; ROAD_SEGMENT_OPEN</x:v>
      </x:c>
      <x:c r="W152" s="12" t="str">
        <x:v>https://www.sinarharian.com.my/article/164321/EDISI/Beberapa-kawasan-di-Johor-Bahru-dilanda-banjir-kilat</x:v>
      </x:c>
      <x:c r="X152" s="12" t="str">
        <x:v>Kosmo road-specific wording indicates Jalan Denai Utama; exact segment remains open.</x:v>
      </x:c>
    </x:row>
    <x:row r="153">
      <x:c r="A153" s="12" t="str">
        <x:v>FLOC-0131</x:v>
      </x:c>
      <x:c r="B153" s="12" t="str">
        <x:v>Kempas Permatang</x:v>
      </x:c>
      <x:c r="C153" s="12" t="str">
        <x:v>YES</x:v>
      </x:c>
      <x:c r="D153" s="12" t="n">
        <x:v>2021</x:v>
      </x:c>
      <x:c r="E153" s="12" t="str">
        <x:v>EVT-JB-2021-041</x:v>
      </x:c>
      <x:c r="F153" s="18" t="n">
        <x:v>44469</x:v>
      </x:c>
      <x:c r="G153" s="12" t="str">
        <x:v>DG-JB-20210930</x:v>
      </x:c>
      <x:c r="H153" s="12" t="str">
        <x:v>JBLOC-0154</x:v>
      </x:c>
      <x:c r="I153" s="12" t="str">
        <x:v>S2021-029</x:v>
      </x:c>
      <x:c r="J153" s="12" t="str">
        <x:v>Kempas Permatang</x:v>
      </x:c>
      <x:c r="K153" s="12" t="str">
        <x:v>Kempas Permatang</x:v>
      </x:c>
      <x:c r="L153" s="12" t="str">
        <x:v>ROAD/AREA</x:v>
      </x:c>
      <x:c r="M153" s="12" t="str">
        <x:v>Flash flood</x:v>
      </x:c>
      <x:c r="N153" s="12" t="str">
        <x:v>B</x:v>
      </x:c>
      <x:c r="O153" s="12" t="str">
        <x:v>SRC2021-SEP30-SINAR</x:v>
      </x:c>
      <x:c r="P153" s="12"/>
      <x:c r="Q153" s="12" t="n">
        <x:v>103.72755</x:v>
      </x:c>
      <x:c r="R153" s="12" t="n">
        <x:v>1.52696</x:v>
      </x:c>
      <x:c r="S153" s="12" t="str">
        <x:v>YES</x:v>
      </x:c>
      <x:c r="T153" s="12" t="str">
        <x:v>PLOT</x:v>
      </x:c>
      <x:c r="U153" s="12"/>
      <x:c r="V153" s="12" t="str">
        <x:v>POINT_READY; ROAD_SEGMENT_OPEN</x:v>
      </x:c>
      <x:c r="W153" s="12" t="str">
        <x:v>https://www.sinarharian.com.my/article/164321/EDISI/Beberapa-kawasan-di-Johor-Bahru-dilanda-banjir-kilat</x:v>
      </x:c>
      <x:c r="X153" s="12" t="str">
        <x:v>Kosmo road-specific wording indicates Jalan Permatang; exact segment remains open.</x:v>
      </x:c>
    </x:row>
    <x:row r="154">
      <x:c r="A154" s="12" t="str">
        <x:v>FLOC-0096</x:v>
      </x:c>
      <x:c r="B154" s="12" t="str">
        <x:v>Kampung Pasir, Tampoi/Skudai</x:v>
      </x:c>
      <x:c r="C154" s="12" t="str">
        <x:v>YES</x:v>
      </x:c>
      <x:c r="D154" s="12" t="n">
        <x:v>2021</x:v>
      </x:c>
      <x:c r="E154" s="12" t="str">
        <x:v>EVT-JB-2021-042</x:v>
      </x:c>
      <x:c r="F154" s="18" t="n">
        <x:v>44469</x:v>
      </x:c>
      <x:c r="G154" s="12" t="str">
        <x:v>DG-JB-20210930</x:v>
      </x:c>
      <x:c r="H154" s="12" t="str">
        <x:v>JBLOC-0104</x:v>
      </x:c>
      <x:c r="I154" s="12" t="str">
        <x:v>S2021-006</x:v>
      </x:c>
      <x:c r="J154" s="12" t="str">
        <x:v>Kampung Pasir</x:v>
      </x:c>
      <x:c r="K154" s="12" t="str">
        <x:v>Kampung Pasir</x:v>
      </x:c>
      <x:c r="L154" s="12" t="str">
        <x:v>COMMUNITY</x:v>
      </x:c>
      <x:c r="M154" s="12" t="str">
        <x:v>Flash flood</x:v>
      </x:c>
      <x:c r="N154" s="12" t="str">
        <x:v>B</x:v>
      </x:c>
      <x:c r="O154" s="12" t="str">
        <x:v>SRC2021-SEP30-SINAR</x:v>
      </x:c>
      <x:c r="P154" s="12"/>
      <x:c r="Q154" s="12" t="n">
        <x:v>103.6969651</x:v>
      </x:c>
      <x:c r="R154" s="12" t="n">
        <x:v>1.4955303</x:v>
      </x:c>
      <x:c r="S154" s="12" t="str">
        <x:v>YES</x:v>
      </x:c>
      <x:c r="T154" s="12" t="str">
        <x:v>PLOT</x:v>
      </x:c>
      <x:c r="U154" s="12"/>
      <x:c r="V154" s="12" t="str">
        <x:v>POINT_READY; POLYGON_OPEN</x:v>
      </x:c>
      <x:c r="W154" s="12" t="str">
        <x:v>https://www.sinarharian.com.my/article/164321/EDISI/Beberapa-kawasan-di-Johor-Bahru-dilanda-banjir-kilat</x:v>
      </x:c>
      <x:c r="X154" s="12"/>
    </x:row>
    <x:row r="155">
      <x:c r="A155" s="12" t="str">
        <x:v>FLOC-0089</x:v>
      </x:c>
      <x:c r="B155" s="12" t="str">
        <x:v>Kampung Laut Batu 10, Skudai</x:v>
      </x:c>
      <x:c r="C155" s="12" t="str">
        <x:v>YES</x:v>
      </x:c>
      <x:c r="D155" s="12" t="n">
        <x:v>2021</x:v>
      </x:c>
      <x:c r="E155" s="12" t="str">
        <x:v>EVT-JB-2021-043</x:v>
      </x:c>
      <x:c r="F155" s="18" t="n">
        <x:v>44469</x:v>
      </x:c>
      <x:c r="G155" s="12" t="str">
        <x:v>DG-JB-20210930</x:v>
      </x:c>
      <x:c r="H155" s="12" t="str">
        <x:v>JBLOC-0093</x:v>
      </x:c>
      <x:c r="I155" s="12" t="str">
        <x:v>S2021-001</x:v>
      </x:c>
      <x:c r="J155" s="12" t="str">
        <x:v>Kampung Laut Skudai</x:v>
      </x:c>
      <x:c r="K155" s="12" t="str">
        <x:v>Kampung Laut Batu 10, Skudai</x:v>
      </x:c>
      <x:c r="L155" s="12" t="str">
        <x:v>COMMUNITY</x:v>
      </x:c>
      <x:c r="M155" s="12" t="str">
        <x:v>Flash flood</x:v>
      </x:c>
      <x:c r="N155" s="12" t="str">
        <x:v>B</x:v>
      </x:c>
      <x:c r="O155" s="12" t="str">
        <x:v>SRC2021-SEP30-SINAR</x:v>
      </x:c>
      <x:c r="P155" s="12"/>
      <x:c r="Q155" s="12" t="n">
        <x:v>103.6605</x:v>
      </x:c>
      <x:c r="R155" s="12" t="n">
        <x:v>1.5453</x:v>
      </x:c>
      <x:c r="S155" s="12" t="str">
        <x:v>YES</x:v>
      </x:c>
      <x:c r="T155" s="12" t="str">
        <x:v>PLOT</x:v>
      </x:c>
      <x:c r="U155" s="12"/>
      <x:c r="V155" s="12" t="str">
        <x:v>POINT_READY; POLYGON_OPEN</x:v>
      </x:c>
      <x:c r="W155" s="12" t="str">
        <x:v>https://www.sinarharian.com.my/article/164321/EDISI/Beberapa-kawasan-di-Johor-Bahru-dilanda-banjir-kilat</x:v>
      </x:c>
      <x:c r="X155" s="12"/>
    </x:row>
    <x:row r="156">
      <x:c r="A156" s="12" t="str">
        <x:v>FLOC-0086</x:v>
      </x:c>
      <x:c r="B156" s="12" t="str">
        <x:v>Kampung Kangkar Tebrau</x:v>
      </x:c>
      <x:c r="C156" s="12" t="str">
        <x:v>YES</x:v>
      </x:c>
      <x:c r="D156" s="12" t="n">
        <x:v>2021</x:v>
      </x:c>
      <x:c r="E156" s="12" t="str">
        <x:v>EVT-JB-2021-044</x:v>
      </x:c>
      <x:c r="F156" s="18" t="n">
        <x:v>44469</x:v>
      </x:c>
      <x:c r="G156" s="12" t="str">
        <x:v>DG-JB-20210930</x:v>
      </x:c>
      <x:c r="H156" s="12" t="str">
        <x:v>JBLOC-0090</x:v>
      </x:c>
      <x:c r="I156" s="12" t="str">
        <x:v>S2021-011</x:v>
      </x:c>
      <x:c r="J156" s="12" t="str">
        <x:v>Kampung Kangkar Tebrau</x:v>
      </x:c>
      <x:c r="K156" s="12" t="str">
        <x:v>Kampung Kangkar Tebrau</x:v>
      </x:c>
      <x:c r="L156" s="12" t="str">
        <x:v>COMMUNITY</x:v>
      </x:c>
      <x:c r="M156" s="12" t="str">
        <x:v>Flash flood</x:v>
      </x:c>
      <x:c r="N156" s="12" t="str">
        <x:v>B</x:v>
      </x:c>
      <x:c r="O156" s="12" t="str">
        <x:v>SRC2021-SEP30-SINAR</x:v>
      </x:c>
      <x:c r="P156" s="12"/>
      <x:c r="Q156" s="12" t="n">
        <x:v>103.75589</x:v>
      </x:c>
      <x:c r="R156" s="12" t="n">
        <x:v>1.53176</x:v>
      </x:c>
      <x:c r="S156" s="12" t="str">
        <x:v>YES</x:v>
      </x:c>
      <x:c r="T156" s="12" t="str">
        <x:v>PLOT</x:v>
      </x:c>
      <x:c r="U156" s="12" t="str">
        <x:v>PG2017-KANGKAR-TEBRAU</x:v>
      </x:c>
      <x:c r="V156" s="12" t="str">
        <x:v>REUSED_CLOSED</x:v>
      </x:c>
      <x:c r="W156" s="12" t="str">
        <x:v>https://www.sinarharian.com.my/article/164321/EDISI/Beberapa-kawasan-di-Johor-Bahru-dilanda-banjir-kilat</x:v>
      </x:c>
      <x:c r="X156" s="12"/>
    </x:row>
    <x:row r="157">
      <x:c r="A157" s="12" t="str">
        <x:v>FLOC-0113</x:v>
      </x:c>
      <x:c r="B157" s="12" t="str">
        <x:v>Kampung Sri Jaya Baru</x:v>
      </x:c>
      <x:c r="C157" s="12" t="str">
        <x:v>YES</x:v>
      </x:c>
      <x:c r="D157" s="12" t="n">
        <x:v>2021</x:v>
      </x:c>
      <x:c r="E157" s="12" t="str">
        <x:v>EVT-JB-2021-045</x:v>
      </x:c>
      <x:c r="F157" s="18" t="n">
        <x:v>44469</x:v>
      </x:c>
      <x:c r="G157" s="12" t="str">
        <x:v>DG-JB-20210930</x:v>
      </x:c>
      <x:c r="H157" s="12" t="str">
        <x:v>JBLOC-0128</x:v>
      </x:c>
      <x:c r="I157" s="12" t="str">
        <x:v>S2021-030</x:v>
      </x:c>
      <x:c r="J157" s="12" t="str">
        <x:v>Kampung Seri Jaya Baru</x:v>
      </x:c>
      <x:c r="K157" s="12" t="str">
        <x:v>Kampung Seri Jaya Baru</x:v>
      </x:c>
      <x:c r="L157" s="12" t="str">
        <x:v>COMMUNITY</x:v>
      </x:c>
      <x:c r="M157" s="12" t="str">
        <x:v>Flash flood</x:v>
      </x:c>
      <x:c r="N157" s="12" t="str">
        <x:v>B</x:v>
      </x:c>
      <x:c r="O157" s="12" t="str">
        <x:v>SRC2021-SEP30-SINAR-SERIJAYA</x:v>
      </x:c>
      <x:c r="P157" s="12"/>
      <x:c r="Q157" s="12"/>
      <x:c r="R157" s="12"/>
      <x:c r="S157" s="12" t="str">
        <x:v>NO</x:v>
      </x:c>
      <x:c r="T157" s="12" t="str">
        <x:v>DO NOT PLOT</x:v>
      </x:c>
      <x:c r="U157" s="12"/>
      <x:c r="V157" s="12" t="str">
        <x:v>POINT_OPEN</x:v>
      </x:c>
      <x:c r="W157" s="12" t="str">
        <x:v>https://www.sinarharian.com.my/article/164367/BERITA/Semasa/Banjir-merah-landa-Kampung-Seri-Jaya-Baru-Tampoi</x:v>
      </x:c>
      <x:c r="X157" s="12" t="str">
        <x:v>Separate same-day red-water flash-flood report.</x:v>
      </x:c>
    </x:row>
    <x:row r="158">
      <x:c r="A158" s="12" t="str">
        <x:v>FLOC-0094</x:v>
      </x:c>
      <x:c r="B158" s="12" t="str">
        <x:v>Kampung Mohd Amin, Kolam Air</x:v>
      </x:c>
      <x:c r="C158" s="12" t="str">
        <x:v>YES</x:v>
      </x:c>
      <x:c r="D158" s="12" t="n">
        <x:v>2021</x:v>
      </x:c>
      <x:c r="E158" s="12" t="str">
        <x:v>EVT-JB-2021-046</x:v>
      </x:c>
      <x:c r="F158" s="18" t="n">
        <x:v>44469</x:v>
      </x:c>
      <x:c r="G158" s="12" t="str">
        <x:v>DG-JB-20210930</x:v>
      </x:c>
      <x:c r="H158" s="12" t="str">
        <x:v>JBLOC-0103</x:v>
      </x:c>
      <x:c r="I158" s="12" t="str">
        <x:v>S2021-031</x:v>
      </x:c>
      <x:c r="J158" s="12" t="str">
        <x:v>Kampung Mohd Amin, Kolam Air</x:v>
      </x:c>
      <x:c r="K158" s="12" t="str">
        <x:v>Kampung Mohd Amin, Kolam Air</x:v>
      </x:c>
      <x:c r="L158" s="12" t="str">
        <x:v>COMMUNITY</x:v>
      </x:c>
      <x:c r="M158" s="12" t="str">
        <x:v>Flash flood</x:v>
      </x:c>
      <x:c r="N158" s="12" t="str">
        <x:v>C</x:v>
      </x:c>
      <x:c r="O158" s="12" t="str">
        <x:v>SRC2021-SEP30-YSJB</x:v>
      </x:c>
      <x:c r="P158" s="12"/>
      <x:c r="Q158" s="12" t="n">
        <x:v>103.73374889</x:v>
      </x:c>
      <x:c r="R158" s="12" t="n">
        <x:v>1.46371239</x:v>
      </x:c>
      <x:c r="S158" s="12" t="str">
        <x:v>YES</x:v>
      </x:c>
      <x:c r="T158" s="12" t="str">
        <x:v>PLOT</x:v>
      </x:c>
      <x:c r="U158" s="12"/>
      <x:c r="V158" s="12" t="str">
        <x:v>POINT_READY; POLYGON_OPEN</x:v>
      </x:c>
      <x:c r="W158" s="12" t="str">
        <x:v>https://www.yayasansuriajb.org.my/help-at-kg-mohd-amin-kolam-air-johor-bahru-flash-flood-on-30-09-2021/</x:v>
      </x:c>
      <x:c r="X158" s="12" t="str">
        <x:v>Explicit field-aid record: flash flood on 30/09/2021; water rose to chest height.</x:v>
      </x:c>
    </x:row>
    <x:row r="159">
      <x:c r="A159" s="12" t="str">
        <x:v>FLOC-0169</x:v>
      </x:c>
      <x:c r="B159" s="12" t="str">
        <x:v>Sungai Tiram PPS catchment</x:v>
      </x:c>
      <x:c r="C159" s="12" t="str">
        <x:v>YES</x:v>
      </x:c>
      <x:c r="D159" s="12" t="n">
        <x:v>2022</x:v>
      </x:c>
      <x:c r="E159" s="12" t="str">
        <x:v>EVT-JB-2022-001</x:v>
      </x:c>
      <x:c r="F159" s="18" t="n">
        <x:v>44564</x:v>
      </x:c>
      <x:c r="G159" s="12" t="str">
        <x:v>DG-JB-20220102-20220103</x:v>
      </x:c>
      <x:c r="H159" s="12" t="str">
        <x:v>JBLOC-0185</x:v>
      </x:c>
      <x:c r="I159" s="12" t="str">
        <x:v>S2022-001</x:v>
      </x:c>
      <x:c r="J159" s="12" t="str">
        <x:v>Dewanraya Sungai Tiram / Sungai Tiram</x:v>
      </x:c>
      <x:c r="K159" s="12" t="str">
        <x:v>Sungai Tiram PPS catchment</x:v>
      </x:c>
      <x:c r="L159" s="12" t="str">
        <x:v>AREA/COMMUNITY</x:v>
      </x:c>
      <x:c r="M159" s="12" t="str">
        <x:v>Monsoon flood</x:v>
      </x:c>
      <x:c r="N159" s="12" t="str">
        <x:v>A/B</x:v>
      </x:c>
      <x:c r="O159" s="12" t="str">
        <x:v>SRC_R2022_RTM_20220103</x:v>
      </x:c>
      <x:c r="P159" s="12" t="str">
        <x:v>SRC_R2022_JPS_ANNUAL</x:v>
      </x:c>
      <x:c r="Q159" s="12" t="n">
        <x:v>103.8806315</x:v>
      </x:c>
      <x:c r="R159" s="12" t="n">
        <x:v>1.5843974</x:v>
      </x:c>
      <x:c r="S159" s="12" t="str">
        <x:v>YES</x:v>
      </x:c>
      <x:c r="T159" s="12" t="str">
        <x:v>PLOT</x:v>
      </x:c>
      <x:c r="U159" s="12"/>
      <x:c r="V159" s="12" t="str">
        <x:v>POINT_REFERENCE; EVENT_FOOTPRINT_OPEN</x:v>
      </x:c>
      <x:c r="W159" s="12" t="str">
        <x:v>https://berita.rtm.gov.my/nasional/senarai-berita-nasional/senarai-artikel/perkembangan-banjir-di-johor
https://www.water.gov.my/jps/resources/Anual%20Flood%20Reporting%20/LBT_2022.pdf</x:v>
      </x:c>
      <x:c r="X159" s="12" t="str">
        <x:v>PPS confirms affected Sungai Tiram context; exact flooded subarea is not stated.</x:v>
      </x:c>
    </x:row>
    <x:row r="160">
      <x:c r="A160" s="12" t="str">
        <x:v>FLOC-0074</x:v>
      </x:c>
      <x:c r="B160" s="12" t="str">
        <x:v>Kampung Baru Muafakat, Gelang Patah</x:v>
      </x:c>
      <x:c r="C160" s="12" t="str">
        <x:v>YES</x:v>
      </x:c>
      <x:c r="D160" s="12" t="n">
        <x:v>2022</x:v>
      </x:c>
      <x:c r="E160" s="12" t="str">
        <x:v>EVT-JB-2022-002</x:v>
      </x:c>
      <x:c r="F160" s="18" t="n">
        <x:v>44627</x:v>
      </x:c>
      <x:c r="G160" s="12" t="str">
        <x:v>DG-JB-20220307</x:v>
      </x:c>
      <x:c r="H160" s="12" t="str">
        <x:v>JBLOC-0076</x:v>
      </x:c>
      <x:c r="I160" s="12" t="str">
        <x:v>S2022-002</x:v>
      </x:c>
      <x:c r="J160" s="12" t="str">
        <x:v>Kampung Baru Muafakat, Gelang Patah</x:v>
      </x:c>
      <x:c r="K160" s="12" t="str">
        <x:v>Kampung Baru Muafakat</x:v>
      </x:c>
      <x:c r="L160" s="12" t="str">
        <x:v>COMMUNITY</x:v>
      </x:c>
      <x:c r="M160" s="12" t="str">
        <x:v>Flash flood</x:v>
      </x:c>
      <x:c r="N160" s="12" t="str">
        <x:v>A/B</x:v>
      </x:c>
      <x:c r="O160" s="12" t="str">
        <x:v>SRC_R2022_RTM_20220307</x:v>
      </x:c>
      <x:c r="P160" s="12" t="str">
        <x:v>SRC_R2022_JPS_ANNUAL</x:v>
      </x:c>
      <x:c r="Q160" s="12" t="n">
        <x:v>103.5947457</x:v>
      </x:c>
      <x:c r="R160" s="12" t="n">
        <x:v>1.4430619</x:v>
      </x:c>
      <x:c r="S160" s="12" t="str">
        <x:v>YES</x:v>
      </x:c>
      <x:c r="T160" s="12" t="str">
        <x:v>PLOT</x:v>
      </x:c>
      <x:c r="U160" s="12" t="str">
        <x:v>PG2020-KG-BARU-MUAFAKAT</x:v>
      </x:c>
      <x:c r="V160" s="12" t="str">
        <x:v>REUSED_CLOSED</x:v>
      </x:c>
      <x:c r="W160" s="12" t="str">
        <x:v>https://berita.rtm.gov.my/nasional/senarai-berita-nasional/senarai-artikel/banjir-kilat-di-johor-bahru-dan-kulai-surut-pukul-6-petang/
https://www.water.gov.my/jps/resources/Anual%20Flood%20Reporting%20/LBT_2022.pdf</x:v>
      </x:c>
      <x:c r="X160" s="12"/>
    </x:row>
    <x:row r="161">
      <x:c r="A161" s="12" t="str">
        <x:v>FLOC-0096</x:v>
      </x:c>
      <x:c r="B161" s="12" t="str">
        <x:v>Kampung Pasir, Tampoi/Skudai</x:v>
      </x:c>
      <x:c r="C161" s="12" t="str">
        <x:v>YES</x:v>
      </x:c>
      <x:c r="D161" s="12" t="n">
        <x:v>2022</x:v>
      </x:c>
      <x:c r="E161" s="12" t="str">
        <x:v>EVT-JB-2022-003</x:v>
      </x:c>
      <x:c r="F161" s="18" t="n">
        <x:v>44627</x:v>
      </x:c>
      <x:c r="G161" s="12" t="str">
        <x:v>DG-JB-20220307</x:v>
      </x:c>
      <x:c r="H161" s="12" t="str">
        <x:v>JBLOC-0104</x:v>
      </x:c>
      <x:c r="I161" s="12" t="str">
        <x:v>S2022-003</x:v>
      </x:c>
      <x:c r="J161" s="12" t="str">
        <x:v>Kampung Pasir</x:v>
      </x:c>
      <x:c r="K161" s="12" t="str">
        <x:v>Kampung Pasir</x:v>
      </x:c>
      <x:c r="L161" s="12" t="str">
        <x:v>COMMUNITY</x:v>
      </x:c>
      <x:c r="M161" s="12" t="str">
        <x:v>Flash flood</x:v>
      </x:c>
      <x:c r="N161" s="12" t="str">
        <x:v>A</x:v>
      </x:c>
      <x:c r="O161" s="12" t="str">
        <x:v>SRC_R2022_JPS_ANNUAL</x:v>
      </x:c>
      <x:c r="P161" s="12"/>
      <x:c r="Q161" s="12" t="n">
        <x:v>103.6969651</x:v>
      </x:c>
      <x:c r="R161" s="12" t="n">
        <x:v>1.4955303</x:v>
      </x:c>
      <x:c r="S161" s="12" t="str">
        <x:v>YES</x:v>
      </x:c>
      <x:c r="T161" s="12" t="str">
        <x:v>PLOT</x:v>
      </x:c>
      <x:c r="U161" s="12"/>
      <x:c r="V161" s="12" t="str">
        <x:v>POINT_READY; POLYGON_OPEN</x:v>
      </x:c>
      <x:c r="W161" s="12" t="str">
        <x:v>https://www.water.gov.my/jps/resources/Anual%20Flood%20Reporting%20/LBT_2022.pdf</x:v>
      </x:c>
      <x:c r="X161" s="12"/>
    </x:row>
    <x:row r="162">
      <x:c r="A162" s="12" t="str">
        <x:v>FLOC-0036</x:v>
      </x:c>
      <x:c r="B162" s="12" t="str">
        <x:v>Jalan Kota Tinggi / FT003</x:v>
      </x:c>
      <x:c r="C162" s="12" t="str">
        <x:v>YES</x:v>
      </x:c>
      <x:c r="D162" s="12" t="n">
        <x:v>2022</x:v>
      </x:c>
      <x:c r="E162" s="12" t="str">
        <x:v>EVT-JB-2022-004</x:v>
      </x:c>
      <x:c r="F162" s="18" t="n">
        <x:v>44668</x:v>
      </x:c>
      <x:c r="G162" s="12" t="str">
        <x:v>DG-JB-20220417</x:v>
      </x:c>
      <x:c r="H162" s="12" t="str">
        <x:v>JBLOC-0039</x:v>
      </x:c>
      <x:c r="I162" s="12" t="str">
        <x:v>S2022-004</x:v>
      </x:c>
      <x:c r="J162" s="12" t="str">
        <x:v>Jalan Kota Tinggi (FT003)</x:v>
      </x:c>
      <x:c r="K162" s="12" t="str">
        <x:v>Jalan Kota Tinggi / FT003</x:v>
      </x:c>
      <x:c r="L162" s="12" t="str">
        <x:v>ROAD</x:v>
      </x:c>
      <x:c r="M162" s="12" t="str">
        <x:v>Flash flood</x:v>
      </x:c>
      <x:c r="N162" s="12" t="str">
        <x:v>A</x:v>
      </x:c>
      <x:c r="O162" s="12" t="str">
        <x:v>SRC_R2022_JPS_ANNUAL</x:v>
      </x:c>
      <x:c r="P162" s="12"/>
      <x:c r="Q162" s="12" t="n">
        <x:v>103.8012632</x:v>
      </x:c>
      <x:c r="R162" s="12" t="n">
        <x:v>1.5566538</x:v>
      </x:c>
      <x:c r="S162" s="12" t="str">
        <x:v>YES</x:v>
      </x:c>
      <x:c r="T162" s="12" t="str">
        <x:v>PLOT</x:v>
      </x:c>
      <x:c r="U162" s="12"/>
      <x:c r="V162" s="12" t="str">
        <x:v>ROAD_SEGMENT_OPEN</x:v>
      </x:c>
      <x:c r="W162" s="12" t="str">
        <x:v>https://www.water.gov.my/jps/resources/Anual%20Flood%20Reporting%20/LBT_2022.pdf</x:v>
      </x:c>
      <x:c r="X162" s="12"/>
    </x:row>
    <x:row r="163">
      <x:c r="A163" s="12" t="str">
        <x:v>FLOC-0099</x:v>
      </x:c>
      <x:c r="B163" s="12" t="str">
        <x:v>Kampung Paya Mengkuang</x:v>
      </x:c>
      <x:c r="C163" s="12" t="str">
        <x:v>YES</x:v>
      </x:c>
      <x:c r="D163" s="12" t="n">
        <x:v>2022</x:v>
      </x:c>
      <x:c r="E163" s="12" t="str">
        <x:v>EVT-JB-2022-005</x:v>
      </x:c>
      <x:c r="F163" s="18" t="n">
        <x:v>44685</x:v>
      </x:c>
      <x:c r="G163" s="12" t="str">
        <x:v>DG-JB-20220504</x:v>
      </x:c>
      <x:c r="H163" s="12" t="str">
        <x:v>JBLOC-0111</x:v>
      </x:c>
      <x:c r="I163" s="12" t="str">
        <x:v>S2022-005</x:v>
      </x:c>
      <x:c r="J163" s="12" t="str">
        <x:v>Kampung Paya Mengkuang, Tg Kupang, Gelang Patah</x:v>
      </x:c>
      <x:c r="K163" s="12" t="str">
        <x:v>Kampung Paya Mengkuang</x:v>
      </x:c>
      <x:c r="L163" s="12" t="str">
        <x:v>COMMUNITY</x:v>
      </x:c>
      <x:c r="M163" s="12" t="str">
        <x:v>Flash flood</x:v>
      </x:c>
      <x:c r="N163" s="12" t="str">
        <x:v>A</x:v>
      </x:c>
      <x:c r="O163" s="12" t="str">
        <x:v>SRC_R2022_JPS_ANNUAL</x:v>
      </x:c>
      <x:c r="P163" s="12"/>
      <x:c r="Q163" s="12" t="n">
        <x:v>103.58727458</x:v>
      </x:c>
      <x:c r="R163" s="12" t="n">
        <x:v>1.37194144</x:v>
      </x:c>
      <x:c r="S163" s="12" t="str">
        <x:v>YES</x:v>
      </x:c>
      <x:c r="T163" s="12" t="str">
        <x:v>PLOT</x:v>
      </x:c>
      <x:c r="U163" s="12"/>
      <x:c r="V163" s="12" t="str">
        <x:v>POINT_READY; POLYGON_OPEN</x:v>
      </x:c>
      <x:c r="W163" s="12" t="str">
        <x:v>https://www.water.gov.my/jps/resources/Anual%20Flood%20Reporting%20/LBT_2022.pdf</x:v>
      </x:c>
      <x:c r="X163" s="12"/>
    </x:row>
    <x:row r="164">
      <x:c r="A164" s="12" t="str">
        <x:v>FLOC-0019</x:v>
      </x:c>
      <x:c r="B164" s="12" t="str">
        <x:v>Jalan Ayer Molek</x:v>
      </x:c>
      <x:c r="C164" s="12" t="str">
        <x:v>YES</x:v>
      </x:c>
      <x:c r="D164" s="12" t="n">
        <x:v>2022</x:v>
      </x:c>
      <x:c r="E164" s="12" t="str">
        <x:v>EVT-JB-2022-006</x:v>
      </x:c>
      <x:c r="F164" s="18" t="n">
        <x:v>44775</x:v>
      </x:c>
      <x:c r="G164" s="12" t="str">
        <x:v>DG-JB-20220802</x:v>
      </x:c>
      <x:c r="H164" s="12" t="str">
        <x:v>JBLOC-0021</x:v>
      </x:c>
      <x:c r="I164" s="12" t="str">
        <x:v>S2022-006</x:v>
      </x:c>
      <x:c r="J164" s="12" t="str">
        <x:v>Jalan Ayer Molek</x:v>
      </x:c>
      <x:c r="K164" s="12" t="str">
        <x:v>Jalan Ayer Molek</x:v>
      </x:c>
      <x:c r="L164" s="12" t="str">
        <x:v>ROAD</x:v>
      </x:c>
      <x:c r="M164" s="12" t="str">
        <x:v>Flash flood</x:v>
      </x:c>
      <x:c r="N164" s="12" t="str">
        <x:v>B</x:v>
      </x:c>
      <x:c r="O164" s="12" t="str">
        <x:v>SRC_R2022_BERNAMA_20220802</x:v>
      </x:c>
      <x:c r="P164" s="12" t="str">
        <x:v>SRC_R2022_MMAIL_20220802</x:v>
      </x:c>
      <x:c r="Q164" s="12" t="n">
        <x:v>103.7587117</x:v>
      </x:c>
      <x:c r="R164" s="12" t="n">
        <x:v>1.4594963</x:v>
      </x:c>
      <x:c r="S164" s="12" t="str">
        <x:v>YES</x:v>
      </x:c>
      <x:c r="T164" s="12" t="str">
        <x:v>PLOT</x:v>
      </x:c>
      <x:c r="U164" s="12"/>
      <x:c r="V164" s="12" t="str">
        <x:v>POINT_REFERENCE; ROAD_SEGMENT_OPEN</x:v>
      </x:c>
      <x:c r="W164" s="12" t="str">
        <x:v>https://www.bernama.com/bm/news.php?id=2106629
https://www.malaymail.com/news/malaysia/2022/08/02/parts-of-johor-baru-hit-by-flash-floods-video/20634</x:v>
      </x:c>
      <x:c r="X164" s="12" t="str">
        <x:v>Heavy rain/high tide context; road segments remain conservative unless exact extents are known.</x:v>
      </x:c>
    </x:row>
    <x:row r="165">
      <x:c r="A165" s="12" t="str">
        <x:v>FLOC-0070</x:v>
      </x:c>
      <x:c r="B165" s="12" t="str">
        <x:v>Jalan Wong Ah Fook / Sungai Segget Project Area</x:v>
      </x:c>
      <x:c r="C165" s="12" t="str">
        <x:v>YES</x:v>
      </x:c>
      <x:c r="D165" s="12" t="n">
        <x:v>2022</x:v>
      </x:c>
      <x:c r="E165" s="12" t="str">
        <x:v>EVT-JB-2022-007</x:v>
      </x:c>
      <x:c r="F165" s="18" t="n">
        <x:v>44775</x:v>
      </x:c>
      <x:c r="G165" s="12" t="str">
        <x:v>DG-JB-20220802</x:v>
      </x:c>
      <x:c r="H165" s="12" t="str">
        <x:v>JBLOC-0072</x:v>
      </x:c>
      <x:c r="I165" s="12" t="str">
        <x:v>S2022-007</x:v>
      </x:c>
      <x:c r="J165" s="12" t="str">
        <x:v>Jalan Wong Ah Fook</x:v>
      </x:c>
      <x:c r="K165" s="12" t="str">
        <x:v>Jalan Wong Ah Fook / Sungai Segget corridor</x:v>
      </x:c>
      <x:c r="L165" s="12" t="str">
        <x:v>ROAD/CORRIDOR</x:v>
      </x:c>
      <x:c r="M165" s="12" t="str">
        <x:v>Flash flood</x:v>
      </x:c>
      <x:c r="N165" s="12" t="str">
        <x:v>B</x:v>
      </x:c>
      <x:c r="O165" s="12" t="str">
        <x:v>SRC_R2022_BERNAMA_20220802</x:v>
      </x:c>
      <x:c r="P165" s="12" t="str">
        <x:v>SRC_R2022_MMAIL_20220802</x:v>
      </x:c>
      <x:c r="Q165" s="12" t="n">
        <x:v>103.7656178</x:v>
      </x:c>
      <x:c r="R165" s="12" t="n">
        <x:v>1.4576093</x:v>
      </x:c>
      <x:c r="S165" s="12" t="str">
        <x:v>YES</x:v>
      </x:c>
      <x:c r="T165" s="12" t="str">
        <x:v>PLOT</x:v>
      </x:c>
      <x:c r="U165" s="12" t="str">
        <x:v>PG2016-CBD-SEGGET</x:v>
      </x:c>
      <x:c r="V165" s="12" t="str">
        <x:v>REUSED_CLOSED</x:v>
      </x:c>
      <x:c r="W165" s="12" t="str">
        <x:v>https://www.bernama.com/bm/news.php?id=2106629
https://www.malaymail.com/news/malaysia/2022/08/02/parts-of-johor-baru-hit-by-flash-floods-video/20634</x:v>
      </x:c>
      <x:c r="X165" s="12" t="str">
        <x:v>Heavy rain/high tide context; road segments remain conservative unless exact extents are known.</x:v>
      </x:c>
    </x:row>
    <x:row r="166">
      <x:c r="A166" s="12" t="str">
        <x:v>FLOC-0068</x:v>
      </x:c>
      <x:c r="B166" s="12" t="str">
        <x:v>Jalan Tun Abdul Razak</x:v>
      </x:c>
      <x:c r="C166" s="12" t="str">
        <x:v>YES</x:v>
      </x:c>
      <x:c r="D166" s="12" t="n">
        <x:v>2022</x:v>
      </x:c>
      <x:c r="E166" s="12" t="str">
        <x:v>EVT-JB-2022-008</x:v>
      </x:c>
      <x:c r="F166" s="18" t="n">
        <x:v>44775</x:v>
      </x:c>
      <x:c r="G166" s="12" t="str">
        <x:v>DG-JB-20220802</x:v>
      </x:c>
      <x:c r="H166" s="12" t="str">
        <x:v>JBLOC-0070</x:v>
      </x:c>
      <x:c r="I166" s="12" t="str">
        <x:v>S2022-008</x:v>
      </x:c>
      <x:c r="J166" s="12" t="str">
        <x:v>Jalan Tun Abdul Razak</x:v>
      </x:c>
      <x:c r="K166" s="12" t="str">
        <x:v>Jalan Tun Abdul Razak</x:v>
      </x:c>
      <x:c r="L166" s="12" t="str">
        <x:v>ROAD</x:v>
      </x:c>
      <x:c r="M166" s="12" t="str">
        <x:v>Flash flood</x:v>
      </x:c>
      <x:c r="N166" s="12" t="str">
        <x:v>B</x:v>
      </x:c>
      <x:c r="O166" s="12" t="str">
        <x:v>SRC_R2022_BERNAMA_20220802</x:v>
      </x:c>
      <x:c r="P166" s="12"/>
      <x:c r="Q166" s="12" t="n">
        <x:v>103.7527329</x:v>
      </x:c>
      <x:c r="R166" s="12" t="n">
        <x:v>1.4803791</x:v>
      </x:c>
      <x:c r="S166" s="12" t="str">
        <x:v>YES</x:v>
      </x:c>
      <x:c r="T166" s="12" t="str">
        <x:v>PLOT</x:v>
      </x:c>
      <x:c r="U166" s="12"/>
      <x:c r="V166" s="12" t="str">
        <x:v>POINT_REFERENCE; ROAD_SEGMENT_OPEN</x:v>
      </x:c>
      <x:c r="W166" s="12" t="str">
        <x:v>https://www.bernama.com/bm/news.php?id=2106629</x:v>
      </x:c>
      <x:c r="X166" s="12" t="str">
        <x:v>Heavy rain/high tide context; road segments remain conservative unless exact extents are known.</x:v>
      </x:c>
    </x:row>
    <x:row r="167">
      <x:c r="A167" s="12" t="str">
        <x:v>FLOC-0035</x:v>
      </x:c>
      <x:c r="B167" s="12" t="str">
        <x:v>Jalan Kolam Ayer</x:v>
      </x:c>
      <x:c r="C167" s="12" t="str">
        <x:v>YES</x:v>
      </x:c>
      <x:c r="D167" s="12" t="n">
        <x:v>2022</x:v>
      </x:c>
      <x:c r="E167" s="12" t="str">
        <x:v>EVT-JB-2022-009</x:v>
      </x:c>
      <x:c r="F167" s="18" t="n">
        <x:v>44775</x:v>
      </x:c>
      <x:c r="G167" s="12" t="str">
        <x:v>DG-JB-20220802</x:v>
      </x:c>
      <x:c r="H167" s="12" t="str">
        <x:v>JBLOC-0037</x:v>
      </x:c>
      <x:c r="I167" s="12" t="str">
        <x:v>S2022-009</x:v>
      </x:c>
      <x:c r="J167" s="12" t="str">
        <x:v>Jalan Kolam Air</x:v>
      </x:c>
      <x:c r="K167" s="12" t="str">
        <x:v>Jalan Kolam Ayer</x:v>
      </x:c>
      <x:c r="L167" s="12" t="str">
        <x:v>ROAD</x:v>
      </x:c>
      <x:c r="M167" s="12" t="str">
        <x:v>Flash flood</x:v>
      </x:c>
      <x:c r="N167" s="12" t="str">
        <x:v>B</x:v>
      </x:c>
      <x:c r="O167" s="12" t="str">
        <x:v>SRC_R2022_BERNAMA_20220802</x:v>
      </x:c>
      <x:c r="P167" s="12"/>
      <x:c r="Q167" s="12" t="n">
        <x:v>103.7220526</x:v>
      </x:c>
      <x:c r="R167" s="12" t="n">
        <x:v>1.4823854</x:v>
      </x:c>
      <x:c r="S167" s="12" t="str">
        <x:v>YES</x:v>
      </x:c>
      <x:c r="T167" s="12" t="str">
        <x:v>PLOT</x:v>
      </x:c>
      <x:c r="U167" s="12"/>
      <x:c r="V167" s="12" t="str">
        <x:v>POINT_REFERENCE; ROAD_SEGMENT_OPEN</x:v>
      </x:c>
      <x:c r="W167" s="12" t="str">
        <x:v>https://www.bernama.com/bm/news.php?id=2106629</x:v>
      </x:c>
      <x:c r="X167" s="12" t="str">
        <x:v>Heavy rain/high tide context; road segments remain conservative unless exact extents are known.</x:v>
      </x:c>
    </x:row>
    <x:row r="168">
      <x:c r="A168" s="12" t="str">
        <x:v>FLOC-0071</x:v>
      </x:c>
      <x:c r="B168" s="12" t="str">
        <x:v>Jalan Yahya Awal</x:v>
      </x:c>
      <x:c r="C168" s="12" t="str">
        <x:v>YES</x:v>
      </x:c>
      <x:c r="D168" s="12" t="n">
        <x:v>2022</x:v>
      </x:c>
      <x:c r="E168" s="12" t="str">
        <x:v>EVT-JB-2022-010</x:v>
      </x:c>
      <x:c r="F168" s="18" t="n">
        <x:v>44775</x:v>
      </x:c>
      <x:c r="G168" s="12" t="str">
        <x:v>DG-JB-20220802</x:v>
      </x:c>
      <x:c r="H168" s="12" t="str">
        <x:v>JBLOC-0073</x:v>
      </x:c>
      <x:c r="I168" s="12" t="str">
        <x:v>S2022-010</x:v>
      </x:c>
      <x:c r="J168" s="12" t="str">
        <x:v>Jalan Yahya Awal</x:v>
      </x:c>
      <x:c r="K168" s="12" t="str">
        <x:v>Jalan Yahya Awal</x:v>
      </x:c>
      <x:c r="L168" s="12" t="str">
        <x:v>ROAD</x:v>
      </x:c>
      <x:c r="M168" s="12" t="str">
        <x:v>Flash flood</x:v>
      </x:c>
      <x:c r="N168" s="12" t="str">
        <x:v>B</x:v>
      </x:c>
      <x:c r="O168" s="12" t="str">
        <x:v>SRC_R2022_BERNAMA_20220802</x:v>
      </x:c>
      <x:c r="P168" s="12" t="str">
        <x:v>SRC_R2022_MMAIL_20220802</x:v>
      </x:c>
      <x:c r="Q168" s="12" t="n">
        <x:v>103.7553464</x:v>
      </x:c>
      <x:c r="R168" s="12" t="n">
        <x:v>1.4633725</x:v>
      </x:c>
      <x:c r="S168" s="12" t="str">
        <x:v>YES</x:v>
      </x:c>
      <x:c r="T168" s="12" t="str">
        <x:v>PLOT</x:v>
      </x:c>
      <x:c r="U168" s="12"/>
      <x:c r="V168" s="12" t="str">
        <x:v>POINT_REFERENCE; ROAD_SEGMENT_OPEN</x:v>
      </x:c>
      <x:c r="W168" s="12" t="str">
        <x:v>https://www.bernama.com/bm/news.php?id=2106629
https://www.malaymail.com/news/malaysia/2022/08/02/parts-of-johor-baru-hit-by-flash-floods-video/20634</x:v>
      </x:c>
      <x:c r="X168" s="12" t="str">
        <x:v>Heavy rain/high tide context; road segments remain conservative unless exact extents are known.</x:v>
      </x:c>
    </x:row>
    <x:row r="169">
      <x:c r="A169" s="12" t="str">
        <x:v>FLOC-0014</x:v>
      </x:c>
      <x:c r="B169" s="12" t="str">
        <x:v>Hospital Sultanah Aminah</x:v>
      </x:c>
      <x:c r="C169" s="12" t="str">
        <x:v>YES</x:v>
      </x:c>
      <x:c r="D169" s="12" t="n">
        <x:v>2022</x:v>
      </x:c>
      <x:c r="E169" s="12" t="str">
        <x:v>EVT-JB-2022-011</x:v>
      </x:c>
      <x:c r="F169" s="18" t="n">
        <x:v>44775</x:v>
      </x:c>
      <x:c r="G169" s="12" t="str">
        <x:v>DG-JB-20220802</x:v>
      </x:c>
      <x:c r="H169" s="12" t="str">
        <x:v>JBLOC-0016</x:v>
      </x:c>
      <x:c r="I169" s="12" t="str">
        <x:v>S2022-011</x:v>
      </x:c>
      <x:c r="J169" s="12" t="str">
        <x:v>Hospital Sultanah Aminah</x:v>
      </x:c>
      <x:c r="K169" s="12" t="str">
        <x:v>Hospital Sultanah Aminah</x:v>
      </x:c>
      <x:c r="L169" s="12" t="str">
        <x:v>CRITICAL_FACILITY</x:v>
      </x:c>
      <x:c r="M169" s="12" t="str">
        <x:v>Flash flood</x:v>
      </x:c>
      <x:c r="N169" s="12" t="str">
        <x:v>B</x:v>
      </x:c>
      <x:c r="O169" s="12" t="str">
        <x:v>SRC_R2022_BERNAMA_20220802</x:v>
      </x:c>
      <x:c r="P169" s="12"/>
      <x:c r="Q169" s="12" t="n">
        <x:v>103.7466457</x:v>
      </x:c>
      <x:c r="R169" s="12" t="n">
        <x:v>1.4575013</x:v>
      </x:c>
      <x:c r="S169" s="12" t="str">
        <x:v>YES</x:v>
      </x:c>
      <x:c r="T169" s="12" t="str">
        <x:v>PLOT</x:v>
      </x:c>
      <x:c r="U169" s="12" t="str">
        <x:v>PG2016-HSA-CAMPUS</x:v>
      </x:c>
      <x:c r="V169" s="12" t="str">
        <x:v>REUSED_CLOSED</x:v>
      </x:c>
      <x:c r="W169" s="12" t="str">
        <x:v>https://www.bernama.com/bm/news.php?id=2106629</x:v>
      </x:c>
      <x:c r="X169" s="12" t="str">
        <x:v>Heavy rain/high tide context; road segments remain conservative unless exact extents are known.</x:v>
      </x:c>
    </x:row>
    <x:row r="170">
      <x:c r="A170" s="12" t="str">
        <x:v>FLOC-0094</x:v>
      </x:c>
      <x:c r="B170" s="12" t="str">
        <x:v>Kampung Mohd Amin, Kolam Air</x:v>
      </x:c>
      <x:c r="C170" s="12" t="str">
        <x:v>YES</x:v>
      </x:c>
      <x:c r="D170" s="12" t="n">
        <x:v>2022</x:v>
      </x:c>
      <x:c r="E170" s="12" t="str">
        <x:v>EVT-JB-2022-012</x:v>
      </x:c>
      <x:c r="F170" s="18" t="n">
        <x:v>44775</x:v>
      </x:c>
      <x:c r="G170" s="12" t="str">
        <x:v>DG-JB-20220802</x:v>
      </x:c>
      <x:c r="H170" s="12" t="str">
        <x:v>JBLOC-0100</x:v>
      </x:c>
      <x:c r="I170" s="12" t="str">
        <x:v>S2022-012</x:v>
      </x:c>
      <x:c r="J170" s="12" t="str">
        <x:v>Kampung Baru Mohd Amin</x:v>
      </x:c>
      <x:c r="K170" s="12" t="str">
        <x:v>Kampung Mohd Amin</x:v>
      </x:c>
      <x:c r="L170" s="12" t="str">
        <x:v>COMMUNITY</x:v>
      </x:c>
      <x:c r="M170" s="12" t="str">
        <x:v>Flash flood</x:v>
      </x:c>
      <x:c r="N170" s="12" t="str">
        <x:v>B</x:v>
      </x:c>
      <x:c r="O170" s="12" t="str">
        <x:v>SRC_R2022_BERNAMA_20220802</x:v>
      </x:c>
      <x:c r="P170" s="12"/>
      <x:c r="Q170" s="12" t="n">
        <x:v>103.7354126</x:v>
      </x:c>
      <x:c r="R170" s="12" t="n">
        <x:v>1.4673637</x:v>
      </x:c>
      <x:c r="S170" s="12" t="str">
        <x:v>YES</x:v>
      </x:c>
      <x:c r="T170" s="12" t="str">
        <x:v>PLOT</x:v>
      </x:c>
      <x:c r="U170" s="12"/>
      <x:c r="V170" s="12" t="str">
        <x:v>POINT_READY; POLYGON_OPEN</x:v>
      </x:c>
      <x:c r="W170" s="12" t="str">
        <x:v>https://www.bernama.com/bm/news.php?id=2106629</x:v>
      </x:c>
      <x:c r="X170" s="12" t="str">
        <x:v>Heavy rain/high tide context; road segments remain conservative unless exact extents are known.</x:v>
      </x:c>
    </x:row>
    <x:row r="171">
      <x:c r="A171" s="12" t="str">
        <x:v>FLOC-0156</x:v>
      </x:c>
      <x:c r="B171" s="12" t="str">
        <x:v>Persiaran Abu Bakar Sultan</x:v>
      </x:c>
      <x:c r="C171" s="12" t="str">
        <x:v>YES</x:v>
      </x:c>
      <x:c r="D171" s="12" t="n">
        <x:v>2022</x:v>
      </x:c>
      <x:c r="E171" s="12" t="str">
        <x:v>EVT-JB-2022-013</x:v>
      </x:c>
      <x:c r="F171" s="18" t="n">
        <x:v>44775</x:v>
      </x:c>
      <x:c r="G171" s="12" t="str">
        <x:v>DG-JB-20220802</x:v>
      </x:c>
      <x:c r="H171" s="12" t="str">
        <x:v>JBLOC-0172</x:v>
      </x:c>
      <x:c r="I171" s="12" t="str">
        <x:v>S2022-013</x:v>
      </x:c>
      <x:c r="J171" s="12" t="str">
        <x:v>Persiaran Abu Bakar Sultan</x:v>
      </x:c>
      <x:c r="K171" s="12" t="str">
        <x:v>Persiaran Abu Bakar Sultan</x:v>
      </x:c>
      <x:c r="L171" s="12" t="str">
        <x:v>ROAD</x:v>
      </x:c>
      <x:c r="M171" s="12" t="str">
        <x:v>Flash flood</x:v>
      </x:c>
      <x:c r="N171" s="12" t="str">
        <x:v>B</x:v>
      </x:c>
      <x:c r="O171" s="12" t="str">
        <x:v>SRC_R2022_MMAIL_20220802</x:v>
      </x:c>
      <x:c r="P171" s="12"/>
      <x:c r="Q171" s="12" t="n">
        <x:v>103.7190029</x:v>
      </x:c>
      <x:c r="R171" s="12" t="n">
        <x:v>1.4843025</x:v>
      </x:c>
      <x:c r="S171" s="12" t="str">
        <x:v>YES</x:v>
      </x:c>
      <x:c r="T171" s="12" t="str">
        <x:v>PLOT</x:v>
      </x:c>
      <x:c r="U171" s="12"/>
      <x:c r="V171" s="12" t="str">
        <x:v>POINT_REFERENCE; ROAD_SEGMENT_OPEN</x:v>
      </x:c>
      <x:c r="W171" s="12" t="str">
        <x:v>https://www.malaymail.com/news/malaysia/2022/08/02/parts-of-johor-baru-hit-by-flash-floods-video/20634</x:v>
      </x:c>
      <x:c r="X171" s="12" t="str">
        <x:v>Heavy rain/high tide context; road segments remain conservative unless exact extents are known.</x:v>
      </x:c>
    </x:row>
    <x:row r="172">
      <x:c r="A172" s="12" t="str">
        <x:v>FLOC-0047</x:v>
      </x:c>
      <x:c r="B172" s="12" t="str">
        <x:v>Jalan Pantai Lido</x:v>
      </x:c>
      <x:c r="C172" s="12" t="str">
        <x:v>YES</x:v>
      </x:c>
      <x:c r="D172" s="12" t="n">
        <x:v>2022</x:v>
      </x:c>
      <x:c r="E172" s="12" t="str">
        <x:v>EVT-JB-2022-014</x:v>
      </x:c>
      <x:c r="F172" s="18" t="n">
        <x:v>44775</x:v>
      </x:c>
      <x:c r="G172" s="12" t="str">
        <x:v>DG-JB-20220802</x:v>
      </x:c>
      <x:c r="H172" s="12" t="str">
        <x:v>JBLOC-0049</x:v>
      </x:c>
      <x:c r="I172" s="12" t="str">
        <x:v>S2022-014</x:v>
      </x:c>
      <x:c r="J172" s="12" t="str">
        <x:v>Jalan Pantai Lido toward city centre</x:v>
      </x:c>
      <x:c r="K172" s="12" t="str">
        <x:v>Jalan Pantai Lido</x:v>
      </x:c>
      <x:c r="L172" s="12" t="str">
        <x:v>ROAD</x:v>
      </x:c>
      <x:c r="M172" s="12" t="str">
        <x:v>Flash flood</x:v>
      </x:c>
      <x:c r="N172" s="12" t="str">
        <x:v>B</x:v>
      </x:c>
      <x:c r="O172" s="12" t="str">
        <x:v>SRC_R2022_MMAIL_20220802</x:v>
      </x:c>
      <x:c r="P172" s="12"/>
      <x:c r="Q172" s="12" t="n">
        <x:v>103.74418</x:v>
      </x:c>
      <x:c r="R172" s="12" t="n">
        <x:v>1.4593</x:v>
      </x:c>
      <x:c r="S172" s="12" t="str">
        <x:v>YES</x:v>
      </x:c>
      <x:c r="T172" s="12" t="str">
        <x:v>PLOT</x:v>
      </x:c>
      <x:c r="U172" s="12"/>
      <x:c r="V172" s="12" t="str">
        <x:v>ROAD_SEGMENT_OPEN</x:v>
      </x:c>
      <x:c r="W172" s="12" t="str">
        <x:v>https://www.malaymail.com/news/malaysia/2022/08/02/parts-of-johor-baru-hit-by-flash-floods-video/20634</x:v>
      </x:c>
      <x:c r="X172" s="12" t="str">
        <x:v>Heavy rain/high tide context; road segments remain conservative unless exact extents are known.</x:v>
      </x:c>
    </x:row>
    <x:row r="173">
      <x:c r="A173" s="12" t="str">
        <x:v>FLOC-0039</x:v>
      </x:c>
      <x:c r="B173" s="12" t="str">
        <x:v>Jalan Mahmoodiah</x:v>
      </x:c>
      <x:c r="C173" s="12" t="str">
        <x:v>YES</x:v>
      </x:c>
      <x:c r="D173" s="12" t="n">
        <x:v>2022</x:v>
      </x:c>
      <x:c r="E173" s="12" t="str">
        <x:v>EVT-JB-2022-015</x:v>
      </x:c>
      <x:c r="F173" s="18" t="n">
        <x:v>44775</x:v>
      </x:c>
      <x:c r="G173" s="12" t="str">
        <x:v>DG-JB-20220802</x:v>
      </x:c>
      <x:c r="H173" s="12" t="str">
        <x:v>JBLOC-0042</x:v>
      </x:c>
      <x:c r="I173" s="12" t="str">
        <x:v>S2022-015</x:v>
      </x:c>
      <x:c r="J173" s="12" t="str">
        <x:v>Jalan Mahmodiah</x:v>
      </x:c>
      <x:c r="K173" s="12" t="str">
        <x:v>Jalan Mahmoodiah</x:v>
      </x:c>
      <x:c r="L173" s="12" t="str">
        <x:v>ROAD</x:v>
      </x:c>
      <x:c r="M173" s="12" t="str">
        <x:v>Flash flood</x:v>
      </x:c>
      <x:c r="N173" s="12" t="str">
        <x:v>B</x:v>
      </x:c>
      <x:c r="O173" s="12" t="str">
        <x:v>SRC_R2022_MMAIL_20220802</x:v>
      </x:c>
      <x:c r="P173" s="12"/>
      <x:c r="Q173" s="12" t="n">
        <x:v>103.7482815</x:v>
      </x:c>
      <x:c r="R173" s="12" t="n">
        <x:v>1.4629658</x:v>
      </x:c>
      <x:c r="S173" s="12" t="str">
        <x:v>YES</x:v>
      </x:c>
      <x:c r="T173" s="12" t="str">
        <x:v>PLOT</x:v>
      </x:c>
      <x:c r="U173" s="12"/>
      <x:c r="V173" s="12" t="str">
        <x:v>POINT_REFERENCE; ROAD_SEGMENT_OPEN</x:v>
      </x:c>
      <x:c r="W173" s="12" t="str">
        <x:v>https://www.malaymail.com/news/malaysia/2022/08/02/parts-of-johor-baru-hit-by-flash-floods-video/20634</x:v>
      </x:c>
      <x:c r="X173" s="12" t="str">
        <x:v>Heavy rain/high tide context; road segments remain conservative unless exact extents are known.</x:v>
      </x:c>
    </x:row>
    <x:row r="174">
      <x:c r="A174" s="12" t="str">
        <x:v>FLOC-0055</x:v>
      </x:c>
      <x:c r="B174" s="12" t="str">
        <x:v>Jalan Seri Pelangi–Stulang Laut approach</x:v>
      </x:c>
      <x:c r="C174" s="12" t="str">
        <x:v>YES</x:v>
      </x:c>
      <x:c r="D174" s="12" t="n">
        <x:v>2022</x:v>
      </x:c>
      <x:c r="E174" s="12" t="str">
        <x:v>EVT-JB-2022-016</x:v>
      </x:c>
      <x:c r="F174" s="18" t="n">
        <x:v>44775</x:v>
      </x:c>
      <x:c r="G174" s="12" t="str">
        <x:v>DG-JB-20220802</x:v>
      </x:c>
      <x:c r="H174" s="12" t="str">
        <x:v>JBLOC-0057</x:v>
      </x:c>
      <x:c r="I174" s="12" t="str">
        <x:v>S2022-016</x:v>
      </x:c>
      <x:c r="J174" s="12" t="str">
        <x:v>Jalan Seri Pelangi toward Stulang Laut</x:v>
      </x:c>
      <x:c r="K174" s="12" t="str">
        <x:v>Jalan Seri Pelangi–Stulang Laut approach</x:v>
      </x:c>
      <x:c r="L174" s="12" t="str">
        <x:v>ROAD</x:v>
      </x:c>
      <x:c r="M174" s="12" t="str">
        <x:v>Flash flood</x:v>
      </x:c>
      <x:c r="N174" s="12" t="str">
        <x:v>B</x:v>
      </x:c>
      <x:c r="O174" s="12" t="str">
        <x:v>SRC_R2022_MMAIL_20220802</x:v>
      </x:c>
      <x:c r="P174" s="12"/>
      <x:c r="Q174" s="12"/>
      <x:c r="R174" s="12"/>
      <x:c r="S174" s="12" t="str">
        <x:v>NO</x:v>
      </x:c>
      <x:c r="T174" s="12" t="str">
        <x:v>DO NOT PLOT</x:v>
      </x:c>
      <x:c r="U174" s="12"/>
      <x:c r="V174" s="12" t="str">
        <x:v>ROAD_SEGMENT_OPEN</x:v>
      </x:c>
      <x:c r="W174" s="12" t="str">
        <x:v>https://www.malaymail.com/news/malaysia/2022/08/02/parts-of-johor-baru-hit-by-flash-floods-video/20634</x:v>
      </x:c>
      <x:c r="X174" s="12" t="str">
        <x:v>Heavy rain/high tide context; road segments remain conservative unless exact extents are known.</x:v>
      </x:c>
    </x:row>
    <x:row r="175">
      <x:c r="A175" s="12" t="str">
        <x:v>FLOC-0089</x:v>
      </x:c>
      <x:c r="B175" s="12" t="str">
        <x:v>Kampung Laut Batu 10, Skudai</x:v>
      </x:c>
      <x:c r="C175" s="12" t="str">
        <x:v>YES</x:v>
      </x:c>
      <x:c r="D175" s="12" t="n">
        <x:v>2022</x:v>
      </x:c>
      <x:c r="E175" s="12" t="str">
        <x:v>EVT-JB-2022-017</x:v>
      </x:c>
      <x:c r="F175" s="18" t="n">
        <x:v>44793</x:v>
      </x:c>
      <x:c r="G175" s="12" t="str">
        <x:v>DG-JB-20220820</x:v>
      </x:c>
      <x:c r="H175" s="12" t="str">
        <x:v>JBLOC-0093</x:v>
      </x:c>
      <x:c r="I175" s="12" t="str">
        <x:v>S2022-017</x:v>
      </x:c>
      <x:c r="J175" s="12" t="str">
        <x:v>Kampung Laut / Kampung Laut Batu 10, Skudai</x:v>
      </x:c>
      <x:c r="K175" s="12" t="str">
        <x:v>Kampung Laut Batu 10, Skudai</x:v>
      </x:c>
      <x:c r="L175" s="12" t="str">
        <x:v>COMMUNITY</x:v>
      </x:c>
      <x:c r="M175" s="12" t="str">
        <x:v>Flash flood</x:v>
      </x:c>
      <x:c r="N175" s="12" t="str">
        <x:v>A/B</x:v>
      </x:c>
      <x:c r="O175" s="12" t="str">
        <x:v>SRC_R2022_JPS_ANNUAL</x:v>
      </x:c>
      <x:c r="P175" s="12" t="str">
        <x:v>SRC_R2022_UTUSAN_20220820</x:v>
      </x:c>
      <x:c r="Q175" s="12" t="n">
        <x:v>103.6605</x:v>
      </x:c>
      <x:c r="R175" s="12" t="n">
        <x:v>1.5453</x:v>
      </x:c>
      <x:c r="S175" s="12" t="str">
        <x:v>YES</x:v>
      </x:c>
      <x:c r="T175" s="12" t="str">
        <x:v>PLOT</x:v>
      </x:c>
      <x:c r="U175" s="12"/>
      <x:c r="V175" s="12" t="str">
        <x:v>POINT_READY; POLYGON_OPEN</x:v>
      </x:c>
      <x:c r="W175" s="12" t="str">
        <x:v>https://www.water.gov.my/jps/resources/Anual%20Flood%20Reporting%20/LBT_2022.pdf
https://www.utusan.com.my/berita/2022/08/banjir-kilat-di-jb-kulai-ekoran-hujan-lebat-lebih-2-jam/</x:v>
      </x:c>
      <x:c r="X175" s="12"/>
    </x:row>
    <x:row r="176">
      <x:c r="A176" s="12" t="str">
        <x:v>FLOC-0090</x:v>
      </x:c>
      <x:c r="B176" s="12" t="str">
        <x:v>Kampung Maju Jaya</x:v>
      </x:c>
      <x:c r="C176" s="12" t="str">
        <x:v>YES</x:v>
      </x:c>
      <x:c r="D176" s="12" t="n">
        <x:v>2022</x:v>
      </x:c>
      <x:c r="E176" s="12" t="str">
        <x:v>EVT-JB-2022-018</x:v>
      </x:c>
      <x:c r="F176" s="18" t="n">
        <x:v>44793</x:v>
      </x:c>
      <x:c r="G176" s="12" t="str">
        <x:v>DG-JB-20220820</x:v>
      </x:c>
      <x:c r="H176" s="12" t="str">
        <x:v>JBLOC-0095</x:v>
      </x:c>
      <x:c r="I176" s="12" t="str">
        <x:v>S2022-018</x:v>
      </x:c>
      <x:c r="J176" s="12" t="str">
        <x:v>Kampung Maju Jaya</x:v>
      </x:c>
      <x:c r="K176" s="12" t="str">
        <x:v>Kampung Maju Jaya</x:v>
      </x:c>
      <x:c r="L176" s="12" t="str">
        <x:v>COMMUNITY</x:v>
      </x:c>
      <x:c r="M176" s="12" t="str">
        <x:v>Flash flood</x:v>
      </x:c>
      <x:c r="N176" s="12" t="str">
        <x:v>A/B</x:v>
      </x:c>
      <x:c r="O176" s="12" t="str">
        <x:v>SRC_R2022_JPS_ANNUAL</x:v>
      </x:c>
      <x:c r="P176" s="12" t="str">
        <x:v>SRC_R2022_KOSMO_20220820</x:v>
      </x:c>
      <x:c r="Q176" s="12" t="n">
        <x:v>103.7159181</x:v>
      </x:c>
      <x:c r="R176" s="12" t="n">
        <x:v>1.5810921</x:v>
      </x:c>
      <x:c r="S176" s="12" t="str">
        <x:v>YES</x:v>
      </x:c>
      <x:c r="T176" s="12" t="str">
        <x:v>PLOT</x:v>
      </x:c>
      <x:c r="U176" s="12"/>
      <x:c r="V176" s="12" t="str">
        <x:v>POINT_READY; POLYGON_OPEN</x:v>
      </x:c>
      <x:c r="W176" s="12" t="str">
        <x:v>https://www.water.gov.my/jps/resources/Anual%20Flood%20Reporting%20/LBT_2022.pdf
https://www.kosmo.com.my/2022/08/20/4-kampung-di-johor-bahru-kulai-dinaiki-banjir-kilat/</x:v>
      </x:c>
      <x:c r="X176" s="12"/>
    </x:row>
    <x:row r="177">
      <x:c r="A177" s="12" t="str">
        <x:v>FLOC-0054</x:v>
      </x:c>
      <x:c r="B177" s="12" t="str">
        <x:v>Jalan Seelong Jaya 2</x:v>
      </x:c>
      <x:c r="C177" s="12" t="str">
        <x:v>YES</x:v>
      </x:c>
      <x:c r="D177" s="12" t="n">
        <x:v>2022</x:v>
      </x:c>
      <x:c r="E177" s="12" t="str">
        <x:v>EVT-JB-2022-019</x:v>
      </x:c>
      <x:c r="F177" s="18" t="n">
        <x:v>44793</x:v>
      </x:c>
      <x:c r="G177" s="12" t="str">
        <x:v>DG-JB-20220820</x:v>
      </x:c>
      <x:c r="H177" s="12" t="str">
        <x:v>JBLOC-0056</x:v>
      </x:c>
      <x:c r="I177" s="12" t="str">
        <x:v>S2022-019</x:v>
      </x:c>
      <x:c r="J177" s="12" t="str">
        <x:v>Jalan Seelong Jaya 2</x:v>
      </x:c>
      <x:c r="K177" s="12" t="str">
        <x:v>Jalan Seelong Jaya 2</x:v>
      </x:c>
      <x:c r="L177" s="12" t="str">
        <x:v>ROAD</x:v>
      </x:c>
      <x:c r="M177" s="12" t="str">
        <x:v>Flash flood</x:v>
      </x:c>
      <x:c r="N177" s="12" t="str">
        <x:v>A/B</x:v>
      </x:c>
      <x:c r="O177" s="12" t="str">
        <x:v>SRC_R2022_JPS_ANNUAL</x:v>
      </x:c>
      <x:c r="P177" s="12"/>
      <x:c r="Q177" s="12"/>
      <x:c r="R177" s="12"/>
      <x:c r="S177" s="12" t="str">
        <x:v>NO</x:v>
      </x:c>
      <x:c r="T177" s="12" t="str">
        <x:v>DO NOT PLOT</x:v>
      </x:c>
      <x:c r="U177" s="12"/>
      <x:c r="V177" s="12" t="str">
        <x:v>ROAD_SEGMENT_OPEN</x:v>
      </x:c>
      <x:c r="W177" s="12" t="str">
        <x:v>https://www.water.gov.my/jps/resources/Anual%20Flood%20Reporting%20/LBT_2022.pdf</x:v>
      </x:c>
      <x:c r="X177" s="12"/>
    </x:row>
    <x:row r="178">
      <x:c r="A178" s="12" t="str">
        <x:v>FLOC-0121</x:v>
      </x:c>
      <x:c r="B178" s="12" t="str">
        <x:v>Kampung Tengah Tebrau</x:v>
      </x:c>
      <x:c r="C178" s="12" t="str">
        <x:v>YES</x:v>
      </x:c>
      <x:c r="D178" s="12" t="n">
        <x:v>2022</x:v>
      </x:c>
      <x:c r="E178" s="12" t="str">
        <x:v>EVT-JB-2022-020</x:v>
      </x:c>
      <x:c r="F178" s="18" t="n">
        <x:v>44793</x:v>
      </x:c>
      <x:c r="G178" s="12" t="str">
        <x:v>DG-JB-20220820</x:v>
      </x:c>
      <x:c r="H178" s="12" t="str">
        <x:v>JBLOC-0143</x:v>
      </x:c>
      <x:c r="I178" s="12" t="str">
        <x:v>S2022-020</x:v>
      </x:c>
      <x:c r="J178" s="12" t="str">
        <x:v>Kampung Tengah Tebrau</x:v>
      </x:c>
      <x:c r="K178" s="12" t="str">
        <x:v>Kampung Tengah Tebrau</x:v>
      </x:c>
      <x:c r="L178" s="12" t="str">
        <x:v>COMMUNITY</x:v>
      </x:c>
      <x:c r="M178" s="12" t="str">
        <x:v>Flash flood</x:v>
      </x:c>
      <x:c r="N178" s="12" t="str">
        <x:v>A/B</x:v>
      </x:c>
      <x:c r="O178" s="12" t="str">
        <x:v>SRC_R2022_JPS_ANNUAL</x:v>
      </x:c>
      <x:c r="P178" s="12"/>
      <x:c r="Q178" s="12" t="n">
        <x:v>103.76595541</x:v>
      </x:c>
      <x:c r="R178" s="12" t="n">
        <x:v>1.51143829</x:v>
      </x:c>
      <x:c r="S178" s="12" t="str">
        <x:v>NO</x:v>
      </x:c>
      <x:c r="T178" s="12" t="str">
        <x:v>DO NOT PLOT</x:v>
      </x:c>
      <x:c r="U178" s="12"/>
      <x:c r="V178" s="12" t="str">
        <x:v>POINT_CANDIDATE; POLYGON_OPEN</x:v>
      </x:c>
      <x:c r="W178" s="12" t="str">
        <x:v>https://www.water.gov.my/jps/resources/Anual%20Flood%20Reporting%20/LBT_2022.pdf</x:v>
      </x:c>
      <x:c r="X178" s="12"/>
    </x:row>
    <x:row r="179">
      <x:c r="A179" s="12" t="str">
        <x:v>FLOC-0095</x:v>
      </x:c>
      <x:c r="B179" s="12" t="str">
        <x:v>Kampung Pasir Tebrau</x:v>
      </x:c>
      <x:c r="C179" s="12" t="str">
        <x:v>YES</x:v>
      </x:c>
      <x:c r="D179" s="12" t="n">
        <x:v>2022</x:v>
      </x:c>
      <x:c r="E179" s="12" t="str">
        <x:v>EVT-JB-2022-021</x:v>
      </x:c>
      <x:c r="F179" s="18" t="n">
        <x:v>44793</x:v>
      </x:c>
      <x:c r="G179" s="12" t="str">
        <x:v>DG-JB-20220820</x:v>
      </x:c>
      <x:c r="H179" s="12" t="str">
        <x:v>JBLOC-0107</x:v>
      </x:c>
      <x:c r="I179" s="12" t="str">
        <x:v>S2022-021</x:v>
      </x:c>
      <x:c r="J179" s="12" t="str">
        <x:v>Kampung Pasir Tebrau</x:v>
      </x:c>
      <x:c r="K179" s="12" t="str">
        <x:v>Kampung Pasir Tebrau</x:v>
      </x:c>
      <x:c r="L179" s="12" t="str">
        <x:v>COMMUNITY</x:v>
      </x:c>
      <x:c r="M179" s="12" t="str">
        <x:v>Flash flood</x:v>
      </x:c>
      <x:c r="N179" s="12" t="str">
        <x:v>A/B</x:v>
      </x:c>
      <x:c r="O179" s="12" t="str">
        <x:v>SRC_R2022_JPS_ANNUAL</x:v>
      </x:c>
      <x:c r="P179" s="12"/>
      <x:c r="Q179" s="12" t="n">
        <x:v>103.74288131</x:v>
      </x:c>
      <x:c r="R179" s="12" t="n">
        <x:v>1.54457461</x:v>
      </x:c>
      <x:c r="S179" s="12" t="str">
        <x:v>YES</x:v>
      </x:c>
      <x:c r="T179" s="12" t="str">
        <x:v>PLOT</x:v>
      </x:c>
      <x:c r="U179" s="12"/>
      <x:c r="V179" s="12" t="str">
        <x:v>POINT_READY; POLYGON_OPEN</x:v>
      </x:c>
      <x:c r="W179" s="12" t="str">
        <x:v>https://www.water.gov.my/jps/resources/Anual%20Flood%20Reporting%20/LBT_2022.pdf</x:v>
      </x:c>
      <x:c r="X179" s="12"/>
    </x:row>
    <x:row r="180">
      <x:c r="A180" s="12" t="str">
        <x:v>FLOC-0098</x:v>
      </x:c>
      <x:c r="B180" s="12" t="str">
        <x:v>Kampung Paya Kenangan</x:v>
      </x:c>
      <x:c r="C180" s="12" t="str">
        <x:v>YES</x:v>
      </x:c>
      <x:c r="D180" s="12" t="n">
        <x:v>2022</x:v>
      </x:c>
      <x:c r="E180" s="12" t="str">
        <x:v>EVT-JB-2022-022</x:v>
      </x:c>
      <x:c r="F180" s="18" t="n">
        <x:v>44793</x:v>
      </x:c>
      <x:c r="G180" s="12" t="str">
        <x:v>DG-JB-20220820</x:v>
      </x:c>
      <x:c r="H180" s="12" t="str">
        <x:v>JBLOC-0110</x:v>
      </x:c>
      <x:c r="I180" s="12" t="str">
        <x:v>S2022-022</x:v>
      </x:c>
      <x:c r="J180" s="12" t="str">
        <x:v>Kampung Paya Kenangan</x:v>
      </x:c>
      <x:c r="K180" s="12" t="str">
        <x:v>Kampung Paya Kenangan</x:v>
      </x:c>
      <x:c r="L180" s="12" t="str">
        <x:v>COMMUNITY</x:v>
      </x:c>
      <x:c r="M180" s="12" t="str">
        <x:v>Flash flood</x:v>
      </x:c>
      <x:c r="N180" s="12" t="str">
        <x:v>A/B</x:v>
      </x:c>
      <x:c r="O180" s="12" t="str">
        <x:v>SRC_R2022_JPS_ANNUAL</x:v>
      </x:c>
      <x:c r="P180" s="12"/>
      <x:c r="Q180" s="12" t="n">
        <x:v>103.74961954</x:v>
      </x:c>
      <x:c r="R180" s="12" t="n">
        <x:v>1.5403203</x:v>
      </x:c>
      <x:c r="S180" s="12" t="str">
        <x:v>YES</x:v>
      </x:c>
      <x:c r="T180" s="12" t="str">
        <x:v>PLOT</x:v>
      </x:c>
      <x:c r="U180" s="12"/>
      <x:c r="V180" s="12" t="str">
        <x:v>POINT_READY; POLYGON_OPEN</x:v>
      </x:c>
      <x:c r="W180" s="12" t="str">
        <x:v>https://www.water.gov.my/jps/resources/Anual%20Flood%20Reporting%20/LBT_2022.pdf</x:v>
      </x:c>
      <x:c r="X180" s="12"/>
    </x:row>
    <x:row r="181">
      <x:c r="A181" s="12" t="str">
        <x:v>FLOC-0080</x:v>
      </x:c>
      <x:c r="B181" s="12" t="str">
        <x:v>Kampung Bunga Ros</x:v>
      </x:c>
      <x:c r="C181" s="12" t="str">
        <x:v>YES</x:v>
      </x:c>
      <x:c r="D181" s="12" t="n">
        <x:v>2022</x:v>
      </x:c>
      <x:c r="E181" s="12" t="str">
        <x:v>EVT-JB-2022-023</x:v>
      </x:c>
      <x:c r="F181" s="18" t="n">
        <x:v>44793</x:v>
      </x:c>
      <x:c r="G181" s="12" t="str">
        <x:v>DG-JB-20220820</x:v>
      </x:c>
      <x:c r="H181" s="12" t="str">
        <x:v>JBLOC-0083</x:v>
      </x:c>
      <x:c r="I181" s="12" t="str">
        <x:v>S2022-023</x:v>
      </x:c>
      <x:c r="J181" s="12" t="str">
        <x:v>Kampung Bunga Ros</x:v>
      </x:c>
      <x:c r="K181" s="12" t="str">
        <x:v>Kampung Bunga Ros</x:v>
      </x:c>
      <x:c r="L181" s="12" t="str">
        <x:v>COMMUNITY</x:v>
      </x:c>
      <x:c r="M181" s="12" t="str">
        <x:v>Flash flood</x:v>
      </x:c>
      <x:c r="N181" s="12" t="str">
        <x:v>A/B</x:v>
      </x:c>
      <x:c r="O181" s="12" t="str">
        <x:v>SRC_R2022_JPS_ANNUAL</x:v>
      </x:c>
      <x:c r="P181" s="12"/>
      <x:c r="Q181" s="12" t="n">
        <x:v>103.75965347</x:v>
      </x:c>
      <x:c r="R181" s="12" t="n">
        <x:v>1.53411714</x:v>
      </x:c>
      <x:c r="S181" s="12" t="str">
        <x:v>YES</x:v>
      </x:c>
      <x:c r="T181" s="12" t="str">
        <x:v>PLOT</x:v>
      </x:c>
      <x:c r="U181" s="12"/>
      <x:c r="V181" s="12" t="str">
        <x:v>POINT_READY; HF37_LINK_CONFLICT; POLYGON_OPEN</x:v>
      </x:c>
      <x:c r="W181" s="12" t="str">
        <x:v>https://www.water.gov.my/jps/resources/Anual%20Flood%20Reporting%20/LBT_2022.pdf</x:v>
      </x:c>
      <x:c r="X181" s="12"/>
    </x:row>
    <x:row r="182">
      <x:c r="A182" s="12" t="str">
        <x:v>FLOC-0157</x:v>
      </x:c>
      <x:c r="B182" s="12" t="str">
        <x:v>Puteri Harbour Iskandar Puteri</x:v>
      </x:c>
      <x:c r="C182" s="12" t="str">
        <x:v>YES</x:v>
      </x:c>
      <x:c r="D182" s="12" t="n">
        <x:v>2022</x:v>
      </x:c>
      <x:c r="E182" s="12" t="str">
        <x:v>EVT-JB-2022-024</x:v>
      </x:c>
      <x:c r="F182" s="18" t="n">
        <x:v>44809</x:v>
      </x:c>
      <x:c r="G182" s="12" t="str">
        <x:v>DG-JB-20220905</x:v>
      </x:c>
      <x:c r="H182" s="12" t="str">
        <x:v>JBLOC-0173</x:v>
      </x:c>
      <x:c r="I182" s="12" t="str">
        <x:v>S2022-024</x:v>
      </x:c>
      <x:c r="J182" s="12" t="str">
        <x:v>Puteri Harbour Iskandar Puteri</x:v>
      </x:c>
      <x:c r="K182" s="12" t="str">
        <x:v>Puteri Harbour Iskandar Puteri</x:v>
      </x:c>
      <x:c r="L182" s="12" t="str">
        <x:v>AREA</x:v>
      </x:c>
      <x:c r="M182" s="12" t="str">
        <x:v>Flash flood</x:v>
      </x:c>
      <x:c r="N182" s="12" t="str">
        <x:v>A</x:v>
      </x:c>
      <x:c r="O182" s="12" t="str">
        <x:v>SRC_R2022_JPS_ANNUAL</x:v>
      </x:c>
      <x:c r="P182" s="12"/>
      <x:c r="Q182" s="12" t="n">
        <x:v>103.66077</x:v>
      </x:c>
      <x:c r="R182" s="12" t="n">
        <x:v>1.414074</x:v>
      </x:c>
      <x:c r="S182" s="12" t="str">
        <x:v>YES</x:v>
      </x:c>
      <x:c r="T182" s="12" t="str">
        <x:v>PLOT</x:v>
      </x:c>
      <x:c r="U182" s="12"/>
      <x:c r="V182" s="12" t="str">
        <x:v>POINT_READY; POLYGON_OPEN</x:v>
      </x:c>
      <x:c r="W182" s="12" t="str">
        <x:v>https://www.water.gov.my/jps/resources/Anual%20Flood%20Reporting%20/LBT_2022.pdf</x:v>
      </x:c>
      <x:c r="X182" s="12"/>
    </x:row>
    <x:row r="183">
      <x:c r="A183" s="12" t="str">
        <x:v>FLOC-0135</x:v>
      </x:c>
      <x:c r="B183" s="12" t="str">
        <x:v>Kg. Sentosa Barat</x:v>
      </x:c>
      <x:c r="C183" s="12" t="str">
        <x:v>YES</x:v>
      </x:c>
      <x:c r="D183" s="12" t="n">
        <x:v>2022</x:v>
      </x:c>
      <x:c r="E183" s="12" t="str">
        <x:v>EVT-JB-2022-025</x:v>
      </x:c>
      <x:c r="F183" s="18" t="n">
        <x:v>44809</x:v>
      </x:c>
      <x:c r="G183" s="12" t="str">
        <x:v>DG-JB-20220905</x:v>
      </x:c>
      <x:c r="H183" s="12" t="str">
        <x:v>JBLOC-0123</x:v>
      </x:c>
      <x:c r="I183" s="12" t="str">
        <x:v>S2022-025</x:v>
      </x:c>
      <x:c r="J183" s="12" t="str">
        <x:v>Kampung Sentosa Barat</x:v>
      </x:c>
      <x:c r="K183" s="12" t="str">
        <x:v>Kg. Sentosa Barat</x:v>
      </x:c>
      <x:c r="L183" s="12" t="str">
        <x:v>COMMUNITY</x:v>
      </x:c>
      <x:c r="M183" s="12" t="str">
        <x:v>Flash flood</x:v>
      </x:c>
      <x:c r="N183" s="12" t="str">
        <x:v>A</x:v>
      </x:c>
      <x:c r="O183" s="12" t="str">
        <x:v>SRC_R2022_JPS_ANNUAL</x:v>
      </x:c>
      <x:c r="P183" s="12"/>
      <x:c r="Q183" s="12" t="n">
        <x:v>103.92185516</x:v>
      </x:c>
      <x:c r="R183" s="12" t="n">
        <x:v>1.52194889</x:v>
      </x:c>
      <x:c r="S183" s="12" t="str">
        <x:v>YES</x:v>
      </x:c>
      <x:c r="T183" s="12" t="str">
        <x:v>PLOT</x:v>
      </x:c>
      <x:c r="U183" s="12"/>
      <x:c r="V183" s="12" t="str">
        <x:v>IDENTITY_READY; POINT_OPEN</x:v>
      </x:c>
      <x:c r="W183" s="12" t="str">
        <x:v>https://www.water.gov.my/jps/resources/Anual%20Flood%20Reporting%20/LBT_2022.pdf</x:v>
      </x:c>
      <x:c r="X183" s="12"/>
    </x:row>
    <x:row r="184">
      <x:c r="A184" s="12" t="str">
        <x:v>FLOC-0107</x:v>
      </x:c>
      <x:c r="B184" s="12" t="str">
        <x:v>Kampung Plentong Baru</x:v>
      </x:c>
      <x:c r="C184" s="12" t="str">
        <x:v>YES</x:v>
      </x:c>
      <x:c r="D184" s="12" t="n">
        <x:v>2022</x:v>
      </x:c>
      <x:c r="E184" s="12" t="str">
        <x:v>EVT-JB-2022-026</x:v>
      </x:c>
      <x:c r="F184" s="18" t="n">
        <x:v>44810</x:v>
      </x:c>
      <x:c r="G184" s="12" t="str">
        <x:v>DG-JB-20220906</x:v>
      </x:c>
      <x:c r="H184" s="12" t="str">
        <x:v>JBLOC-0119</x:v>
      </x:c>
      <x:c r="I184" s="12" t="str">
        <x:v>S2022-026</x:v>
      </x:c>
      <x:c r="J184" s="12" t="str">
        <x:v>Kampung Plentong Baru</x:v>
      </x:c>
      <x:c r="K184" s="12" t="str">
        <x:v>Kampung Plentong Baru</x:v>
      </x:c>
      <x:c r="L184" s="12" t="str">
        <x:v>COMMUNITY</x:v>
      </x:c>
      <x:c r="M184" s="12" t="str">
        <x:v>Flash flood</x:v>
      </x:c>
      <x:c r="N184" s="12" t="str">
        <x:v>A</x:v>
      </x:c>
      <x:c r="O184" s="12" t="str">
        <x:v>SRC_R2022_JPS_ANNUAL</x:v>
      </x:c>
      <x:c r="P184" s="12"/>
      <x:c r="Q184" s="12" t="n">
        <x:v>103.8166885</x:v>
      </x:c>
      <x:c r="R184" s="12" t="n">
        <x:v>1.5179158</x:v>
      </x:c>
      <x:c r="S184" s="12" t="str">
        <x:v>YES</x:v>
      </x:c>
      <x:c r="T184" s="12" t="str">
        <x:v>PLOT</x:v>
      </x:c>
      <x:c r="U184" s="12"/>
      <x:c r="V184" s="12" t="str">
        <x:v>POINT_READY; POLYGON_OPEN</x:v>
      </x:c>
      <x:c r="W184" s="12" t="str">
        <x:v>https://www.water.gov.my/jps/resources/Anual%20Flood%20Reporting%20/LBT_2022.pdf</x:v>
      </x:c>
      <x:c r="X184" s="12"/>
    </x:row>
    <x:row r="185">
      <x:c r="A185" s="12" t="str">
        <x:v>FLOC-0089</x:v>
      </x:c>
      <x:c r="B185" s="12" t="str">
        <x:v>Kampung Laut Batu 10, Skudai</x:v>
      </x:c>
      <x:c r="C185" s="12" t="str">
        <x:v>YES</x:v>
      </x:c>
      <x:c r="D185" s="12" t="n">
        <x:v>2022</x:v>
      </x:c>
      <x:c r="E185" s="12" t="str">
        <x:v>EVT-JB-2022-027</x:v>
      </x:c>
      <x:c r="F185" s="18" t="n">
        <x:v>44829</x:v>
      </x:c>
      <x:c r="G185" s="12" t="str">
        <x:v>DG-JB-20220925</x:v>
      </x:c>
      <x:c r="H185" s="12" t="str">
        <x:v>JBLOC-0093</x:v>
      </x:c>
      <x:c r="I185" s="12" t="str">
        <x:v>S2022-017</x:v>
      </x:c>
      <x:c r="J185" s="12" t="str">
        <x:v>Batu 10, Skudai</x:v>
      </x:c>
      <x:c r="K185" s="12" t="str">
        <x:v>Kampung Laut Batu 10, Skudai</x:v>
      </x:c>
      <x:c r="L185" s="12" t="str">
        <x:v>COMMUNITY</x:v>
      </x:c>
      <x:c r="M185" s="12" t="str">
        <x:v>Flash flood</x:v>
      </x:c>
      <x:c r="N185" s="12" t="str">
        <x:v>B</x:v>
      </x:c>
      <x:c r="O185" s="12" t="str">
        <x:v>SRC_R2022_UTUSAN_20220925</x:v>
      </x:c>
      <x:c r="P185" s="12" t="str">
        <x:v>SRC_R2022_BH_20220925</x:v>
      </x:c>
      <x:c r="Q185" s="12" t="n">
        <x:v>103.6605</x:v>
      </x:c>
      <x:c r="R185" s="12" t="n">
        <x:v>1.5453</x:v>
      </x:c>
      <x:c r="S185" s="12" t="str">
        <x:v>YES</x:v>
      </x:c>
      <x:c r="T185" s="12" t="str">
        <x:v>PLOT</x:v>
      </x:c>
      <x:c r="U185" s="12"/>
      <x:c r="V185" s="12" t="str">
        <x:v>POINT_READY; POLYGON_OPEN</x:v>
      </x:c>
      <x:c r="W185" s="12" t="str">
        <x:v>https://www.utusan.com.my/berita/2022/09/10-kawasan-di-johor-bahru-dilanda-banjir-kilat/
https://www.bharian.com.my/</x:v>
      </x:c>
      <x:c r="X185" s="12"/>
    </x:row>
    <x:row r="186">
      <x:c r="A186" s="12" t="str">
        <x:v>FLOC-0082</x:v>
      </x:c>
      <x:c r="B186" s="12" t="str">
        <x:v>Kampung Dato Sulaiman Menteri</x:v>
      </x:c>
      <x:c r="C186" s="12" t="str">
        <x:v>YES</x:v>
      </x:c>
      <x:c r="D186" s="12" t="n">
        <x:v>2022</x:v>
      </x:c>
      <x:c r="E186" s="12" t="str">
        <x:v>EVT-JB-2022-028</x:v>
      </x:c>
      <x:c r="F186" s="18" t="n">
        <x:v>44829</x:v>
      </x:c>
      <x:c r="G186" s="12" t="str">
        <x:v>DG-JB-20220925</x:v>
      </x:c>
      <x:c r="H186" s="12" t="str">
        <x:v>JBLOC-0087</x:v>
      </x:c>
      <x:c r="I186" s="12" t="str">
        <x:v>S2022-027</x:v>
      </x:c>
      <x:c r="J186" s="12" t="str">
        <x:v>Kampung Dato' Sulaiman Menteri</x:v>
      </x:c>
      <x:c r="K186" s="12" t="str">
        <x:v>Kampung Dato' Sulaiman Menteri</x:v>
      </x:c>
      <x:c r="L186" s="12" t="str">
        <x:v>COMMUNITY</x:v>
      </x:c>
      <x:c r="M186" s="12" t="str">
        <x:v>Flash flood</x:v>
      </x:c>
      <x:c r="N186" s="12" t="str">
        <x:v>B</x:v>
      </x:c>
      <x:c r="O186" s="12" t="str">
        <x:v>SRC_R2022_UTUSAN_20220925</x:v>
      </x:c>
      <x:c r="P186" s="12" t="str">
        <x:v>SRC_R2022_BH_20220925</x:v>
      </x:c>
      <x:c r="Q186" s="12" t="n">
        <x:v>103.76665</x:v>
      </x:c>
      <x:c r="R186" s="12" t="n">
        <x:v>1.50759</x:v>
      </x:c>
      <x:c r="S186" s="12" t="str">
        <x:v>YES</x:v>
      </x:c>
      <x:c r="T186" s="12" t="str">
        <x:v>PLOT</x:v>
      </x:c>
      <x:c r="U186" s="12"/>
      <x:c r="V186" s="12" t="str">
        <x:v>POINT_READY; POLYGON_OPEN</x:v>
      </x:c>
      <x:c r="W186" s="12" t="str">
        <x:v>https://www.utusan.com.my/berita/2022/09/10-kawasan-di-johor-bahru-dilanda-banjir-kilat/
https://www.bharian.com.my/</x:v>
      </x:c>
      <x:c r="X186" s="12"/>
    </x:row>
    <x:row r="187">
      <x:c r="A187" s="12" t="str">
        <x:v>FLOC-0170</x:v>
      </x:c>
      <x:c r="B187" s="12" t="str">
        <x:v>Tabika Kemas, Skudai Kiri</x:v>
      </x:c>
      <x:c r="C187" s="12" t="str">
        <x:v>YES</x:v>
      </x:c>
      <x:c r="D187" s="12" t="n">
        <x:v>2022</x:v>
      </x:c>
      <x:c r="E187" s="12" t="str">
        <x:v>EVT-JB-2022-029</x:v>
      </x:c>
      <x:c r="F187" s="18" t="n">
        <x:v>44829</x:v>
      </x:c>
      <x:c r="G187" s="12" t="str">
        <x:v>DG-JB-20220925</x:v>
      </x:c>
      <x:c r="H187" s="12" t="str">
        <x:v>JBLOC-0186</x:v>
      </x:c>
      <x:c r="I187" s="12" t="str">
        <x:v>S2022-028</x:v>
      </x:c>
      <x:c r="J187" s="12" t="str">
        <x:v>Tabika Kemas, Skudai Kiri</x:v>
      </x:c>
      <x:c r="K187" s="12" t="str">
        <x:v>Tabika Kemas, Skudai Kiri</x:v>
      </x:c>
      <x:c r="L187" s="12" t="str">
        <x:v>FACILITY</x:v>
      </x:c>
      <x:c r="M187" s="12" t="str">
        <x:v>Flash flood</x:v>
      </x:c>
      <x:c r="N187" s="12" t="str">
        <x:v>B</x:v>
      </x:c>
      <x:c r="O187" s="12" t="str">
        <x:v>SRC_R2022_UTUSAN_20220925</x:v>
      </x:c>
      <x:c r="P187" s="12" t="str">
        <x:v>SRC_R2022_BH_20220925</x:v>
      </x:c>
      <x:c r="Q187" s="12"/>
      <x:c r="R187" s="12"/>
      <x:c r="S187" s="12" t="str">
        <x:v>NO</x:v>
      </x:c>
      <x:c r="T187" s="12" t="str">
        <x:v>DO NOT PLOT</x:v>
      </x:c>
      <x:c r="U187" s="12"/>
      <x:c r="V187" s="12" t="str">
        <x:v>FACILITY_POINT_OPEN</x:v>
      </x:c>
      <x:c r="W187" s="12" t="str">
        <x:v>https://www.utusan.com.my/berita/2022/09/10-kawasan-di-johor-bahru-dilanda-banjir-kilat/
https://www.bharian.com.my/</x:v>
      </x:c>
      <x:c r="X187" s="12"/>
    </x:row>
    <x:row r="188">
      <x:c r="A188" s="12" t="str">
        <x:v>FLOC-0094</x:v>
      </x:c>
      <x:c r="B188" s="12" t="str">
        <x:v>Kampung Mohd Amin, Kolam Air</x:v>
      </x:c>
      <x:c r="C188" s="12" t="str">
        <x:v>YES</x:v>
      </x:c>
      <x:c r="D188" s="12" t="n">
        <x:v>2022</x:v>
      </x:c>
      <x:c r="E188" s="12" t="str">
        <x:v>EVT-JB-2022-030</x:v>
      </x:c>
      <x:c r="F188" s="18" t="n">
        <x:v>44829</x:v>
      </x:c>
      <x:c r="G188" s="12" t="str">
        <x:v>DG-JB-20220925</x:v>
      </x:c>
      <x:c r="H188" s="12" t="str">
        <x:v>JBLOC-0100</x:v>
      </x:c>
      <x:c r="I188" s="12" t="str">
        <x:v>S2022-012</x:v>
      </x:c>
      <x:c r="J188" s="12" t="str">
        <x:v>Kampung Mohd Amin</x:v>
      </x:c>
      <x:c r="K188" s="12" t="str">
        <x:v>Kampung Mohd Amin</x:v>
      </x:c>
      <x:c r="L188" s="12" t="str">
        <x:v>COMMUNITY</x:v>
      </x:c>
      <x:c r="M188" s="12" t="str">
        <x:v>Flash flood</x:v>
      </x:c>
      <x:c r="N188" s="12" t="str">
        <x:v>B</x:v>
      </x:c>
      <x:c r="O188" s="12" t="str">
        <x:v>SRC_R2022_UTUSAN_20220925</x:v>
      </x:c>
      <x:c r="P188" s="12" t="str">
        <x:v>SRC_R2022_BH_20220925</x:v>
      </x:c>
      <x:c r="Q188" s="12" t="n">
        <x:v>103.7354126</x:v>
      </x:c>
      <x:c r="R188" s="12" t="n">
        <x:v>1.4673637</x:v>
      </x:c>
      <x:c r="S188" s="12" t="str">
        <x:v>YES</x:v>
      </x:c>
      <x:c r="T188" s="12" t="str">
        <x:v>PLOT</x:v>
      </x:c>
      <x:c r="U188" s="12"/>
      <x:c r="V188" s="12" t="str">
        <x:v>POINT_READY; POLYGON_OPEN</x:v>
      </x:c>
      <x:c r="W188" s="12" t="str">
        <x:v>https://www.utusan.com.my/berita/2022/09/10-kawasan-di-johor-bahru-dilanda-banjir-kilat/
https://www.bharian.com.my/</x:v>
      </x:c>
      <x:c r="X188" s="12"/>
    </x:row>
    <x:row r="189">
      <x:c r="A189" s="12" t="str">
        <x:v>FLOC-0124</x:v>
      </x:c>
      <x:c r="B189" s="12" t="str">
        <x:v>Kampung Ubi Baru</x:v>
      </x:c>
      <x:c r="C189" s="12" t="str">
        <x:v>YES</x:v>
      </x:c>
      <x:c r="D189" s="12" t="n">
        <x:v>2022</x:v>
      </x:c>
      <x:c r="E189" s="12" t="str">
        <x:v>EVT-JB-2022-031</x:v>
      </x:c>
      <x:c r="F189" s="18" t="n">
        <x:v>44829</x:v>
      </x:c>
      <x:c r="G189" s="12" t="str">
        <x:v>DG-JB-20220925</x:v>
      </x:c>
      <x:c r="H189" s="12" t="str">
        <x:v>JBLOC-0147</x:v>
      </x:c>
      <x:c r="I189" s="12" t="str">
        <x:v>S2022-029</x:v>
      </x:c>
      <x:c r="J189" s="12" t="str">
        <x:v>Kampung Ubi</x:v>
      </x:c>
      <x:c r="K189" s="12" t="str">
        <x:v>Kampung Ubi Baru</x:v>
      </x:c>
      <x:c r="L189" s="12" t="str">
        <x:v>COMMUNITY</x:v>
      </x:c>
      <x:c r="M189" s="12" t="str">
        <x:v>Flash flood</x:v>
      </x:c>
      <x:c r="N189" s="12" t="str">
        <x:v>B</x:v>
      </x:c>
      <x:c r="O189" s="12" t="str">
        <x:v>SRC_R2022_UTUSAN_20220925</x:v>
      </x:c>
      <x:c r="P189" s="12" t="str">
        <x:v>SRC_R2022_BH_20220925</x:v>
      </x:c>
      <x:c r="Q189" s="12" t="n">
        <x:v>103.75707329</x:v>
      </x:c>
      <x:c r="R189" s="12" t="n">
        <x:v>1.5191611</x:v>
      </x:c>
      <x:c r="S189" s="12" t="str">
        <x:v>YES</x:v>
      </x:c>
      <x:c r="T189" s="12" t="str">
        <x:v>PLOT</x:v>
      </x:c>
      <x:c r="U189" s="12"/>
      <x:c r="V189" s="12" t="str">
        <x:v>POINT_READY; POLYGON_OPEN</x:v>
      </x:c>
      <x:c r="W189" s="12" t="str">
        <x:v>https://www.utusan.com.my/berita/2022/09/10-kawasan-di-johor-bahru-dilanda-banjir-kilat/
https://www.bharian.com.my/</x:v>
      </x:c>
      <x:c r="X189" s="12"/>
    </x:row>
    <x:row r="190">
      <x:c r="A190" s="12" t="str">
        <x:v>FLOC-0122</x:v>
      </x:c>
      <x:c r="B190" s="12" t="str">
        <x:v>Kampung Tiram Duku</x:v>
      </x:c>
      <x:c r="C190" s="12" t="str">
        <x:v>YES</x:v>
      </x:c>
      <x:c r="D190" s="12" t="n">
        <x:v>2022</x:v>
      </x:c>
      <x:c r="E190" s="12" t="str">
        <x:v>EVT-JB-2022-032</x:v>
      </x:c>
      <x:c r="F190" s="18" t="n">
        <x:v>44829</x:v>
      </x:c>
      <x:c r="G190" s="12" t="str">
        <x:v>DG-JB-20220925</x:v>
      </x:c>
      <x:c r="H190" s="12" t="str">
        <x:v>JBLOC-0144</x:v>
      </x:c>
      <x:c r="I190" s="12" t="str">
        <x:v>S2022-030</x:v>
      </x:c>
      <x:c r="J190" s="12" t="str">
        <x:v>Kampung Tiram Duku</x:v>
      </x:c>
      <x:c r="K190" s="12" t="str">
        <x:v>Kampung Tiram Duku</x:v>
      </x:c>
      <x:c r="L190" s="12" t="str">
        <x:v>COMMUNITY</x:v>
      </x:c>
      <x:c r="M190" s="12" t="str">
        <x:v>Flash flood</x:v>
      </x:c>
      <x:c r="N190" s="12" t="str">
        <x:v>B</x:v>
      </x:c>
      <x:c r="O190" s="12" t="str">
        <x:v>SRC_R2022_UTUSAN_20220925</x:v>
      </x:c>
      <x:c r="P190" s="12" t="str">
        <x:v>SRC_R2022_BH_20220925</x:v>
      </x:c>
      <x:c r="Q190" s="12" t="n">
        <x:v>103.57953798</x:v>
      </x:c>
      <x:c r="R190" s="12" t="n">
        <x:v>1.38836699</x:v>
      </x:c>
      <x:c r="S190" s="12" t="str">
        <x:v>YES</x:v>
      </x:c>
      <x:c r="T190" s="12" t="str">
        <x:v>PLOT</x:v>
      </x:c>
      <x:c r="U190" s="12"/>
      <x:c r="V190" s="12" t="str">
        <x:v>POINT_READY; POLYGON_OPEN</x:v>
      </x:c>
      <x:c r="W190" s="12" t="str">
        <x:v>https://www.utusan.com.my/berita/2022/09/10-kawasan-di-johor-bahru-dilanda-banjir-kilat/
https://www.bharian.com.my/</x:v>
      </x:c>
      <x:c r="X190" s="12"/>
    </x:row>
    <x:row r="191">
      <x:c r="A191" s="12" t="str">
        <x:v>FLOC-0104</x:v>
      </x:c>
      <x:c r="B191" s="12" t="str">
        <x:v>Kampung Peladang</x:v>
      </x:c>
      <x:c r="C191" s="12" t="str">
        <x:v>YES</x:v>
      </x:c>
      <x:c r="D191" s="12" t="n">
        <x:v>2022</x:v>
      </x:c>
      <x:c r="E191" s="12" t="str">
        <x:v>EVT-JB-2022-033</x:v>
      </x:c>
      <x:c r="F191" s="18" t="n">
        <x:v>44829</x:v>
      </x:c>
      <x:c r="G191" s="12" t="str">
        <x:v>DG-JB-20220925</x:v>
      </x:c>
      <x:c r="H191" s="12" t="str">
        <x:v>JBLOC-0116</x:v>
      </x:c>
      <x:c r="I191" s="12" t="str">
        <x:v>S2022-031</x:v>
      </x:c>
      <x:c r="J191" s="12" t="str">
        <x:v>Kampung Peladang</x:v>
      </x:c>
      <x:c r="K191" s="12" t="str">
        <x:v>Kampung Peladang</x:v>
      </x:c>
      <x:c r="L191" s="12" t="str">
        <x:v>COMMUNITY</x:v>
      </x:c>
      <x:c r="M191" s="12" t="str">
        <x:v>Flash flood</x:v>
      </x:c>
      <x:c r="N191" s="12" t="str">
        <x:v>B</x:v>
      </x:c>
      <x:c r="O191" s="12" t="str">
        <x:v>SRC_R2022_UTUSAN_20220925</x:v>
      </x:c>
      <x:c r="P191" s="12" t="str">
        <x:v>SRC_R2022_BH_20220925</x:v>
      </x:c>
      <x:c r="Q191" s="12"/>
      <x:c r="R191" s="12"/>
      <x:c r="S191" s="12" t="str">
        <x:v>NO</x:v>
      </x:c>
      <x:c r="T191" s="12" t="str">
        <x:v>DO NOT PLOT</x:v>
      </x:c>
      <x:c r="U191" s="12"/>
      <x:c r="V191" s="12" t="str">
        <x:v>POINT_OPEN</x:v>
      </x:c>
      <x:c r="W191" s="12" t="str">
        <x:v>https://www.utusan.com.my/berita/2022/09/10-kawasan-di-johor-bahru-dilanda-banjir-kilat/
https://www.bharian.com.my/</x:v>
      </x:c>
      <x:c r="X191" s="12"/>
    </x:row>
    <x:row r="192">
      <x:c r="A192" s="12" t="str">
        <x:v>FLOC-0074</x:v>
      </x:c>
      <x:c r="B192" s="12" t="str">
        <x:v>Kampung Baru Muafakat, Gelang Patah</x:v>
      </x:c>
      <x:c r="C192" s="12" t="str">
        <x:v>YES</x:v>
      </x:c>
      <x:c r="D192" s="12" t="n">
        <x:v>2022</x:v>
      </x:c>
      <x:c r="E192" s="12" t="str">
        <x:v>EVT-JB-2022-034</x:v>
      </x:c>
      <x:c r="F192" s="18" t="n">
        <x:v>44829</x:v>
      </x:c>
      <x:c r="G192" s="12" t="str">
        <x:v>DG-JB-20220925</x:v>
      </x:c>
      <x:c r="H192" s="12" t="str">
        <x:v>JBLOC-0076</x:v>
      </x:c>
      <x:c r="I192" s="12" t="str">
        <x:v>S2022-002</x:v>
      </x:c>
      <x:c r="J192" s="12" t="str">
        <x:v>Kampung Baru Muafakat</x:v>
      </x:c>
      <x:c r="K192" s="12" t="str">
        <x:v>Kampung Baru Muafakat</x:v>
      </x:c>
      <x:c r="L192" s="12" t="str">
        <x:v>COMMUNITY</x:v>
      </x:c>
      <x:c r="M192" s="12" t="str">
        <x:v>Flash flood</x:v>
      </x:c>
      <x:c r="N192" s="12" t="str">
        <x:v>B</x:v>
      </x:c>
      <x:c r="O192" s="12" t="str">
        <x:v>SRC_R2022_UTUSAN_20220925</x:v>
      </x:c>
      <x:c r="P192" s="12" t="str">
        <x:v>SRC_R2022_BH_20220925</x:v>
      </x:c>
      <x:c r="Q192" s="12" t="n">
        <x:v>103.5947457</x:v>
      </x:c>
      <x:c r="R192" s="12" t="n">
        <x:v>1.4430619</x:v>
      </x:c>
      <x:c r="S192" s="12" t="str">
        <x:v>YES</x:v>
      </x:c>
      <x:c r="T192" s="12" t="str">
        <x:v>PLOT</x:v>
      </x:c>
      <x:c r="U192" s="12" t="str">
        <x:v>PG2020-KG-BARU-MUAFAKAT</x:v>
      </x:c>
      <x:c r="V192" s="12" t="str">
        <x:v>REUSED_CLOSED</x:v>
      </x:c>
      <x:c r="W192" s="12" t="str">
        <x:v>https://www.utusan.com.my/berita/2022/09/10-kawasan-di-johor-bahru-dilanda-banjir-kilat/
https://www.bharian.com.my/</x:v>
      </x:c>
      <x:c r="X192" s="12"/>
    </x:row>
    <x:row r="193">
      <x:c r="A193" s="12" t="str">
        <x:v>FLOC-0103</x:v>
      </x:c>
      <x:c r="B193" s="12" t="str">
        <x:v>Kampung Pekajang</x:v>
      </x:c>
      <x:c r="C193" s="12" t="str">
        <x:v>YES</x:v>
      </x:c>
      <x:c r="D193" s="12" t="n">
        <x:v>2022</x:v>
      </x:c>
      <x:c r="E193" s="12" t="str">
        <x:v>EVT-JB-2022-035</x:v>
      </x:c>
      <x:c r="F193" s="18" t="n">
        <x:v>44829</x:v>
      </x:c>
      <x:c r="G193" s="12" t="str">
        <x:v>DG-JB-20220925</x:v>
      </x:c>
      <x:c r="H193" s="12" t="str">
        <x:v>JBLOC-0115</x:v>
      </x:c>
      <x:c r="I193" s="12" t="str">
        <x:v>S2022-032</x:v>
      </x:c>
      <x:c r="J193" s="12" t="str">
        <x:v>Kampung Pekajang</x:v>
      </x:c>
      <x:c r="K193" s="12" t="str">
        <x:v>Kampung Pekajang</x:v>
      </x:c>
      <x:c r="L193" s="12" t="str">
        <x:v>COMMUNITY</x:v>
      </x:c>
      <x:c r="M193" s="12" t="str">
        <x:v>Flash flood</x:v>
      </x:c>
      <x:c r="N193" s="12" t="str">
        <x:v>B</x:v>
      </x:c>
      <x:c r="O193" s="12" t="str">
        <x:v>SRC_R2022_UTUSAN_20220925</x:v>
      </x:c>
      <x:c r="P193" s="12" t="str">
        <x:v>SRC_R2022_BH_20220925</x:v>
      </x:c>
      <x:c r="Q193" s="12" t="n">
        <x:v>103.55904663</x:v>
      </x:c>
      <x:c r="R193" s="12" t="n">
        <x:v>1.36899644</x:v>
      </x:c>
      <x:c r="S193" s="12" t="str">
        <x:v>NO</x:v>
      </x:c>
      <x:c r="T193" s="12" t="str">
        <x:v>DO NOT PLOT</x:v>
      </x:c>
      <x:c r="U193" s="12"/>
      <x:c r="V193" s="12" t="str">
        <x:v>POINT_CANDIDATE; POLYGON_OPEN</x:v>
      </x:c>
      <x:c r="W193" s="12" t="str">
        <x:v>https://www.utusan.com.my/berita/2022/09/10-kawasan-di-johor-bahru-dilanda-banjir-kilat/
https://www.bharian.com.my/</x:v>
      </x:c>
      <x:c r="X193" s="12"/>
    </x:row>
    <x:row r="194">
      <x:c r="A194" s="12" t="str">
        <x:v>FLOC-0099</x:v>
      </x:c>
      <x:c r="B194" s="12" t="str">
        <x:v>Kampung Paya Mengkuang</x:v>
      </x:c>
      <x:c r="C194" s="12" t="str">
        <x:v>YES</x:v>
      </x:c>
      <x:c r="D194" s="12" t="n">
        <x:v>2022</x:v>
      </x:c>
      <x:c r="E194" s="12" t="str">
        <x:v>EVT-JB-2022-036</x:v>
      </x:c>
      <x:c r="F194" s="18" t="n">
        <x:v>44829</x:v>
      </x:c>
      <x:c r="G194" s="12" t="str">
        <x:v>DG-JB-20220925</x:v>
      </x:c>
      <x:c r="H194" s="12" t="str">
        <x:v>JBLOC-0111</x:v>
      </x:c>
      <x:c r="I194" s="12" t="str">
        <x:v>S2022-005</x:v>
      </x:c>
      <x:c r="J194" s="12" t="str">
        <x:v>Kampung Paya Mengkuang</x:v>
      </x:c>
      <x:c r="K194" s="12" t="str">
        <x:v>Kampung Paya Mengkuang</x:v>
      </x:c>
      <x:c r="L194" s="12" t="str">
        <x:v>COMMUNITY</x:v>
      </x:c>
      <x:c r="M194" s="12" t="str">
        <x:v>Flash flood</x:v>
      </x:c>
      <x:c r="N194" s="12" t="str">
        <x:v>B</x:v>
      </x:c>
      <x:c r="O194" s="12" t="str">
        <x:v>SRC_R2022_UTUSAN_20220925</x:v>
      </x:c>
      <x:c r="P194" s="12" t="str">
        <x:v>SRC_R2022_BH_20220925</x:v>
      </x:c>
      <x:c r="Q194" s="12" t="n">
        <x:v>103.58727458</x:v>
      </x:c>
      <x:c r="R194" s="12" t="n">
        <x:v>1.37194144</x:v>
      </x:c>
      <x:c r="S194" s="12" t="str">
        <x:v>YES</x:v>
      </x:c>
      <x:c r="T194" s="12" t="str">
        <x:v>PLOT</x:v>
      </x:c>
      <x:c r="U194" s="12"/>
      <x:c r="V194" s="12" t="str">
        <x:v>POINT_READY; POLYGON_OPEN</x:v>
      </x:c>
      <x:c r="W194" s="12" t="str">
        <x:v>https://www.utusan.com.my/berita/2022/09/10-kawasan-di-johor-bahru-dilanda-banjir-kilat/
https://www.bharian.com.my/</x:v>
      </x:c>
      <x:c r="X194" s="12"/>
    </x:row>
    <x:row r="195">
      <x:c r="A195" s="12" t="str">
        <x:v>FLOC-0160</x:v>
      </x:c>
      <x:c r="B195" s="12" t="str">
        <x:v>Sanctuary Garden, Tebrau</x:v>
      </x:c>
      <x:c r="C195" s="12" t="str">
        <x:v>YES</x:v>
      </x:c>
      <x:c r="D195" s="12" t="n">
        <x:v>2022</x:v>
      </x:c>
      <x:c r="E195" s="12" t="str">
        <x:v>EVT-JB-2022-037</x:v>
      </x:c>
      <x:c r="F195" s="18" t="n">
        <x:v>44872</x:v>
      </x:c>
      <x:c r="G195" s="12" t="str">
        <x:v>DG-JB-20221107</x:v>
      </x:c>
      <x:c r="H195" s="12" t="str">
        <x:v>JBLOC-0176</x:v>
      </x:c>
      <x:c r="I195" s="12" t="str">
        <x:v>S2022-033</x:v>
      </x:c>
      <x:c r="J195" s="12" t="str">
        <x:v>Sanctuary Garden, Tebrau</x:v>
      </x:c>
      <x:c r="K195" s="12" t="str">
        <x:v>Sanctuary Garden, Tebrau</x:v>
      </x:c>
      <x:c r="L195" s="12" t="str">
        <x:v>RESIDENTIAL</x:v>
      </x:c>
      <x:c r="M195" s="12" t="str">
        <x:v>Flash flood</x:v>
      </x:c>
      <x:c r="N195" s="12" t="str">
        <x:v>B</x:v>
      </x:c>
      <x:c r="O195" s="12" t="str">
        <x:v>SRC_R2022_AWANI_20221107_A</x:v>
      </x:c>
      <x:c r="P195" s="12"/>
      <x:c r="Q195" s="12"/>
      <x:c r="R195" s="12"/>
      <x:c r="S195" s="12" t="str">
        <x:v>NO</x:v>
      </x:c>
      <x:c r="T195" s="12" t="str">
        <x:v>DO NOT PLOT</x:v>
      </x:c>
      <x:c r="U195" s="12"/>
      <x:c r="V195" s="12" t="str">
        <x:v>POINT_OPEN; POLYGON_OPEN</x:v>
      </x:c>
      <x:c r="W195" s="12" t="str">
        <x:v>https://www.astroawani.com/berita-malaysia/pru15-hujan-lebat-berterusan-tebrau-dilanda-banjir-kilat-390115</x:v>
      </x:c>
      <x:c r="X195" s="12"/>
    </x:row>
    <x:row r="196">
      <x:c r="A196" s="12" t="str">
        <x:v>FLOC-0092</x:v>
      </x:c>
      <x:c r="B196" s="12" t="str">
        <x:v>Kampung Melayu Majidi</x:v>
      </x:c>
      <x:c r="C196" s="12" t="str">
        <x:v>YES</x:v>
      </x:c>
      <x:c r="D196" s="12" t="n">
        <x:v>2022</x:v>
      </x:c>
      <x:c r="E196" s="12" t="str">
        <x:v>EVT-JB-2022-038</x:v>
      </x:c>
      <x:c r="F196" s="18" t="n">
        <x:v>44872</x:v>
      </x:c>
      <x:c r="G196" s="12" t="str">
        <x:v>DG-JB-20221107</x:v>
      </x:c>
      <x:c r="H196" s="12" t="str">
        <x:v>JBLOC-0097</x:v>
      </x:c>
      <x:c r="I196" s="12" t="str">
        <x:v>S2022-034</x:v>
      </x:c>
      <x:c r="J196" s="12" t="str">
        <x:v>Kampung Melayu Majidee</x:v>
      </x:c>
      <x:c r="K196" s="12" t="str">
        <x:v>Kampung Melayu Majidee</x:v>
      </x:c>
      <x:c r="L196" s="12" t="str">
        <x:v>COMMUNITY</x:v>
      </x:c>
      <x:c r="M196" s="12" t="str">
        <x:v>Flash flood</x:v>
      </x:c>
      <x:c r="N196" s="12" t="str">
        <x:v>B</x:v>
      </x:c>
      <x:c r="O196" s="12" t="str">
        <x:v>SRC_R2022_AWANI_20221107_A</x:v>
      </x:c>
      <x:c r="P196" s="12"/>
      <x:c r="Q196" s="12" t="n">
        <x:v>103.75192484</x:v>
      </x:c>
      <x:c r="R196" s="12" t="n">
        <x:v>1.51174352</x:v>
      </x:c>
      <x:c r="S196" s="12" t="str">
        <x:v>YES</x:v>
      </x:c>
      <x:c r="T196" s="12" t="str">
        <x:v>PLOT</x:v>
      </x:c>
      <x:c r="U196" s="12"/>
      <x:c r="V196" s="12" t="str">
        <x:v>POINT_READY; POLYGON_OPEN</x:v>
      </x:c>
      <x:c r="W196" s="12" t="str">
        <x:v>https://www.astroawani.com/berita-malaysia/pru15-hujan-lebat-berterusan-tebrau-dilanda-banjir-kilat-390115</x:v>
      </x:c>
      <x:c r="X196" s="12"/>
    </x:row>
    <x:row r="197">
      <x:c r="A197" s="12" t="str">
        <x:v>FLOC-0033</x:v>
      </x:c>
      <x:c r="B197" s="12" t="str">
        <x:v>Jalan Keris 2, Taman Sri Tebrau</x:v>
      </x:c>
      <x:c r="C197" s="12" t="str">
        <x:v>YES</x:v>
      </x:c>
      <x:c r="D197" s="12" t="n">
        <x:v>2022</x:v>
      </x:c>
      <x:c r="E197" s="12" t="str">
        <x:v>EVT-JB-2022-039</x:v>
      </x:c>
      <x:c r="F197" s="18" t="n">
        <x:v>44872</x:v>
      </x:c>
      <x:c r="G197" s="12" t="str">
        <x:v>DG-JB-20221107</x:v>
      </x:c>
      <x:c r="H197" s="12" t="str">
        <x:v>JBLOC-0035</x:v>
      </x:c>
      <x:c r="I197" s="12" t="str">
        <x:v>S2022-035</x:v>
      </x:c>
      <x:c r="J197" s="12" t="str">
        <x:v>Jalan Keris Dua, Taman Sri Tebrau</x:v>
      </x:c>
      <x:c r="K197" s="12" t="str">
        <x:v>Jalan Keris 2, Taman Sri Tebrau</x:v>
      </x:c>
      <x:c r="L197" s="12" t="str">
        <x:v>ROAD</x:v>
      </x:c>
      <x:c r="M197" s="12" t="str">
        <x:v>Flash flood</x:v>
      </x:c>
      <x:c r="N197" s="12" t="str">
        <x:v>B</x:v>
      </x:c>
      <x:c r="O197" s="12" t="str">
        <x:v>SRC_R2022_AWANI_20221107_B</x:v>
      </x:c>
      <x:c r="P197" s="12"/>
      <x:c r="Q197" s="12" t="n">
        <x:v>103.7679</x:v>
      </x:c>
      <x:c r="R197" s="12" t="n">
        <x:v>1.4899</x:v>
      </x:c>
      <x:c r="S197" s="12" t="str">
        <x:v>YES</x:v>
      </x:c>
      <x:c r="T197" s="12" t="str">
        <x:v>PLOT</x:v>
      </x:c>
      <x:c r="U197" s="12"/>
      <x:c r="V197" s="12" t="str">
        <x:v>ROAD_SEGMENT_OPEN</x:v>
      </x:c>
      <x:c r="W197" s="12" t="str">
        <x:v>https://www.astroawani.com/berita-malaysia/banjir-kilat-landa-johor-bahru-lebih-40-rumah-dinaiki-air-390134</x:v>
      </x:c>
      <x:c r="X197" s="12"/>
    </x:row>
    <x:row r="198">
      <x:c r="A198" s="12" t="str">
        <x:v>FLOC-0088</x:v>
      </x:c>
      <x:c r="B198" s="12" t="str">
        <x:v>Kampung Kurnia, Johor Bahru</x:v>
      </x:c>
      <x:c r="C198" s="12" t="str">
        <x:v>YES</x:v>
      </x:c>
      <x:c r="D198" s="12" t="n">
        <x:v>2022</x:v>
      </x:c>
      <x:c r="E198" s="12" t="str">
        <x:v>EVT-JB-2022-040</x:v>
      </x:c>
      <x:c r="F198" s="18" t="n">
        <x:v>44872</x:v>
      </x:c>
      <x:c r="G198" s="12" t="str">
        <x:v>DG-JB-20221107</x:v>
      </x:c>
      <x:c r="H198" s="12" t="str">
        <x:v>JBLOC-0092</x:v>
      </x:c>
      <x:c r="I198" s="12" t="str">
        <x:v>S2022-036</x:v>
      </x:c>
      <x:c r="J198" s="12" t="str">
        <x:v>Kampung Kurnia, Larkin</x:v>
      </x:c>
      <x:c r="K198" s="12" t="str">
        <x:v>Kampung Kurnia, Johor Bahru</x:v>
      </x:c>
      <x:c r="L198" s="12" t="str">
        <x:v>COMMUNITY</x:v>
      </x:c>
      <x:c r="M198" s="12" t="str">
        <x:v>Flash flood</x:v>
      </x:c>
      <x:c r="N198" s="12" t="str">
        <x:v>B</x:v>
      </x:c>
      <x:c r="O198" s="12" t="str">
        <x:v>SRC_R2022_AWANI_20221107_B</x:v>
      </x:c>
      <x:c r="P198" s="12"/>
      <x:c r="Q198" s="12" t="n">
        <x:v>103.75612</x:v>
      </x:c>
      <x:c r="R198" s="12" t="n">
        <x:v>1.49744</x:v>
      </x:c>
      <x:c r="S198" s="12" t="str">
        <x:v>YES</x:v>
      </x:c>
      <x:c r="T198" s="12" t="str">
        <x:v>PLOT</x:v>
      </x:c>
      <x:c r="U198" s="12"/>
      <x:c r="V198" s="12" t="str">
        <x:v>POINT_OPEN; POLYGON_OPEN</x:v>
      </x:c>
      <x:c r="W198" s="12" t="str">
        <x:v>https://www.astroawani.com/berita-malaysia/banjir-kilat-landa-johor-bahru-lebih-40-rumah-dinaiki-air-390134</x:v>
      </x:c>
      <x:c r="X198" s="12"/>
    </x:row>
    <x:row r="199">
      <x:c r="A199" s="12" t="str">
        <x:v>FLOC-0182</x:v>
      </x:c>
      <x:c r="B199" s="12" t="str">
        <x:v>Taman Melodies</x:v>
      </x:c>
      <x:c r="C199" s="12" t="str">
        <x:v>YES</x:v>
      </x:c>
      <x:c r="D199" s="12" t="n">
        <x:v>2022</x:v>
      </x:c>
      <x:c r="E199" s="12" t="str">
        <x:v>EVT-JB-2022-041</x:v>
      </x:c>
      <x:c r="F199" s="18" t="n">
        <x:v>44872</x:v>
      </x:c>
      <x:c r="G199" s="12" t="str">
        <x:v>DG-JB-20221107</x:v>
      </x:c>
      <x:c r="H199" s="12" t="str">
        <x:v>JBLOC-0197</x:v>
      </x:c>
      <x:c r="I199" s="12" t="str">
        <x:v>S2022-037</x:v>
      </x:c>
      <x:c r="J199" s="12" t="str">
        <x:v>Taman Melodies</x:v>
      </x:c>
      <x:c r="K199" s="12" t="str">
        <x:v>Taman Melodies</x:v>
      </x:c>
      <x:c r="L199" s="12" t="str">
        <x:v>RESIDENTIAL</x:v>
      </x:c>
      <x:c r="M199" s="12" t="str">
        <x:v>Flash flood</x:v>
      </x:c>
      <x:c r="N199" s="12" t="str">
        <x:v>B</x:v>
      </x:c>
      <x:c r="O199" s="12" t="str">
        <x:v>SRC_R2022_MDJ_20221108</x:v>
      </x:c>
      <x:c r="P199" s="12"/>
      <x:c r="Q199" s="12" t="n">
        <x:v>103.7613894</x:v>
      </x:c>
      <x:c r="R199" s="12" t="n">
        <x:v>1.4901965</x:v>
      </x:c>
      <x:c r="S199" s="12" t="str">
        <x:v>YES</x:v>
      </x:c>
      <x:c r="T199" s="12" t="str">
        <x:v>PLOT</x:v>
      </x:c>
      <x:c r="U199" s="12"/>
      <x:c r="V199" s="12" t="str">
        <x:v>POINT_READY; POLYGON_OPEN</x:v>
      </x:c>
      <x:c r="W199" s="12" t="str">
        <x:v>https://mediadigitaljohor.gov.my/mb-johor-melawat-kawasan-terkesan-banjir-kilat/</x:v>
      </x:c>
      <x:c r="X199" s="12"/>
    </x:row>
    <x:row r="200">
      <x:c r="A200" s="12" t="str">
        <x:v>FLOC-0144</x:v>
      </x:c>
      <x:c r="B200" s="12" t="str">
        <x:v>Larkin Perdana</x:v>
      </x:c>
      <x:c r="C200" s="12" t="str">
        <x:v>YES</x:v>
      </x:c>
      <x:c r="D200" s="12" t="n">
        <x:v>2023</x:v>
      </x:c>
      <x:c r="E200" s="12" t="str">
        <x:v>EVT-JB-2023-001</x:v>
      </x:c>
      <x:c r="F200" s="18" t="n">
        <x:v>44971</x:v>
      </x:c>
      <x:c r="G200" s="12" t="str">
        <x:v>DG-JB-20230214</x:v>
      </x:c>
      <x:c r="H200" s="12" t="str">
        <x:v>JBLOC-0160</x:v>
      </x:c>
      <x:c r="I200" s="12" t="str">
        <x:v>S2023-001</x:v>
      </x:c>
      <x:c r="J200" s="12" t="str">
        <x:v>Larkin Perdana</x:v>
      </x:c>
      <x:c r="K200" s="12" t="str">
        <x:v>Larkin Perdana</x:v>
      </x:c>
      <x:c r="L200" s="12" t="str">
        <x:v>COMMUNITY/AREA</x:v>
      </x:c>
      <x:c r="M200" s="12" t="str">
        <x:v>Flash flood</x:v>
      </x:c>
      <x:c r="N200" s="12" t="str">
        <x:v>B</x:v>
      </x:c>
      <x:c r="O200" s="12" t="str">
        <x:v>SRC_R2023_SINAR_20230214</x:v>
      </x:c>
      <x:c r="P200" s="12"/>
      <x:c r="Q200" s="12" t="n">
        <x:v>103.74826</x:v>
      </x:c>
      <x:c r="R200" s="12" t="n">
        <x:v>1.50108</x:v>
      </x:c>
      <x:c r="S200" s="12" t="str">
        <x:v>YES</x:v>
      </x:c>
      <x:c r="T200" s="12" t="str">
        <x:v>PLOT</x:v>
      </x:c>
      <x:c r="U200" s="12"/>
      <x:c r="V200" s="12" t="str">
        <x:v>POINT_OPEN; POLYGON_OPEN</x:v>
      </x:c>
      <x:c r="W200" s="12" t="str">
        <x:v>https://www.sinarharian.com.my/article/245217/edisi/johor/johor-bahru-dilanda-banjir-kilat</x:v>
      </x:c>
      <x:c r="X200" s="12"/>
    </x:row>
    <x:row r="201">
      <x:c r="A201" s="12" t="str">
        <x:v>FLOC-0072</x:v>
      </x:c>
      <x:c r="B201" s="12" t="str">
        <x:v>Kampung Aman</x:v>
      </x:c>
      <x:c r="C201" s="12" t="str">
        <x:v>YES</x:v>
      </x:c>
      <x:c r="D201" s="12" t="n">
        <x:v>2023</x:v>
      </x:c>
      <x:c r="E201" s="12" t="str">
        <x:v>EVT-JB-2023-002</x:v>
      </x:c>
      <x:c r="F201" s="18" t="n">
        <x:v>44971</x:v>
      </x:c>
      <x:c r="G201" s="12" t="str">
        <x:v>DG-JB-20230214</x:v>
      </x:c>
      <x:c r="H201" s="12" t="str">
        <x:v>JBLOC-0074</x:v>
      </x:c>
      <x:c r="I201" s="12" t="str">
        <x:v>S2023-002</x:v>
      </x:c>
      <x:c r="J201" s="12" t="str">
        <x:v>Kampung Aman</x:v>
      </x:c>
      <x:c r="K201" s="12" t="str">
        <x:v>Kampung Aman</x:v>
      </x:c>
      <x:c r="L201" s="12" t="str">
        <x:v>COMMUNITY/AREA</x:v>
      </x:c>
      <x:c r="M201" s="12" t="str">
        <x:v>Flash flood</x:v>
      </x:c>
      <x:c r="N201" s="12" t="str">
        <x:v>B</x:v>
      </x:c>
      <x:c r="O201" s="12" t="str">
        <x:v>SRC_R2023_SINAR_20230214</x:v>
      </x:c>
      <x:c r="P201" s="12"/>
      <x:c r="Q201" s="12" t="n">
        <x:v>103.7368</x:v>
      </x:c>
      <x:c r="R201" s="12" t="n">
        <x:v>1.50516</x:v>
      </x:c>
      <x:c r="S201" s="12" t="str">
        <x:v>YES</x:v>
      </x:c>
      <x:c r="T201" s="12" t="str">
        <x:v>PLOT</x:v>
      </x:c>
      <x:c r="U201" s="12"/>
      <x:c r="V201" s="12" t="str">
        <x:v>POINT_OPEN; POLYGON_OPEN</x:v>
      </x:c>
      <x:c r="W201" s="12" t="str">
        <x:v>https://www.sinarharian.com.my/article/245217/edisi/johor/johor-bahru-dilanda-banjir-kilat</x:v>
      </x:c>
      <x:c r="X201" s="12"/>
    </x:row>
    <x:row r="202">
      <x:c r="A202" s="12" t="str">
        <x:v>FLOC-0192</x:v>
      </x:c>
      <x:c r="B202" s="12" t="str">
        <x:v>Taman Sri Bahagia</x:v>
      </x:c>
      <x:c r="C202" s="12" t="str">
        <x:v>YES</x:v>
      </x:c>
      <x:c r="D202" s="12" t="n">
        <x:v>2023</x:v>
      </x:c>
      <x:c r="E202" s="12" t="str">
        <x:v>EVT-JB-2023-003</x:v>
      </x:c>
      <x:c r="F202" s="18" t="n">
        <x:v>44971</x:v>
      </x:c>
      <x:c r="G202" s="12" t="str">
        <x:v>DG-JB-20230214</x:v>
      </x:c>
      <x:c r="H202" s="12" t="str">
        <x:v>JBLOC-0207</x:v>
      </x:c>
      <x:c r="I202" s="12" t="str">
        <x:v>S2023-003</x:v>
      </x:c>
      <x:c r="J202" s="12" t="str">
        <x:v>Taman Sri Bahagia</x:v>
      </x:c>
      <x:c r="K202" s="12" t="str">
        <x:v>Taman Sri Bahagia</x:v>
      </x:c>
      <x:c r="L202" s="12" t="str">
        <x:v>COMMUNITY/AREA</x:v>
      </x:c>
      <x:c r="M202" s="12" t="str">
        <x:v>Flash flood</x:v>
      </x:c>
      <x:c r="N202" s="12" t="str">
        <x:v>B</x:v>
      </x:c>
      <x:c r="O202" s="12" t="str">
        <x:v>SRC_R2023_SINAR_20230214</x:v>
      </x:c>
      <x:c r="P202" s="12"/>
      <x:c r="Q202" s="12" t="n">
        <x:v>103.72822</x:v>
      </x:c>
      <x:c r="R202" s="12" t="n">
        <x:v>1.51083</x:v>
      </x:c>
      <x:c r="S202" s="12" t="str">
        <x:v>YES</x:v>
      </x:c>
      <x:c r="T202" s="12" t="str">
        <x:v>PLOT</x:v>
      </x:c>
      <x:c r="U202" s="12"/>
      <x:c r="V202" s="12" t="str">
        <x:v>POINT_OPEN; POLYGON_OPEN</x:v>
      </x:c>
      <x:c r="W202" s="12" t="str">
        <x:v>https://www.sinarharian.com.my/article/245217/edisi/johor/johor-bahru-dilanda-banjir-kilat</x:v>
      </x:c>
      <x:c r="X202" s="12"/>
    </x:row>
    <x:row r="203">
      <x:c r="A203" s="12" t="str">
        <x:v>FLOC-0132</x:v>
      </x:c>
      <x:c r="B203" s="12" t="str">
        <x:v>Kg. Dato Hajah Hasnah</x:v>
      </x:c>
      <x:c r="C203" s="12" t="str">
        <x:v>YES</x:v>
      </x:c>
      <x:c r="D203" s="12" t="n">
        <x:v>2023</x:v>
      </x:c>
      <x:c r="E203" s="12" t="str">
        <x:v>EVT-JB-2023-004</x:v>
      </x:c>
      <x:c r="F203" s="18" t="n">
        <x:v>44971</x:v>
      </x:c>
      <x:c r="G203" s="12" t="str">
        <x:v>DG-JB-20230214</x:v>
      </x:c>
      <x:c r="H203" s="12" t="str">
        <x:v>JBLOC-0085</x:v>
      </x:c>
      <x:c r="I203" s="12" t="str">
        <x:v>S2023-004</x:v>
      </x:c>
      <x:c r="J203" s="12" t="str">
        <x:v>Kampung Dato Hajah Hasnah Majidee</x:v>
      </x:c>
      <x:c r="K203" s="12" t="str">
        <x:v>Kg. Dato Hajah Hasnah</x:v>
      </x:c>
      <x:c r="L203" s="12" t="str">
        <x:v>COMMUNITY/AREA</x:v>
      </x:c>
      <x:c r="M203" s="12" t="str">
        <x:v>Flash flood</x:v>
      </x:c>
      <x:c r="N203" s="12" t="str">
        <x:v>B</x:v>
      </x:c>
      <x:c r="O203" s="12" t="str">
        <x:v>SRC_R2023_SINAR_20230214</x:v>
      </x:c>
      <x:c r="P203" s="12"/>
      <x:c r="Q203" s="12" t="n">
        <x:v>103.76977282</x:v>
      </x:c>
      <x:c r="R203" s="12" t="n">
        <x:v>1.50468654</x:v>
      </x:c>
      <x:c r="S203" s="12" t="str">
        <x:v>YES</x:v>
      </x:c>
      <x:c r="T203" s="12" t="str">
        <x:v>PLOT</x:v>
      </x:c>
      <x:c r="U203" s="12"/>
      <x:c r="V203" s="12" t="str">
        <x:v>POINT_OPEN; POLYGON_OPEN</x:v>
      </x:c>
      <x:c r="W203" s="12" t="str">
        <x:v>https://www.sinarharian.com.my/article/245217/edisi/johor/johor-bahru-dilanda-banjir-kilat</x:v>
      </x:c>
      <x:c r="X203" s="12"/>
    </x:row>
    <x:row r="204">
      <x:c r="A204" s="12" t="str">
        <x:v>FLOC-0088</x:v>
      </x:c>
      <x:c r="B204" s="12" t="str">
        <x:v>Kampung Kurnia, Johor Bahru</x:v>
      </x:c>
      <x:c r="C204" s="12" t="str">
        <x:v>YES</x:v>
      </x:c>
      <x:c r="D204" s="12" t="n">
        <x:v>2023</x:v>
      </x:c>
      <x:c r="E204" s="12" t="str">
        <x:v>EVT-JB-2023-005</x:v>
      </x:c>
      <x:c r="F204" s="18" t="n">
        <x:v>44971</x:v>
      </x:c>
      <x:c r="G204" s="12" t="str">
        <x:v>DG-JB-20230214</x:v>
      </x:c>
      <x:c r="H204" s="12" t="str">
        <x:v>JBLOC-0092</x:v>
      </x:c>
      <x:c r="I204" s="12" t="str">
        <x:v>S2023-005</x:v>
      </x:c>
      <x:c r="J204" s="12" t="str">
        <x:v>Kampung Kurnia, Larkin</x:v>
      </x:c>
      <x:c r="K204" s="12" t="str">
        <x:v>Kampung Kurnia, Johor Bahru</x:v>
      </x:c>
      <x:c r="L204" s="12" t="str">
        <x:v>COMMUNITY/AREA</x:v>
      </x:c>
      <x:c r="M204" s="12" t="str">
        <x:v>Flash flood</x:v>
      </x:c>
      <x:c r="N204" s="12" t="str">
        <x:v>B</x:v>
      </x:c>
      <x:c r="O204" s="12" t="str">
        <x:v>SRC_R2023_SINAR_20230214</x:v>
      </x:c>
      <x:c r="P204" s="12"/>
      <x:c r="Q204" s="12" t="n">
        <x:v>103.75612</x:v>
      </x:c>
      <x:c r="R204" s="12" t="n">
        <x:v>1.49744</x:v>
      </x:c>
      <x:c r="S204" s="12" t="str">
        <x:v>YES</x:v>
      </x:c>
      <x:c r="T204" s="12" t="str">
        <x:v>PLOT</x:v>
      </x:c>
      <x:c r="U204" s="12"/>
      <x:c r="V204" s="12" t="str">
        <x:v>POINT_OPEN; POLYGON_OPEN</x:v>
      </x:c>
      <x:c r="W204" s="12" t="str">
        <x:v>https://www.sinarharian.com.my/article/245217/edisi/johor/johor-bahru-dilanda-banjir-kilat</x:v>
      </x:c>
      <x:c r="X204" s="12"/>
    </x:row>
    <x:row r="205">
      <x:c r="A205" s="12" t="str">
        <x:v>FLOC-0007</x:v>
      </x:c>
      <x:c r="B205" s="12" t="str">
        <x:v>FELDA / Kampung Cahaya Baru</x:v>
      </x:c>
      <x:c r="C205" s="12" t="str">
        <x:v>YES</x:v>
      </x:c>
      <x:c r="D205" s="12" t="n">
        <x:v>2023</x:v>
      </x:c>
      <x:c r="E205" s="12" t="str">
        <x:v>EVT-JB-2023-006</x:v>
      </x:c>
      <x:c r="F205" s="18" t="n">
        <x:v>44986</x:v>
      </x:c>
      <x:c r="G205" s="12" t="str">
        <x:v>DG-JB-20230228-20230301</x:v>
      </x:c>
      <x:c r="H205" s="12" t="str">
        <x:v>JBLOC-0009</x:v>
      </x:c>
      <x:c r="I205" s="12" t="str">
        <x:v>S2023-006</x:v>
      </x:c>
      <x:c r="J205" s="12" t="str">
        <x:v>Kampung Cahaya Baru Masai</x:v>
      </x:c>
      <x:c r="K205" s="12" t="str">
        <x:v>FELDA / Kampung Cahaya Baru</x:v>
      </x:c>
      <x:c r="L205" s="12" t="str">
        <x:v>COMMUNITY/AREA</x:v>
      </x:c>
      <x:c r="M205" s="12" t="str">
        <x:v>Monsoon/flood</x:v>
      </x:c>
      <x:c r="N205" s="12" t="str">
        <x:v>A/B</x:v>
      </x:c>
      <x:c r="O205" s="12" t="str">
        <x:v>SRC_R2023_KOSMO_20230301</x:v>
      </x:c>
      <x:c r="P205" s="12" t="str">
        <x:v>SRC_R2023_MDJ_20230301</x:v>
      </x:c>
      <x:c r="Q205" s="12" t="n">
        <x:v>103.9308</x:v>
      </x:c>
      <x:c r="R205" s="12" t="n">
        <x:v>1.52768</x:v>
      </x:c>
      <x:c r="S205" s="12" t="str">
        <x:v>YES</x:v>
      </x:c>
      <x:c r="T205" s="12" t="str">
        <x:v>PLOT</x:v>
      </x:c>
      <x:c r="U205" s="12"/>
      <x:c r="V205" s="12" t="str">
        <x:v>POINT_OPEN; POLYGON_OPEN</x:v>
      </x:c>
      <x:c r="W205" s="12" t="str">
        <x:v>https://www.kosmo.com.my/2023/03/01/banjir-johor-1591-mangsa-dipindahkan-di-21-pps/
https://mediadigitaljohor.gov.my/en/mangsa-banjir-4-daerah-dipindahkan-ke-pps/</x:v>
      </x:c>
      <x:c r="X205" s="12" t="str">
        <x:v>Short label 'Kangkar' is not automatically merged to Kangkar Tebrau.</x:v>
      </x:c>
    </x:row>
    <x:row r="206">
      <x:c r="A206" s="12" t="str">
        <x:v>FLOC-0095</x:v>
      </x:c>
      <x:c r="B206" s="12" t="str">
        <x:v>Kampung Pasir Tebrau</x:v>
      </x:c>
      <x:c r="C206" s="12" t="str">
        <x:v>YES</x:v>
      </x:c>
      <x:c r="D206" s="12" t="n">
        <x:v>2023</x:v>
      </x:c>
      <x:c r="E206" s="12" t="str">
        <x:v>EVT-JB-2023-007</x:v>
      </x:c>
      <x:c r="F206" s="18" t="n">
        <x:v>44986</x:v>
      </x:c>
      <x:c r="G206" s="12" t="str">
        <x:v>DG-JB-20230228-20230301</x:v>
      </x:c>
      <x:c r="H206" s="12" t="str">
        <x:v>JBLOC-0107</x:v>
      </x:c>
      <x:c r="I206" s="12" t="str">
        <x:v>S2023-007</x:v>
      </x:c>
      <x:c r="J206" s="12" t="str">
        <x:v>Kampung Pasir Tebrau</x:v>
      </x:c>
      <x:c r="K206" s="12" t="str">
        <x:v>Kampung Pasir Tebrau</x:v>
      </x:c>
      <x:c r="L206" s="12" t="str">
        <x:v>COMMUNITY/AREA</x:v>
      </x:c>
      <x:c r="M206" s="12" t="str">
        <x:v>Monsoon/flood</x:v>
      </x:c>
      <x:c r="N206" s="12" t="str">
        <x:v>A/B</x:v>
      </x:c>
      <x:c r="O206" s="12" t="str">
        <x:v>SRC_R2023_KOSMO_20230301</x:v>
      </x:c>
      <x:c r="P206" s="12" t="str">
        <x:v>SRC_R2023_MDJ_20230301</x:v>
      </x:c>
      <x:c r="Q206" s="12" t="n">
        <x:v>103.74288131</x:v>
      </x:c>
      <x:c r="R206" s="12" t="n">
        <x:v>1.54457461</x:v>
      </x:c>
      <x:c r="S206" s="12" t="str">
        <x:v>YES</x:v>
      </x:c>
      <x:c r="T206" s="12" t="str">
        <x:v>PLOT</x:v>
      </x:c>
      <x:c r="U206" s="12"/>
      <x:c r="V206" s="12" t="str">
        <x:v>POINT_READY; POLYGON_OPEN</x:v>
      </x:c>
      <x:c r="W206" s="12" t="str">
        <x:v>https://www.kosmo.com.my/2023/03/01/banjir-johor-1591-mangsa-dipindahkan-di-21-pps/
https://mediadigitaljohor.gov.my/en/mangsa-banjir-4-daerah-dipindahkan-ke-pps/</x:v>
      </x:c>
      <x:c r="X206" s="12" t="str">
        <x:v>Short label 'Kangkar' is not automatically merged to Kangkar Tebrau.</x:v>
      </x:c>
    </x:row>
    <x:row r="207">
      <x:c r="A207" s="12" t="str">
        <x:v>FLOC-0119</x:v>
      </x:c>
      <x:c r="B207" s="12" t="str">
        <x:v>Kampung Sungai Tiram</x:v>
      </x:c>
      <x:c r="C207" s="12" t="str">
        <x:v>YES</x:v>
      </x:c>
      <x:c r="D207" s="12" t="n">
        <x:v>2023</x:v>
      </x:c>
      <x:c r="E207" s="12" t="str">
        <x:v>EVT-JB-2023-008</x:v>
      </x:c>
      <x:c r="F207" s="18" t="n">
        <x:v>44986</x:v>
      </x:c>
      <x:c r="G207" s="12" t="str">
        <x:v>DG-JB-20230228-20230301</x:v>
      </x:c>
      <x:c r="H207" s="12" t="str">
        <x:v>JBLOC-0141</x:v>
      </x:c>
      <x:c r="I207" s="12" t="str">
        <x:v>S2023-008</x:v>
      </x:c>
      <x:c r="J207" s="12" t="str">
        <x:v>Kampung Sungai Tiram</x:v>
      </x:c>
      <x:c r="K207" s="12" t="str">
        <x:v>Kampung Sungai Tiram</x:v>
      </x:c>
      <x:c r="L207" s="12" t="str">
        <x:v>COMMUNITY/AREA</x:v>
      </x:c>
      <x:c r="M207" s="12" t="str">
        <x:v>Monsoon/flood</x:v>
      </x:c>
      <x:c r="N207" s="12" t="str">
        <x:v>A/B</x:v>
      </x:c>
      <x:c r="O207" s="12" t="str">
        <x:v>SRC_R2023_KOSMO_20230301</x:v>
      </x:c>
      <x:c r="P207" s="12" t="str">
        <x:v>SRC_R2023_MDJ_20230301</x:v>
      </x:c>
      <x:c r="Q207" s="12" t="n">
        <x:v>103.8806315</x:v>
      </x:c>
      <x:c r="R207" s="12" t="n">
        <x:v>1.5843974</x:v>
      </x:c>
      <x:c r="S207" s="12" t="str">
        <x:v>YES</x:v>
      </x:c>
      <x:c r="T207" s="12" t="str">
        <x:v>PLOT</x:v>
      </x:c>
      <x:c r="U207" s="12"/>
      <x:c r="V207" s="12" t="str">
        <x:v>POINT_READY; POLYGON_OPEN</x:v>
      </x:c>
      <x:c r="W207" s="12" t="str">
        <x:v>https://www.kosmo.com.my/2023/03/01/banjir-johor-1591-mangsa-dipindahkan-di-21-pps/
https://mediadigitaljohor.gov.my/en/mangsa-banjir-4-daerah-dipindahkan-ke-pps/</x:v>
      </x:c>
      <x:c r="X207" s="12" t="str">
        <x:v>Short label 'Kangkar' is not automatically merged to Kangkar Tebrau.</x:v>
      </x:c>
    </x:row>
    <x:row r="208">
      <x:c r="A208" s="12" t="str">
        <x:v>FLOC-0098</x:v>
      </x:c>
      <x:c r="B208" s="12" t="str">
        <x:v>Kampung Paya Kenangan</x:v>
      </x:c>
      <x:c r="C208" s="12" t="str">
        <x:v>YES</x:v>
      </x:c>
      <x:c r="D208" s="12" t="n">
        <x:v>2023</x:v>
      </x:c>
      <x:c r="E208" s="12" t="str">
        <x:v>EVT-JB-2023-009</x:v>
      </x:c>
      <x:c r="F208" s="18" t="n">
        <x:v>44986</x:v>
      </x:c>
      <x:c r="G208" s="12" t="str">
        <x:v>DG-JB-20230228-20230301</x:v>
      </x:c>
      <x:c r="H208" s="12" t="str">
        <x:v>JBLOC-0110</x:v>
      </x:c>
      <x:c r="I208" s="12" t="str">
        <x:v>S2023-009</x:v>
      </x:c>
      <x:c r="J208" s="12" t="str">
        <x:v>Kampung Paya Kenangan</x:v>
      </x:c>
      <x:c r="K208" s="12" t="str">
        <x:v>Kampung Paya Kenangan</x:v>
      </x:c>
      <x:c r="L208" s="12" t="str">
        <x:v>COMMUNITY/AREA</x:v>
      </x:c>
      <x:c r="M208" s="12" t="str">
        <x:v>Monsoon/flood</x:v>
      </x:c>
      <x:c r="N208" s="12" t="str">
        <x:v>A/B</x:v>
      </x:c>
      <x:c r="O208" s="12" t="str">
        <x:v>SRC_R2023_KOSMO_20230301</x:v>
      </x:c>
      <x:c r="P208" s="12" t="str">
        <x:v>SRC_R2023_MDJ_20230301</x:v>
      </x:c>
      <x:c r="Q208" s="12" t="n">
        <x:v>103.74961954</x:v>
      </x:c>
      <x:c r="R208" s="12" t="n">
        <x:v>1.5403203</x:v>
      </x:c>
      <x:c r="S208" s="12" t="str">
        <x:v>YES</x:v>
      </x:c>
      <x:c r="T208" s="12" t="str">
        <x:v>PLOT</x:v>
      </x:c>
      <x:c r="U208" s="12"/>
      <x:c r="V208" s="12" t="str">
        <x:v>POINT_READY; POLYGON_OPEN</x:v>
      </x:c>
      <x:c r="W208" s="12" t="str">
        <x:v>https://www.kosmo.com.my/2023/03/01/banjir-johor-1591-mangsa-dipindahkan-di-21-pps/
https://mediadigitaljohor.gov.my/en/mangsa-banjir-4-daerah-dipindahkan-ke-pps/</x:v>
      </x:c>
      <x:c r="X208" s="12" t="str">
        <x:v>Short label 'Kangkar' is not automatically merged to Kangkar Tebrau.</x:v>
      </x:c>
    </x:row>
    <x:row r="209">
      <x:c r="A209" s="12" t="str">
        <x:v>FLOC-0127</x:v>
      </x:c>
      <x:c r="B209" s="12" t="str">
        <x:v>Kangkar (source-short-name)</x:v>
      </x:c>
      <x:c r="C209" s="12" t="str">
        <x:v>YES</x:v>
      </x:c>
      <x:c r="D209" s="12" t="n">
        <x:v>2023</x:v>
      </x:c>
      <x:c r="E209" s="12" t="str">
        <x:v>EVT-JB-2023-010</x:v>
      </x:c>
      <x:c r="F209" s="18" t="n">
        <x:v>44986</x:v>
      </x:c>
      <x:c r="G209" s="12" t="str">
        <x:v>DG-JB-20230228-20230301</x:v>
      </x:c>
      <x:c r="H209" s="12" t="str">
        <x:v>JBLOC-0150</x:v>
      </x:c>
      <x:c r="I209" s="12" t="str">
        <x:v>S2023-010</x:v>
      </x:c>
      <x:c r="J209" s="12" t="str">
        <x:v>Kangkar</x:v>
      </x:c>
      <x:c r="K209" s="12" t="str">
        <x:v>Kangkar (source-short-name)</x:v>
      </x:c>
      <x:c r="L209" s="12" t="str">
        <x:v>COMMUNITY/AREA</x:v>
      </x:c>
      <x:c r="M209" s="12" t="str">
        <x:v>Monsoon/flood</x:v>
      </x:c>
      <x:c r="N209" s="12" t="str">
        <x:v>A/B</x:v>
      </x:c>
      <x:c r="O209" s="12" t="str">
        <x:v>SRC_R2023_KOSMO_20230301</x:v>
      </x:c>
      <x:c r="P209" s="12" t="str">
        <x:v>SRC_R2023_MDJ_20230301</x:v>
      </x:c>
      <x:c r="Q209" s="12"/>
      <x:c r="R209" s="12"/>
      <x:c r="S209" s="12" t="str">
        <x:v>NO</x:v>
      </x:c>
      <x:c r="T209" s="12" t="str">
        <x:v>DO NOT PLOT</x:v>
      </x:c>
      <x:c r="U209" s="12"/>
      <x:c r="V209" s="12" t="str">
        <x:v>IDENTITY_AMBIGUOUS; POINT_OPEN</x:v>
      </x:c>
      <x:c r="W209" s="12" t="str">
        <x:v>https://www.kosmo.com.my/2023/03/01/banjir-johor-1591-mangsa-dipindahkan-di-21-pps/
https://mediadigitaljohor.gov.my/en/mangsa-banjir-4-daerah-dipindahkan-ke-pps/</x:v>
      </x:c>
      <x:c r="X209" s="12" t="str">
        <x:v>Short label 'Kangkar' is not automatically merged to Kangkar Tebrau.</x:v>
      </x:c>
    </x:row>
    <x:row r="210">
      <x:c r="A210" s="12" t="str">
        <x:v>FLOC-0149</x:v>
      </x:c>
      <x:c r="B210" s="12" t="str">
        <x:v>Lorong Mak Piah, Kampung Sungai Tiram</x:v>
      </x:c>
      <x:c r="C210" s="12" t="str">
        <x:v>YES</x:v>
      </x:c>
      <x:c r="D210" s="12" t="n">
        <x:v>2023</x:v>
      </x:c>
      <x:c r="E210" s="12" t="str">
        <x:v>EVT-JB-2023-011</x:v>
      </x:c>
      <x:c r="F210" s="18" t="n">
        <x:v>45231</x:v>
      </x:c>
      <x:c r="G210" s="12" t="str">
        <x:v>DG-JB-20231101</x:v>
      </x:c>
      <x:c r="H210" s="12" t="str">
        <x:v>JBLOC-0165</x:v>
      </x:c>
      <x:c r="I210" s="12" t="str">
        <x:v>S2023-011</x:v>
      </x:c>
      <x:c r="J210" s="12" t="str">
        <x:v>Lorong Mak Piah, Kampung Sungai Tiram</x:v>
      </x:c>
      <x:c r="K210" s="12" t="str">
        <x:v>Lorong Mak Piah, Kampung Sungai Tiram</x:v>
      </x:c>
      <x:c r="L210" s="12" t="str">
        <x:v>ROAD/SUBAREA</x:v>
      </x:c>
      <x:c r="M210" s="12" t="str">
        <x:v>Flash flood</x:v>
      </x:c>
      <x:c r="N210" s="12" t="str">
        <x:v>A/B</x:v>
      </x:c>
      <x:c r="O210" s="12" t="str">
        <x:v>SRC_R2023_BERNAMA_20231102</x:v>
      </x:c>
      <x:c r="P210" s="12" t="str">
        <x:v>SRC_R2023_RTM_20231102</x:v>
      </x:c>
      <x:c r="Q210" s="12"/>
      <x:c r="R210" s="12"/>
      <x:c r="S210" s="12" t="str">
        <x:v>NO</x:v>
      </x:c>
      <x:c r="T210" s="12" t="str">
        <x:v>DO NOT PLOT</x:v>
      </x:c>
      <x:c r="U210" s="12"/>
      <x:c r="V210" s="12" t="str">
        <x:v>ROAD_SEGMENT_OPEN</x:v>
      </x:c>
      <x:c r="W210" s="12" t="str">
        <x:v>https://bernama.com/bm/news.php?id=2240734
https://berita.rtm.gov.my/nasional/senarai-berita-nasional/senarai-artikel/banjir-kilat-di-johor-satu-pps-dibuka/</x:v>
      </x:c>
      <x:c r="X210" s="12" t="str">
        <x:v>One-metre flood depth reported; blockage at nearby bridge cited.</x:v>
      </x:c>
    </x:row>
    <x:row r="211">
      <x:c r="A211" s="12" t="str">
        <x:v>FLOC-0136</x:v>
      </x:c>
      <x:c r="B211" s="12" t="str">
        <x:v>Kg. Sentosa Damai</x:v>
      </x:c>
      <x:c r="C211" s="12" t="str">
        <x:v>YES</x:v>
      </x:c>
      <x:c r="D211" s="12" t="n">
        <x:v>2023</x:v>
      </x:c>
      <x:c r="E211" s="12" t="str">
        <x:v>EVT-JB-2023-012</x:v>
      </x:c>
      <x:c r="F211" s="18" t="n">
        <x:v>45242</x:v>
      </x:c>
      <x:c r="G211" s="12" t="str">
        <x:v>DG-JB-20231112</x:v>
      </x:c>
      <x:c r="H211" s="12" t="str">
        <x:v>JBLOC-0124</x:v>
      </x:c>
      <x:c r="I211" s="12" t="str">
        <x:v>S2023-012</x:v>
      </x:c>
      <x:c r="J211" s="12" t="str">
        <x:v>Kampung Sentosa Damai</x:v>
      </x:c>
      <x:c r="K211" s="12" t="str">
        <x:v>Kg. Sentosa Damai</x:v>
      </x:c>
      <x:c r="L211" s="12" t="str">
        <x:v>COMMUNITY/AREA</x:v>
      </x:c>
      <x:c r="M211" s="12" t="str">
        <x:v>Flash flood</x:v>
      </x:c>
      <x:c r="N211" s="12" t="str">
        <x:v>B</x:v>
      </x:c>
      <x:c r="O211" s="12" t="str">
        <x:v>SRC_R2023_RTM_20231112</x:v>
      </x:c>
      <x:c r="P211" s="12"/>
      <x:c r="Q211" s="12" t="n">
        <x:v>103.93562865</x:v>
      </x:c>
      <x:c r="R211" s="12" t="n">
        <x:v>1.52139605</x:v>
      </x:c>
      <x:c r="S211" s="12" t="str">
        <x:v>YES</x:v>
      </x:c>
      <x:c r="T211" s="12" t="str">
        <x:v>PLOT</x:v>
      </x:c>
      <x:c r="U211" s="12"/>
      <x:c r="V211" s="12" t="str">
        <x:v>POINT_OPEN; POLYGON_OPEN</x:v>
      </x:c>
      <x:c r="W211" s="12" t="str">
        <x:v>https://berita.rtm.gov.my/nasional/senarai-berita-nasional/senarai-artikel/banjir-kilat-di-johor-10-mangsa-terjejas/</x:v>
      </x:c>
      <x:c r="X211" s="12" t="str">
        <x:v>10 victims from two families; water reported about three feet.</x:v>
      </x:c>
    </x:row>
    <x:row r="212">
      <x:c r="A212" s="12" t="str">
        <x:v>FLOC-0136</x:v>
      </x:c>
      <x:c r="B212" s="12" t="str">
        <x:v>Kg. Sentosa Damai</x:v>
      </x:c>
      <x:c r="C212" s="12" t="str">
        <x:v>YES</x:v>
      </x:c>
      <x:c r="D212" s="12" t="n">
        <x:v>2023</x:v>
      </x:c>
      <x:c r="E212" s="12" t="str">
        <x:v>EVT-JB-2023-013</x:v>
      </x:c>
      <x:c r="F212" s="18" t="n">
        <x:v>45245</x:v>
      </x:c>
      <x:c r="G212" s="12" t="str">
        <x:v>DG-JB-20231115</x:v>
      </x:c>
      <x:c r="H212" s="12" t="str">
        <x:v>JBLOC-0124</x:v>
      </x:c>
      <x:c r="I212" s="12" t="str">
        <x:v>S2023-012</x:v>
      </x:c>
      <x:c r="J212" s="12" t="str">
        <x:v>Kampung Sentosa Damai</x:v>
      </x:c>
      <x:c r="K212" s="12" t="str">
        <x:v>Kg. Sentosa Damai</x:v>
      </x:c>
      <x:c r="L212" s="12" t="str">
        <x:v>COMMUNITY/AREA</x:v>
      </x:c>
      <x:c r="M212" s="12" t="str">
        <x:v>Flash flood</x:v>
      </x:c>
      <x:c r="N212" s="12" t="str">
        <x:v>B</x:v>
      </x:c>
      <x:c r="O212" s="12" t="str">
        <x:v>SRC_R2023_RTM_20231115</x:v>
      </x:c>
      <x:c r="P212" s="12"/>
      <x:c r="Q212" s="12" t="n">
        <x:v>103.93562865</x:v>
      </x:c>
      <x:c r="R212" s="12" t="n">
        <x:v>1.52139605</x:v>
      </x:c>
      <x:c r="S212" s="12" t="str">
        <x:v>YES</x:v>
      </x:c>
      <x:c r="T212" s="12" t="str">
        <x:v>PLOT</x:v>
      </x:c>
      <x:c r="U212" s="12"/>
      <x:c r="V212" s="12" t="str">
        <x:v>POINT_OPEN; POLYGON_OPEN</x:v>
      </x:c>
      <x:c r="W212" s="12" t="str">
        <x:v>https://berita.rtm.gov.my/nasional/senarai-berita-nasional/senarai-artikel/kampung-sentosa-damai-pasir-gudang-dilanda-banjir-kilat/</x:v>
      </x:c>
      <x:c r="X212" s="12" t="str">
        <x:v>Separate same-location recurrence at about 4:30 pm; 25 other houses also affected.</x:v>
      </x:c>
    </x:row>
    <x:row r="213">
      <x:c r="A213" s="12" t="str">
        <x:v>FLOC-0098</x:v>
      </x:c>
      <x:c r="B213" s="12" t="str">
        <x:v>Kampung Paya Kenangan</x:v>
      </x:c>
      <x:c r="C213" s="12" t="str">
        <x:v>YES</x:v>
      </x:c>
      <x:c r="D213" s="12" t="n">
        <x:v>2023</x:v>
      </x:c>
      <x:c r="E213" s="12" t="str">
        <x:v>EVT-JB-2023-014</x:v>
      </x:c>
      <x:c r="F213" s="18" t="n">
        <x:v>45261</x:v>
      </x:c>
      <x:c r="G213" s="12" t="str">
        <x:v>DG-JB-20231201</x:v>
      </x:c>
      <x:c r="H213" s="12" t="str">
        <x:v>JBLOC-0110</x:v>
      </x:c>
      <x:c r="I213" s="12" t="str">
        <x:v>S2023-009</x:v>
      </x:c>
      <x:c r="J213" s="12" t="str">
        <x:v>Kampung Paya Kenangan</x:v>
      </x:c>
      <x:c r="K213" s="12" t="str">
        <x:v>Kampung Paya Kenangan</x:v>
      </x:c>
      <x:c r="L213" s="12" t="str">
        <x:v>COMMUNITY/AREA</x:v>
      </x:c>
      <x:c r="M213" s="12" t="str">
        <x:v>Flash flood</x:v>
      </x:c>
      <x:c r="N213" s="12" t="str">
        <x:v>A/B</x:v>
      </x:c>
      <x:c r="O213" s="12" t="str">
        <x:v>SRC_R2023_FMT_BERNAMA_20231201</x:v>
      </x:c>
      <x:c r="P213" s="12" t="str">
        <x:v>SRC_R2023_RTM_20231201</x:v>
      </x:c>
      <x:c r="Q213" s="12" t="n">
        <x:v>103.74961954</x:v>
      </x:c>
      <x:c r="R213" s="12" t="n">
        <x:v>1.5403203</x:v>
      </x:c>
      <x:c r="S213" s="12" t="str">
        <x:v>YES</x:v>
      </x:c>
      <x:c r="T213" s="12" t="str">
        <x:v>PLOT</x:v>
      </x:c>
      <x:c r="U213" s="12"/>
      <x:c r="V213" s="12" t="str">
        <x:v>POINT_READY; POLYGON_OPEN</x:v>
      </x:c>
      <x:c r="W213" s="12" t="str">
        <x:v>https://www.freemalaysiatoday.com/category/nation/2023/12/01/5-villages-in-johor-hit-by-flash-floods
https://berita.rtm.gov.my/nasional/senarai-berita-nasional/senarai-artikel/banjir-di-johor-463-penduduk-terjejas-banjir-tak-sempat-kemas-barang-air-naik-mendadak/</x:v>
      </x:c>
      <x:c r="X213" s="12"/>
    </x:row>
    <x:row r="214">
      <x:c r="A214" s="12" t="str">
        <x:v>FLOC-0095</x:v>
      </x:c>
      <x:c r="B214" s="12" t="str">
        <x:v>Kampung Pasir Tebrau</x:v>
      </x:c>
      <x:c r="C214" s="12" t="str">
        <x:v>YES</x:v>
      </x:c>
      <x:c r="D214" s="12" t="n">
        <x:v>2023</x:v>
      </x:c>
      <x:c r="E214" s="12" t="str">
        <x:v>EVT-JB-2023-015</x:v>
      </x:c>
      <x:c r="F214" s="18" t="n">
        <x:v>45261</x:v>
      </x:c>
      <x:c r="G214" s="12" t="str">
        <x:v>DG-JB-20231201</x:v>
      </x:c>
      <x:c r="H214" s="12" t="str">
        <x:v>JBLOC-0107</x:v>
      </x:c>
      <x:c r="I214" s="12" t="str">
        <x:v>S2023-007</x:v>
      </x:c>
      <x:c r="J214" s="12" t="str">
        <x:v>Kampung Pasir Tebrau</x:v>
      </x:c>
      <x:c r="K214" s="12" t="str">
        <x:v>Kampung Pasir Tebrau</x:v>
      </x:c>
      <x:c r="L214" s="12" t="str">
        <x:v>COMMUNITY/AREA</x:v>
      </x:c>
      <x:c r="M214" s="12" t="str">
        <x:v>Flash flood</x:v>
      </x:c>
      <x:c r="N214" s="12" t="str">
        <x:v>A/B</x:v>
      </x:c>
      <x:c r="O214" s="12" t="str">
        <x:v>SRC_R2023_FMT_BERNAMA_20231201</x:v>
      </x:c>
      <x:c r="P214" s="12"/>
      <x:c r="Q214" s="12" t="n">
        <x:v>103.74288131</x:v>
      </x:c>
      <x:c r="R214" s="12" t="n">
        <x:v>1.54457461</x:v>
      </x:c>
      <x:c r="S214" s="12" t="str">
        <x:v>YES</x:v>
      </x:c>
      <x:c r="T214" s="12" t="str">
        <x:v>PLOT</x:v>
      </x:c>
      <x:c r="U214" s="12"/>
      <x:c r="V214" s="12" t="str">
        <x:v>POINT_READY; POLYGON_OPEN</x:v>
      </x:c>
      <x:c r="W214" s="12" t="str">
        <x:v>https://www.freemalaysiatoday.com/category/nation/2023/12/01/5-villages-in-johor-hit-by-flash-floods</x:v>
      </x:c>
      <x:c r="X214" s="12"/>
    </x:row>
    <x:row r="215">
      <x:c r="A215" s="12" t="str">
        <x:v>FLOC-0086</x:v>
      </x:c>
      <x:c r="B215" s="12" t="str">
        <x:v>Kampung Kangkar Tebrau</x:v>
      </x:c>
      <x:c r="C215" s="12" t="str">
        <x:v>YES</x:v>
      </x:c>
      <x:c r="D215" s="12" t="n">
        <x:v>2023</x:v>
      </x:c>
      <x:c r="E215" s="12" t="str">
        <x:v>EVT-JB-2023-016</x:v>
      </x:c>
      <x:c r="F215" s="18" t="n">
        <x:v>45261</x:v>
      </x:c>
      <x:c r="G215" s="12" t="str">
        <x:v>DG-JB-20231201</x:v>
      </x:c>
      <x:c r="H215" s="12" t="str">
        <x:v>JBLOC-0090</x:v>
      </x:c>
      <x:c r="I215" s="12" t="str">
        <x:v>S2023-013</x:v>
      </x:c>
      <x:c r="J215" s="12" t="str">
        <x:v>Kampung Kangkar Tebrau</x:v>
      </x:c>
      <x:c r="K215" s="12" t="str">
        <x:v>Kampung Kangkar Tebrau</x:v>
      </x:c>
      <x:c r="L215" s="12" t="str">
        <x:v>COMMUNITY/AREA</x:v>
      </x:c>
      <x:c r="M215" s="12" t="str">
        <x:v>Flash flood</x:v>
      </x:c>
      <x:c r="N215" s="12" t="str">
        <x:v>A/B</x:v>
      </x:c>
      <x:c r="O215" s="12" t="str">
        <x:v>SRC_R2023_FMT_BERNAMA_20231201</x:v>
      </x:c>
      <x:c r="P215" s="12"/>
      <x:c r="Q215" s="12" t="n">
        <x:v>103.75589</x:v>
      </x:c>
      <x:c r="R215" s="12" t="n">
        <x:v>1.53176</x:v>
      </x:c>
      <x:c r="S215" s="12" t="str">
        <x:v>YES</x:v>
      </x:c>
      <x:c r="T215" s="12" t="str">
        <x:v>PLOT</x:v>
      </x:c>
      <x:c r="U215" s="12" t="str">
        <x:v>PG2017-KANGKAR-TEBRAU</x:v>
      </x:c>
      <x:c r="V215" s="12" t="str">
        <x:v>REUSED_CLOSED</x:v>
      </x:c>
      <x:c r="W215" s="12" t="str">
        <x:v>https://www.freemalaysiatoday.com/category/nation/2023/12/01/5-villages-in-johor-hit-by-flash-floods</x:v>
      </x:c>
      <x:c r="X215" s="12"/>
    </x:row>
    <x:row r="216">
      <x:c r="A216" s="12" t="str">
        <x:v>FLOC-0136</x:v>
      </x:c>
      <x:c r="B216" s="12" t="str">
        <x:v>Kg. Sentosa Damai</x:v>
      </x:c>
      <x:c r="C216" s="12" t="str">
        <x:v>YES</x:v>
      </x:c>
      <x:c r="D216" s="12" t="n">
        <x:v>2023</x:v>
      </x:c>
      <x:c r="E216" s="12" t="str">
        <x:v>EVT-JB-2023-017</x:v>
      </x:c>
      <x:c r="F216" s="18" t="n">
        <x:v>45261</x:v>
      </x:c>
      <x:c r="G216" s="12" t="str">
        <x:v>DG-JB-20231201</x:v>
      </x:c>
      <x:c r="H216" s="12" t="str">
        <x:v>JBLOC-0124</x:v>
      </x:c>
      <x:c r="I216" s="12" t="str">
        <x:v>S2023-012</x:v>
      </x:c>
      <x:c r="J216" s="12" t="str">
        <x:v>Kampung Sentosa Damai</x:v>
      </x:c>
      <x:c r="K216" s="12" t="str">
        <x:v>Kg. Sentosa Damai</x:v>
      </x:c>
      <x:c r="L216" s="12" t="str">
        <x:v>COMMUNITY/AREA</x:v>
      </x:c>
      <x:c r="M216" s="12" t="str">
        <x:v>Flash flood</x:v>
      </x:c>
      <x:c r="N216" s="12" t="str">
        <x:v>A/B</x:v>
      </x:c>
      <x:c r="O216" s="12" t="str">
        <x:v>SRC_R2023_FMT_BERNAMA_20231201</x:v>
      </x:c>
      <x:c r="P216" s="12" t="str">
        <x:v>SRC_R2023_RTM_20231201</x:v>
      </x:c>
      <x:c r="Q216" s="12" t="n">
        <x:v>103.93562865</x:v>
      </x:c>
      <x:c r="R216" s="12" t="n">
        <x:v>1.52139605</x:v>
      </x:c>
      <x:c r="S216" s="12" t="str">
        <x:v>YES</x:v>
      </x:c>
      <x:c r="T216" s="12" t="str">
        <x:v>PLOT</x:v>
      </x:c>
      <x:c r="U216" s="12"/>
      <x:c r="V216" s="12" t="str">
        <x:v>POINT_OPEN; POLYGON_OPEN</x:v>
      </x:c>
      <x:c r="W216" s="12" t="str">
        <x:v>https://www.freemalaysiatoday.com/category/nation/2023/12/01/5-villages-in-johor-hit-by-flash-floods
https://berita.rtm.gov.my/nasional/senarai-berita-nasional/senarai-artikel/banjir-di-johor-463-penduduk-terjejas-banjir-tak-sempat-kemas-barang-air-naik-mendadak/</x:v>
      </x:c>
      <x:c r="X216" s="12"/>
    </x:row>
    <x:row r="217">
      <x:c r="A217" s="12" t="str">
        <x:v>FLOC-0135</x:v>
      </x:c>
      <x:c r="B217" s="12" t="str">
        <x:v>Kg. Sentosa Barat</x:v>
      </x:c>
      <x:c r="C217" s="12" t="str">
        <x:v>YES</x:v>
      </x:c>
      <x:c r="D217" s="12" t="n">
        <x:v>2023</x:v>
      </x:c>
      <x:c r="E217" s="12" t="str">
        <x:v>EVT-JB-2023-018</x:v>
      </x:c>
      <x:c r="F217" s="18" t="n">
        <x:v>45261</x:v>
      </x:c>
      <x:c r="G217" s="12" t="str">
        <x:v>DG-JB-20231201</x:v>
      </x:c>
      <x:c r="H217" s="12" t="str">
        <x:v>JBLOC-0123</x:v>
      </x:c>
      <x:c r="I217" s="12" t="str">
        <x:v>S2023-014</x:v>
      </x:c>
      <x:c r="J217" s="12" t="str">
        <x:v>Kampung Sentosa Barat</x:v>
      </x:c>
      <x:c r="K217" s="12" t="str">
        <x:v>Kg. Sentosa Barat</x:v>
      </x:c>
      <x:c r="L217" s="12" t="str">
        <x:v>COMMUNITY/AREA</x:v>
      </x:c>
      <x:c r="M217" s="12" t="str">
        <x:v>Flash flood</x:v>
      </x:c>
      <x:c r="N217" s="12" t="str">
        <x:v>A/B</x:v>
      </x:c>
      <x:c r="O217" s="12" t="str">
        <x:v>SRC_R2023_FMT_BERNAMA_20231201</x:v>
      </x:c>
      <x:c r="P217" s="12"/>
      <x:c r="Q217" s="12" t="n">
        <x:v>103.92185516</x:v>
      </x:c>
      <x:c r="R217" s="12" t="n">
        <x:v>1.52194889</x:v>
      </x:c>
      <x:c r="S217" s="12" t="str">
        <x:v>YES</x:v>
      </x:c>
      <x:c r="T217" s="12" t="str">
        <x:v>PLOT</x:v>
      </x:c>
      <x:c r="U217" s="12"/>
      <x:c r="V217" s="12" t="str">
        <x:v>POINT_OPEN; POLYGON_OPEN</x:v>
      </x:c>
      <x:c r="W217" s="12" t="str">
        <x:v>https://www.freemalaysiatoday.com/category/nation/2023/12/01/5-villages-in-johor-hit-by-flash-floods</x:v>
      </x:c>
      <x:c r="X217" s="12"/>
    </x:row>
    <x:row r="218">
      <x:c r="A218" s="12" t="str">
        <x:v>FLOC-0137</x:v>
      </x:c>
      <x:c r="B218" s="12" t="str">
        <x:v>Kg. Seri Aman / Batu Pulai</x:v>
      </x:c>
      <x:c r="C218" s="12" t="str">
        <x:v>YES</x:v>
      </x:c>
      <x:c r="D218" s="12" t="n">
        <x:v>2023</x:v>
      </x:c>
      <x:c r="E218" s="12" t="str">
        <x:v>EVT-JB-2023-019</x:v>
      </x:c>
      <x:c r="F218" s="18" t="n">
        <x:v>45261</x:v>
      </x:c>
      <x:c r="G218" s="12" t="str">
        <x:v>DG-JB-20231201</x:v>
      </x:c>
      <x:c r="H218" s="12" t="str">
        <x:v>JBLOC-0126</x:v>
      </x:c>
      <x:c r="I218" s="12" t="str">
        <x:v>S2023-015</x:v>
      </x:c>
      <x:c r="J218" s="12" t="str">
        <x:v>Kampung Bukit Pulai</x:v>
      </x:c>
      <x:c r="K218" s="12" t="str">
        <x:v>Kg. Seri Aman / Batu Pulai</x:v>
      </x:c>
      <x:c r="L218" s="12" t="str">
        <x:v>COMMUNITY/AREA</x:v>
      </x:c>
      <x:c r="M218" s="12" t="str">
        <x:v>Flash flood</x:v>
      </x:c>
      <x:c r="N218" s="12" t="str">
        <x:v>A/B</x:v>
      </x:c>
      <x:c r="O218" s="12" t="str">
        <x:v>SRC_R2023_RTM_20231201</x:v>
      </x:c>
      <x:c r="P218" s="12" t="str">
        <x:v>SRC_R2023_KOSMO_20231201</x:v>
      </x:c>
      <x:c r="Q218" s="12" t="n">
        <x:v>103.9404605</x:v>
      </x:c>
      <x:c r="R218" s="12" t="n">
        <x:v>1.47435541</x:v>
      </x:c>
      <x:c r="S218" s="12" t="str">
        <x:v>YES</x:v>
      </x:c>
      <x:c r="T218" s="12" t="str">
        <x:v>PLOT</x:v>
      </x:c>
      <x:c r="U218" s="12"/>
      <x:c r="V218" s="12" t="str">
        <x:v>POINT_OPEN; POLYGON_OPEN</x:v>
      </x:c>
      <x:c r="W218" s="12" t="str">
        <x:v>https://berita.rtm.gov.my/nasional/senarai-berita-nasional/senarai-artikel/banjir-di-johor-463-penduduk-terjejas-banjir-tak-sempat-kemas-barang-air-naik-mendadak/
https://www.kosmo.com.my/2023/12/01/banjir-74-termasuk-tiga-bayi-dipindahkan-ke-pps-di-johor/</x:v>
      </x:c>
      <x:c r="X218" s="12"/>
    </x:row>
    <x:row r="219">
      <x:c r="A219" s="12" t="str">
        <x:v>FLOC-0173</x:v>
      </x:c>
      <x:c r="B219" s="12" t="str">
        <x:v>Taman Bunga Ros</x:v>
      </x:c>
      <x:c r="C219" s="12" t="str">
        <x:v>YES</x:v>
      </x:c>
      <x:c r="D219" s="12" t="n">
        <x:v>2023</x:v>
      </x:c>
      <x:c r="E219" s="12" t="str">
        <x:v>EVT-JB-2023-020</x:v>
      </x:c>
      <x:c r="F219" s="18" t="n">
        <x:v>45261</x:v>
      </x:c>
      <x:c r="G219" s="12" t="str">
        <x:v>DG-JB-20231201</x:v>
      </x:c>
      <x:c r="H219" s="12" t="str">
        <x:v>JBLOC-0189</x:v>
      </x:c>
      <x:c r="I219" s="12" t="str">
        <x:v>S2023-016</x:v>
      </x:c>
      <x:c r="J219" s="12" t="str">
        <x:v>Taman Bunga Ros</x:v>
      </x:c>
      <x:c r="K219" s="12" t="str">
        <x:v>Taman Bunga Ros</x:v>
      </x:c>
      <x:c r="L219" s="12" t="str">
        <x:v>COMMUNITY/AREA</x:v>
      </x:c>
      <x:c r="M219" s="12" t="str">
        <x:v>Flash flood</x:v>
      </x:c>
      <x:c r="N219" s="12" t="str">
        <x:v>A/B</x:v>
      </x:c>
      <x:c r="O219" s="12" t="str">
        <x:v>SRC_R2023_RTM_20231201</x:v>
      </x:c>
      <x:c r="P219" s="12" t="str">
        <x:v>SRC_R2023_PDRM_20231201</x:v>
      </x:c>
      <x:c r="Q219" s="12" t="n">
        <x:v>103.8206509</x:v>
      </x:c>
      <x:c r="R219" s="12" t="n">
        <x:v>1.5212749</x:v>
      </x:c>
      <x:c r="S219" s="12" t="str">
        <x:v>YES</x:v>
      </x:c>
      <x:c r="T219" s="12" t="str">
        <x:v>PLOT</x:v>
      </x:c>
      <x:c r="U219" s="12"/>
      <x:c r="V219" s="12" t="str">
        <x:v>POINT_READY; POLYGON_OPEN</x:v>
      </x:c>
      <x:c r="W219" s="12" t="str">
        <x:v>https://berita.rtm.gov.my/nasional/senarai-berita-nasional/senarai-artikel/banjir-di-johor-463-penduduk-terjejas-banjir-tak-sempat-kemas-barang-air-naik-mendadak/
https://www.rmp.gov.my/arkib-berita/berita/2023/12/01/opbanjir-pdrm-bersama-jbpm-pindahkan-warga-kampung-terjejas-banjir-ke-pps</x:v>
      </x:c>
      <x:c r="X219" s="12"/>
    </x:row>
    <x:row r="220">
      <x:c r="A220" s="12" t="str">
        <x:v>FLOC-0032</x:v>
      </x:c>
      <x:c r="B220" s="12" t="str">
        <x:v>Jalan Kangkar Tebrau</x:v>
      </x:c>
      <x:c r="C220" s="12" t="str">
        <x:v>YES</x:v>
      </x:c>
      <x:c r="D220" s="12" t="n">
        <x:v>2023</x:v>
      </x:c>
      <x:c r="E220" s="12" t="str">
        <x:v>EVT-JB-2023-021</x:v>
      </x:c>
      <x:c r="F220" s="18" t="n">
        <x:v>45261</x:v>
      </x:c>
      <x:c r="G220" s="12" t="str">
        <x:v>DG-JB-20231201</x:v>
      </x:c>
      <x:c r="H220" s="12" t="str">
        <x:v>JBLOC-0034</x:v>
      </x:c>
      <x:c r="I220" s="12" t="str">
        <x:v>S2023-017</x:v>
      </x:c>
      <x:c r="J220" s="12" t="str">
        <x:v>Jalan Kangkar Tebrau</x:v>
      </x:c>
      <x:c r="K220" s="12" t="str">
        <x:v>Jalan Kangkar Tebrau</x:v>
      </x:c>
      <x:c r="L220" s="12" t="str">
        <x:v>ROAD</x:v>
      </x:c>
      <x:c r="M220" s="12" t="str">
        <x:v>Flash flood</x:v>
      </x:c>
      <x:c r="N220" s="12" t="str">
        <x:v>A/B</x:v>
      </x:c>
      <x:c r="O220" s="12" t="str">
        <x:v>SRC_R2023_RTM_20231201</x:v>
      </x:c>
      <x:c r="P220" s="12" t="str">
        <x:v>SRC_R2023_KOSMO_20231201</x:v>
      </x:c>
      <x:c r="Q220" s="12" t="n">
        <x:v>103.7648053</x:v>
      </x:c>
      <x:c r="R220" s="12" t="n">
        <x:v>1.531945</x:v>
      </x:c>
      <x:c r="S220" s="12" t="str">
        <x:v>YES</x:v>
      </x:c>
      <x:c r="T220" s="12" t="str">
        <x:v>PLOT</x:v>
      </x:c>
      <x:c r="U220" s="12"/>
      <x:c r="V220" s="12" t="str">
        <x:v>ROAD_SEGMENT_OPEN</x:v>
      </x:c>
      <x:c r="W220" s="12" t="str">
        <x:v>https://berita.rtm.gov.my/nasional/senarai-berita-nasional/senarai-artikel/banjir-di-johor-463-penduduk-terjejas-banjir-tak-sempat-kemas-barang-air-naik-mendadak/
https://www.kosmo.com.my/2023/12/01/banjir-74-termasuk-tiga-bayi-dipindahkan-ke-pps-di-johor/</x:v>
      </x:c>
      <x:c r="X220" s="12" t="str">
        <x:v>Road-specific object retained separately from parent Kampung Kangkar Tebrau.</x:v>
      </x:c>
    </x:row>
    <x:row r="221">
      <x:c r="A221" s="12" t="str">
        <x:v>FLOC-0096</x:v>
      </x:c>
      <x:c r="B221" s="12" t="str">
        <x:v>Kampung Pasir, Tampoi/Skudai</x:v>
      </x:c>
      <x:c r="C221" s="12" t="str">
        <x:v>YES</x:v>
      </x:c>
      <x:c r="D221" s="12" t="n">
        <x:v>2023</x:v>
      </x:c>
      <x:c r="E221" s="12" t="str">
        <x:v>EVT-JB-2023-022</x:v>
      </x:c>
      <x:c r="F221" s="18" t="n">
        <x:v>45261</x:v>
      </x:c>
      <x:c r="G221" s="12" t="str">
        <x:v>DG-JB-20231201</x:v>
      </x:c>
      <x:c r="H221" s="12" t="str">
        <x:v>JBLOC-0104</x:v>
      </x:c>
      <x:c r="I221" s="12" t="str">
        <x:v>S2023-018</x:v>
      </x:c>
      <x:c r="J221" s="12" t="str">
        <x:v>Kampung Pasir</x:v>
      </x:c>
      <x:c r="K221" s="12" t="str">
        <x:v>Kampung Pasir</x:v>
      </x:c>
      <x:c r="L221" s="12" t="str">
        <x:v>COMMUNITY/AREA</x:v>
      </x:c>
      <x:c r="M221" s="12" t="str">
        <x:v>Flash flood</x:v>
      </x:c>
      <x:c r="N221" s="12" t="str">
        <x:v>A/B</x:v>
      </x:c>
      <x:c r="O221" s="12" t="str">
        <x:v>SRC_R2023_PDRM_20231201</x:v>
      </x:c>
      <x:c r="P221" s="12"/>
      <x:c r="Q221" s="12" t="n">
        <x:v>103.6969651</x:v>
      </x:c>
      <x:c r="R221" s="12" t="n">
        <x:v>1.4955303</x:v>
      </x:c>
      <x:c r="S221" s="12" t="str">
        <x:v>YES</x:v>
      </x:c>
      <x:c r="T221" s="12" t="str">
        <x:v>PLOT</x:v>
      </x:c>
      <x:c r="U221" s="12"/>
      <x:c r="V221" s="12" t="str">
        <x:v>POINT_READY; POLYGON_OPEN</x:v>
      </x:c>
      <x:c r="W221" s="12" t="str">
        <x:v>https://www.rmp.gov.my/arkib-berita/berita/2023/12/01/opbanjir-pdrm-bersama-jbpm-pindahkan-warga-kampung-terjejas-banjir-ke-pps</x:v>
      </x:c>
      <x:c r="X221" s="12" t="str">
        <x:v>Not auto-merged with Kampung Pasir Tebrau.</x:v>
      </x:c>
    </x:row>
    <x:row r="222">
      <x:c r="A222" s="12" t="str">
        <x:v>FLOC-0031</x:v>
      </x:c>
      <x:c r="B222" s="12" t="str">
        <x:v>Jalan Kampung Sentosa Damai 8</x:v>
      </x:c>
      <x:c r="C222" s="12" t="str">
        <x:v>YES</x:v>
      </x:c>
      <x:c r="D222" s="12" t="n">
        <x:v>2023</x:v>
      </x:c>
      <x:c r="E222" s="12" t="str">
        <x:v>EVT-JB-2023-023</x:v>
      </x:c>
      <x:c r="F222" s="18" t="n">
        <x:v>45261</x:v>
      </x:c>
      <x:c r="G222" s="12" t="str">
        <x:v>DG-JB-20231201</x:v>
      </x:c>
      <x:c r="H222" s="12" t="str">
        <x:v>JBLOC-0033</x:v>
      </x:c>
      <x:c r="I222" s="12" t="str">
        <x:v>S2023-019</x:v>
      </x:c>
      <x:c r="J222" s="12" t="str">
        <x:v>Jalan Kampung Sentosa Damai 8</x:v>
      </x:c>
      <x:c r="K222" s="12" t="str">
        <x:v>Jalan Kampung Sentosa Damai 8</x:v>
      </x:c>
      <x:c r="L222" s="12" t="str">
        <x:v>ROAD</x:v>
      </x:c>
      <x:c r="M222" s="12" t="str">
        <x:v>Flash flood</x:v>
      </x:c>
      <x:c r="N222" s="12" t="str">
        <x:v>A/B</x:v>
      </x:c>
      <x:c r="O222" s="12" t="str">
        <x:v>SRC_R2023_KOSMO_20231201</x:v>
      </x:c>
      <x:c r="P222" s="12"/>
      <x:c r="Q222" s="12"/>
      <x:c r="R222" s="12"/>
      <x:c r="S222" s="12" t="str">
        <x:v>NO</x:v>
      </x:c>
      <x:c r="T222" s="12" t="str">
        <x:v>DO NOT PLOT</x:v>
      </x:c>
      <x:c r="U222" s="12"/>
      <x:c r="V222" s="12" t="str">
        <x:v>ROAD_SEGMENT_OPEN</x:v>
      </x:c>
      <x:c r="W222" s="12" t="str">
        <x:v>https://www.kosmo.com.my/2023/12/01/banjir-74-termasuk-tiga-bayi-dipindahkan-ke-pps-di-johor/</x:v>
      </x:c>
      <x:c r="X222" s="12" t="str">
        <x:v>Road/subarea object retained separately from parent community.</x:v>
      </x:c>
    </x:row>
    <x:row r="223">
      <x:c r="A223" s="12" t="str">
        <x:v>FLOC-0006</x:v>
      </x:c>
      <x:c r="B223" s="12" t="str">
        <x:v>Dataran Bandaraya Johor Bahru</x:v>
      </x:c>
      <x:c r="C223" s="12" t="str">
        <x:v>YES</x:v>
      </x:c>
      <x:c r="D223" s="12" t="n">
        <x:v>2023</x:v>
      </x:c>
      <x:c r="E223" s="12" t="str">
        <x:v>EVT-JB-2023-024</x:v>
      </x:c>
      <x:c r="F223" s="18" t="n">
        <x:v>45266</x:v>
      </x:c>
      <x:c r="G223" s="12" t="str">
        <x:v>DG-JB-20231206</x:v>
      </x:c>
      <x:c r="H223" s="12" t="str">
        <x:v>JBLOC-0008</x:v>
      </x:c>
      <x:c r="I223" s="12" t="str">
        <x:v>S2023-020</x:v>
      </x:c>
      <x:c r="J223" s="12" t="str">
        <x:v>Dataran Bandaraya Johor Bahru</x:v>
      </x:c>
      <x:c r="K223" s="12" t="str">
        <x:v>Dataran Bandaraya Johor Bahru</x:v>
      </x:c>
      <x:c r="L223" s="12" t="str">
        <x:v>CIVIC AREA</x:v>
      </x:c>
      <x:c r="M223" s="12" t="str">
        <x:v>Flash flood</x:v>
      </x:c>
      <x:c r="N223" s="12" t="str">
        <x:v>A/B</x:v>
      </x:c>
      <x:c r="O223" s="12" t="str">
        <x:v>SRC_R2023_FMT_20231206</x:v>
      </x:c>
      <x:c r="P223" s="12" t="str">
        <x:v>SRC_R2023_MDJ_MAIN_20231207</x:v>
      </x:c>
      <x:c r="Q223" s="12" t="n">
        <x:v>103.74196336546</x:v>
      </x:c>
      <x:c r="R223" s="12" t="n">
        <x:v>1.4597388</x:v>
      </x:c>
      <x:c r="S223" s="12" t="str">
        <x:v>YES</x:v>
      </x:c>
      <x:c r="T223" s="12" t="str">
        <x:v>PLOT</x:v>
      </x:c>
      <x:c r="U223" s="12"/>
      <x:c r="V223" s="12" t="str">
        <x:v>POINT_READY; POLYGON_OPEN</x:v>
      </x:c>
      <x:c r="W223" s="12" t="str">
        <x:v>https://www.freemalaysiatoday.com/category/bahasa/tempatan/2023/12/06/banjir-kilat-landa-25-kawasan-di-jb
https://mediadigitaljohor.gov.my/banjir-kilat-mbjb-laksana-tindakan-proaktif/</x:v>
      </x:c>
      <x:c r="X223" s="12" t="str">
        <x:v>Part of the 25-location MBJB/media reconstruction; source labels are normalized without duplicating aliases.</x:v>
      </x:c>
    </x:row>
    <x:row r="224">
      <x:c r="A224" s="12" t="str">
        <x:v>FLOC-0035</x:v>
      </x:c>
      <x:c r="B224" s="12" t="str">
        <x:v>Jalan Kolam Ayer</x:v>
      </x:c>
      <x:c r="C224" s="12" t="str">
        <x:v>YES</x:v>
      </x:c>
      <x:c r="D224" s="12" t="n">
        <x:v>2023</x:v>
      </x:c>
      <x:c r="E224" s="12" t="str">
        <x:v>EVT-JB-2023-025</x:v>
      </x:c>
      <x:c r="F224" s="18" t="n">
        <x:v>45266</x:v>
      </x:c>
      <x:c r="G224" s="12" t="str">
        <x:v>DG-JB-20231206</x:v>
      </x:c>
      <x:c r="H224" s="12" t="str">
        <x:v>JBLOC-0037</x:v>
      </x:c>
      <x:c r="I224" s="12" t="str">
        <x:v>S2023-021</x:v>
      </x:c>
      <x:c r="J224" s="12" t="str">
        <x:v>Jalan Kolam Air</x:v>
      </x:c>
      <x:c r="K224" s="12" t="str">
        <x:v>Jalan Kolam Ayer</x:v>
      </x:c>
      <x:c r="L224" s="12" t="str">
        <x:v>ROAD</x:v>
      </x:c>
      <x:c r="M224" s="12" t="str">
        <x:v>Flash flood</x:v>
      </x:c>
      <x:c r="N224" s="12" t="str">
        <x:v>A/B</x:v>
      </x:c>
      <x:c r="O224" s="12" t="str">
        <x:v>SRC_R2023_FMT_20231206</x:v>
      </x:c>
      <x:c r="P224" s="12" t="str">
        <x:v>SRC_R2023_MDJ_MAIN_20231207</x:v>
      </x:c>
      <x:c r="Q224" s="12" t="n">
        <x:v>103.7220526</x:v>
      </x:c>
      <x:c r="R224" s="12" t="n">
        <x:v>1.4823854</x:v>
      </x:c>
      <x:c r="S224" s="12" t="str">
        <x:v>YES</x:v>
      </x:c>
      <x:c r="T224" s="12" t="str">
        <x:v>PLOT</x:v>
      </x:c>
      <x:c r="U224" s="12"/>
      <x:c r="V224" s="12" t="str">
        <x:v>POINT_REFERENCE; ROAD_SEGMENT_OPEN</x:v>
      </x:c>
      <x:c r="W224" s="12" t="str">
        <x:v>https://www.freemalaysiatoday.com/category/bahasa/tempatan/2023/12/06/banjir-kilat-landa-25-kawasan-di-jb
https://mediadigitaljohor.gov.my/banjir-kilat-mbjb-laksana-tindakan-proaktif/</x:v>
      </x:c>
      <x:c r="X224" s="12" t="str">
        <x:v>Part of the 25-location MBJB/media reconstruction; source labels are normalized without duplicating aliases.</x:v>
      </x:c>
    </x:row>
    <x:row r="225">
      <x:c r="A225" s="12" t="str">
        <x:v>FLOC-0019</x:v>
      </x:c>
      <x:c r="B225" s="12" t="str">
        <x:v>Jalan Ayer Molek</x:v>
      </x:c>
      <x:c r="C225" s="12" t="str">
        <x:v>YES</x:v>
      </x:c>
      <x:c r="D225" s="12" t="n">
        <x:v>2023</x:v>
      </x:c>
      <x:c r="E225" s="12" t="str">
        <x:v>EVT-JB-2023-026</x:v>
      </x:c>
      <x:c r="F225" s="18" t="n">
        <x:v>45266</x:v>
      </x:c>
      <x:c r="G225" s="12" t="str">
        <x:v>DG-JB-20231206</x:v>
      </x:c>
      <x:c r="H225" s="12" t="str">
        <x:v>JBLOC-0021</x:v>
      </x:c>
      <x:c r="I225" s="12" t="str">
        <x:v>S2023-022</x:v>
      </x:c>
      <x:c r="J225" s="12" t="str">
        <x:v>Jalan Ayer Molek</x:v>
      </x:c>
      <x:c r="K225" s="12" t="str">
        <x:v>Jalan Ayer Molek</x:v>
      </x:c>
      <x:c r="L225" s="12" t="str">
        <x:v>ROAD</x:v>
      </x:c>
      <x:c r="M225" s="12" t="str">
        <x:v>Flash flood</x:v>
      </x:c>
      <x:c r="N225" s="12" t="str">
        <x:v>A/B</x:v>
      </x:c>
      <x:c r="O225" s="12" t="str">
        <x:v>SRC_R2023_FMT_20231206</x:v>
      </x:c>
      <x:c r="P225" s="12" t="str">
        <x:v>SRC_R2023_MDJ_MAIN_20231207</x:v>
      </x:c>
      <x:c r="Q225" s="12" t="n">
        <x:v>103.7587117</x:v>
      </x:c>
      <x:c r="R225" s="12" t="n">
        <x:v>1.4594963</x:v>
      </x:c>
      <x:c r="S225" s="12" t="str">
        <x:v>YES</x:v>
      </x:c>
      <x:c r="T225" s="12" t="str">
        <x:v>PLOT</x:v>
      </x:c>
      <x:c r="U225" s="12"/>
      <x:c r="V225" s="12" t="str">
        <x:v>POINT_REFERENCE; ROAD_SEGMENT_OPEN</x:v>
      </x:c>
      <x:c r="W225" s="12" t="str">
        <x:v>https://www.freemalaysiatoday.com/category/bahasa/tempatan/2023/12/06/banjir-kilat-landa-25-kawasan-di-jb
https://mediadigitaljohor.gov.my/banjir-kilat-mbjb-laksana-tindakan-proaktif/</x:v>
      </x:c>
      <x:c r="X225" s="12" t="str">
        <x:v>Part of the 25-location MBJB/media reconstruction; source labels are normalized without duplicating aliases.</x:v>
      </x:c>
    </x:row>
    <x:row r="226">
      <x:c r="A226" s="12" t="str">
        <x:v>FLOC-0020</x:v>
      </x:c>
      <x:c r="B226" s="12" t="str">
        <x:v>Jalan Bilal Mahmood</x:v>
      </x:c>
      <x:c r="C226" s="12" t="str">
        <x:v>YES</x:v>
      </x:c>
      <x:c r="D226" s="12" t="n">
        <x:v>2023</x:v>
      </x:c>
      <x:c r="E226" s="12" t="str">
        <x:v>EVT-JB-2023-027</x:v>
      </x:c>
      <x:c r="F226" s="18" t="n">
        <x:v>45266</x:v>
      </x:c>
      <x:c r="G226" s="12" t="str">
        <x:v>DG-JB-20231206</x:v>
      </x:c>
      <x:c r="H226" s="12" t="str">
        <x:v>JBLOC-0022</x:v>
      </x:c>
      <x:c r="I226" s="12" t="str">
        <x:v>S2023-023</x:v>
      </x:c>
      <x:c r="J226" s="12" t="str">
        <x:v>Jalan Bilal Mahmood</x:v>
      </x:c>
      <x:c r="K226" s="12" t="str">
        <x:v>Jalan Bilal Mahmood</x:v>
      </x:c>
      <x:c r="L226" s="12" t="str">
        <x:v>ROAD</x:v>
      </x:c>
      <x:c r="M226" s="12" t="str">
        <x:v>Flash flood</x:v>
      </x:c>
      <x:c r="N226" s="12" t="str">
        <x:v>A/B</x:v>
      </x:c>
      <x:c r="O226" s="12" t="str">
        <x:v>SRC_R2023_FMT_20231206</x:v>
      </x:c>
      <x:c r="P226" s="12"/>
      <x:c r="Q226" s="12" t="n">
        <x:v>103.7460468</x:v>
      </x:c>
      <x:c r="R226" s="12" t="n">
        <x:v>1.46528</x:v>
      </x:c>
      <x:c r="S226" s="12" t="str">
        <x:v>YES</x:v>
      </x:c>
      <x:c r="T226" s="12" t="str">
        <x:v>PLOT</x:v>
      </x:c>
      <x:c r="U226" s="12"/>
      <x:c r="V226" s="12" t="str">
        <x:v>POINT_REFERENCE; ROAD_SEGMENT_OPEN</x:v>
      </x:c>
      <x:c r="W226" s="12" t="str">
        <x:v>https://www.freemalaysiatoday.com/category/bahasa/tempatan/2023/12/06/banjir-kilat-landa-25-kawasan-di-jb</x:v>
      </x:c>
      <x:c r="X226" s="12" t="str">
        <x:v>Part of the 25-location MBJB/media reconstruction; source labels are normalized without duplicating aliases.</x:v>
      </x:c>
    </x:row>
    <x:row r="227">
      <x:c r="A227" s="12" t="str">
        <x:v>FLOC-0023</x:v>
      </x:c>
      <x:c r="B227" s="12" t="str">
        <x:v>Jalan Dato Sulaiman</x:v>
      </x:c>
      <x:c r="C227" s="12" t="str">
        <x:v>YES</x:v>
      </x:c>
      <x:c r="D227" s="12" t="n">
        <x:v>2023</x:v>
      </x:c>
      <x:c r="E227" s="12" t="str">
        <x:v>EVT-JB-2023-028</x:v>
      </x:c>
      <x:c r="F227" s="18" t="n">
        <x:v>45266</x:v>
      </x:c>
      <x:c r="G227" s="12" t="str">
        <x:v>DG-JB-20231206</x:v>
      </x:c>
      <x:c r="H227" s="12" t="str">
        <x:v>JBLOC-0025</x:v>
      </x:c>
      <x:c r="I227" s="12" t="str">
        <x:v>S2023-024</x:v>
      </x:c>
      <x:c r="J227" s="12" t="str">
        <x:v>Jalan Dato Sulaiman</x:v>
      </x:c>
      <x:c r="K227" s="12" t="str">
        <x:v>Jalan Dato Sulaiman</x:v>
      </x:c>
      <x:c r="L227" s="12" t="str">
        <x:v>ROAD</x:v>
      </x:c>
      <x:c r="M227" s="12" t="str">
        <x:v>Flash flood</x:v>
      </x:c>
      <x:c r="N227" s="12" t="str">
        <x:v>A/B</x:v>
      </x:c>
      <x:c r="O227" s="12" t="str">
        <x:v>SRC_R2023_FMT_20231206</x:v>
      </x:c>
      <x:c r="P227" s="12" t="str">
        <x:v>SRC_R2023_MDJ_MAIN_20231207</x:v>
      </x:c>
      <x:c r="Q227" s="12" t="n">
        <x:v>103.7570514</x:v>
      </x:c>
      <x:c r="R227" s="12" t="n">
        <x:v>1.4807312</x:v>
      </x:c>
      <x:c r="S227" s="12" t="str">
        <x:v>YES</x:v>
      </x:c>
      <x:c r="T227" s="12" t="str">
        <x:v>PLOT</x:v>
      </x:c>
      <x:c r="U227" s="12"/>
      <x:c r="V227" s="12" t="str">
        <x:v>POINT_REFERENCE; ROAD_SEGMENT_OPEN</x:v>
      </x:c>
      <x:c r="W227" s="12" t="str">
        <x:v>https://www.freemalaysiatoday.com/category/bahasa/tempatan/2023/12/06/banjir-kilat-landa-25-kawasan-di-jb
https://mediadigitaljohor.gov.my/banjir-kilat-mbjb-laksana-tindakan-proaktif/</x:v>
      </x:c>
      <x:c r="X227" s="12" t="str">
        <x:v>Part of the 25-location MBJB/media reconstruction; source labels are normalized without duplicating aliases.</x:v>
      </x:c>
    </x:row>
    <x:row r="228">
      <x:c r="A228" s="12" t="str">
        <x:v>FLOC-0027</x:v>
      </x:c>
      <x:c r="B228" s="12" t="str">
        <x:v>Jalan Ibrahim Sultan</x:v>
      </x:c>
      <x:c r="C228" s="12" t="str">
        <x:v>YES</x:v>
      </x:c>
      <x:c r="D228" s="12" t="n">
        <x:v>2023</x:v>
      </x:c>
      <x:c r="E228" s="12" t="str">
        <x:v>EVT-JB-2023-029</x:v>
      </x:c>
      <x:c r="F228" s="18" t="n">
        <x:v>45266</x:v>
      </x:c>
      <x:c r="G228" s="12" t="str">
        <x:v>DG-JB-20231206</x:v>
      </x:c>
      <x:c r="H228" s="12" t="str">
        <x:v>JBLOC-0029</x:v>
      </x:c>
      <x:c r="I228" s="12" t="str">
        <x:v>S2023-025</x:v>
      </x:c>
      <x:c r="J228" s="12" t="str">
        <x:v>Jalan Ibrahim Sultan</x:v>
      </x:c>
      <x:c r="K228" s="12" t="str">
        <x:v>Jalan Ibrahim Sultan</x:v>
      </x:c>
      <x:c r="L228" s="12" t="str">
        <x:v>ROAD</x:v>
      </x:c>
      <x:c r="M228" s="12" t="str">
        <x:v>Flash flood</x:v>
      </x:c>
      <x:c r="N228" s="12" t="str">
        <x:v>A/B</x:v>
      </x:c>
      <x:c r="O228" s="12" t="str">
        <x:v>SRC_R2023_FMT_20231206</x:v>
      </x:c>
      <x:c r="P228" s="12" t="str">
        <x:v>SRC_R2023_MDJ_MAIN_20231207</x:v>
      </x:c>
      <x:c r="Q228" s="12" t="n">
        <x:v>103.7755173</x:v>
      </x:c>
      <x:c r="R228" s="12" t="n">
        <x:v>1.4644141</x:v>
      </x:c>
      <x:c r="S228" s="12" t="str">
        <x:v>YES</x:v>
      </x:c>
      <x:c r="T228" s="12" t="str">
        <x:v>PLOT</x:v>
      </x:c>
      <x:c r="U228" s="12"/>
      <x:c r="V228" s="12" t="str">
        <x:v>POINT_REFERENCE; ROAD_SEGMENT_OPEN</x:v>
      </x:c>
      <x:c r="W228" s="12" t="str">
        <x:v>https://www.freemalaysiatoday.com/category/bahasa/tempatan/2023/12/06/banjir-kilat-landa-25-kawasan-di-jb
https://mediadigitaljohor.gov.my/banjir-kilat-mbjb-laksana-tindakan-proaktif/</x:v>
      </x:c>
      <x:c r="X228" s="12" t="str">
        <x:v>Part of the 25-location MBJB/media reconstruction; source labels are normalized without duplicating aliases.</x:v>
      </x:c>
    </x:row>
    <x:row r="229">
      <x:c r="A229" s="12" t="str">
        <x:v>FLOC-0028</x:v>
      </x:c>
      <x:c r="B229" s="12" t="str">
        <x:v>Jalan Ismail Sultan</x:v>
      </x:c>
      <x:c r="C229" s="12" t="str">
        <x:v>YES</x:v>
      </x:c>
      <x:c r="D229" s="12" t="n">
        <x:v>2023</x:v>
      </x:c>
      <x:c r="E229" s="12" t="str">
        <x:v>EVT-JB-2023-030</x:v>
      </x:c>
      <x:c r="F229" s="18" t="n">
        <x:v>45266</x:v>
      </x:c>
      <x:c r="G229" s="12" t="str">
        <x:v>DG-JB-20231206</x:v>
      </x:c>
      <x:c r="H229" s="12" t="str">
        <x:v>JBLOC-0030</x:v>
      </x:c>
      <x:c r="I229" s="12" t="str">
        <x:v>S2023-026</x:v>
      </x:c>
      <x:c r="J229" s="12" t="str">
        <x:v>Jalan Ismail Sultan</x:v>
      </x:c>
      <x:c r="K229" s="12" t="str">
        <x:v>Jalan Ismail Sultan</x:v>
      </x:c>
      <x:c r="L229" s="12" t="str">
        <x:v>ROAD</x:v>
      </x:c>
      <x:c r="M229" s="12" t="str">
        <x:v>Flash flood</x:v>
      </x:c>
      <x:c r="N229" s="12" t="str">
        <x:v>A/B</x:v>
      </x:c>
      <x:c r="O229" s="12" t="str">
        <x:v>SRC_R2023_FMT_20231206</x:v>
      </x:c>
      <x:c r="P229" s="12"/>
      <x:c r="Q229" s="12" t="n">
        <x:v>103.6763692</x:v>
      </x:c>
      <x:c r="R229" s="12" t="n">
        <x:v>1.4725852</x:v>
      </x:c>
      <x:c r="S229" s="12" t="str">
        <x:v>YES</x:v>
      </x:c>
      <x:c r="T229" s="12" t="str">
        <x:v>PLOT</x:v>
      </x:c>
      <x:c r="U229" s="12"/>
      <x:c r="V229" s="12" t="str">
        <x:v>POINT_REFERENCE; ROAD_SEGMENT_OPEN</x:v>
      </x:c>
      <x:c r="W229" s="12" t="str">
        <x:v>https://www.freemalaysiatoday.com/category/bahasa/tempatan/2023/12/06/banjir-kilat-landa-25-kawasan-di-jb</x:v>
      </x:c>
      <x:c r="X229" s="12" t="str">
        <x:v>Part of the 25-location MBJB/media reconstruction; source labels are normalized without duplicating aliases.</x:v>
      </x:c>
    </x:row>
    <x:row r="230">
      <x:c r="A230" s="12" t="str">
        <x:v>FLOC-0038</x:v>
      </x:c>
      <x:c r="B230" s="12" t="str">
        <x:v>Jalan Lurah 3</x:v>
      </x:c>
      <x:c r="C230" s="12" t="str">
        <x:v>YES</x:v>
      </x:c>
      <x:c r="D230" s="12" t="n">
        <x:v>2023</x:v>
      </x:c>
      <x:c r="E230" s="12" t="str">
        <x:v>EVT-JB-2023-031</x:v>
      </x:c>
      <x:c r="F230" s="18" t="n">
        <x:v>45266</x:v>
      </x:c>
      <x:c r="G230" s="12" t="str">
        <x:v>DG-JB-20231206</x:v>
      </x:c>
      <x:c r="H230" s="12" t="str">
        <x:v>JBLOC-0041</x:v>
      </x:c>
      <x:c r="I230" s="12" t="str">
        <x:v>S2023-027</x:v>
      </x:c>
      <x:c r="J230" s="12" t="str">
        <x:v>Jalan Lurah 3</x:v>
      </x:c>
      <x:c r="K230" s="12" t="str">
        <x:v>Jalan Lurah 3</x:v>
      </x:c>
      <x:c r="L230" s="12" t="str">
        <x:v>ROAD</x:v>
      </x:c>
      <x:c r="M230" s="12" t="str">
        <x:v>Flash flood</x:v>
      </x:c>
      <x:c r="N230" s="12" t="str">
        <x:v>A/B</x:v>
      </x:c>
      <x:c r="O230" s="12" t="str">
        <x:v>SRC_R2023_FMT_20231206</x:v>
      </x:c>
      <x:c r="P230" s="12"/>
      <x:c r="Q230" s="12" t="n">
        <x:v>103.7155955</x:v>
      </x:c>
      <x:c r="R230" s="12" t="n">
        <x:v>1.5302594</x:v>
      </x:c>
      <x:c r="S230" s="12" t="str">
        <x:v>YES</x:v>
      </x:c>
      <x:c r="T230" s="12" t="str">
        <x:v>PLOT</x:v>
      </x:c>
      <x:c r="U230" s="12"/>
      <x:c r="V230" s="12" t="str">
        <x:v>POINT_REFERENCE; ROAD_SEGMENT_OPEN</x:v>
      </x:c>
      <x:c r="W230" s="12" t="str">
        <x:v>https://www.freemalaysiatoday.com/category/bahasa/tempatan/2023/12/06/banjir-kilat-landa-25-kawasan-di-jb</x:v>
      </x:c>
      <x:c r="X230" s="12" t="str">
        <x:v>Part of the 25-location MBJB/media reconstruction; source labels are normalized without duplicating aliases.</x:v>
      </x:c>
    </x:row>
    <x:row r="231">
      <x:c r="A231" s="12" t="str">
        <x:v>FLOC-0039</x:v>
      </x:c>
      <x:c r="B231" s="12" t="str">
        <x:v>Jalan Mahmoodiah</x:v>
      </x:c>
      <x:c r="C231" s="12" t="str">
        <x:v>YES</x:v>
      </x:c>
      <x:c r="D231" s="12" t="n">
        <x:v>2023</x:v>
      </x:c>
      <x:c r="E231" s="12" t="str">
        <x:v>EVT-JB-2023-032</x:v>
      </x:c>
      <x:c r="F231" s="18" t="n">
        <x:v>45266</x:v>
      </x:c>
      <x:c r="G231" s="12" t="str">
        <x:v>DG-JB-20231206</x:v>
      </x:c>
      <x:c r="H231" s="12" t="str">
        <x:v>JBLOC-0042</x:v>
      </x:c>
      <x:c r="I231" s="12" t="str">
        <x:v>S2023-028</x:v>
      </x:c>
      <x:c r="J231" s="12" t="str">
        <x:v>Jalan Mahmoodiah</x:v>
      </x:c>
      <x:c r="K231" s="12" t="str">
        <x:v>Jalan Mahmoodiah</x:v>
      </x:c>
      <x:c r="L231" s="12" t="str">
        <x:v>ROAD</x:v>
      </x:c>
      <x:c r="M231" s="12" t="str">
        <x:v>Flash flood</x:v>
      </x:c>
      <x:c r="N231" s="12" t="str">
        <x:v>A/B</x:v>
      </x:c>
      <x:c r="O231" s="12" t="str">
        <x:v>SRC_R2023_FMT_20231206</x:v>
      </x:c>
      <x:c r="P231" s="12" t="str">
        <x:v>SRC_R2023_MDJ_MAIN_20231207</x:v>
      </x:c>
      <x:c r="Q231" s="12" t="n">
        <x:v>103.7482815</x:v>
      </x:c>
      <x:c r="R231" s="12" t="n">
        <x:v>1.4629658</x:v>
      </x:c>
      <x:c r="S231" s="12" t="str">
        <x:v>YES</x:v>
      </x:c>
      <x:c r="T231" s="12" t="str">
        <x:v>PLOT</x:v>
      </x:c>
      <x:c r="U231" s="12"/>
      <x:c r="V231" s="12" t="str">
        <x:v>POINT_REFERENCE; ROAD_SEGMENT_OPEN</x:v>
      </x:c>
      <x:c r="W231" s="12" t="str">
        <x:v>https://www.freemalaysiatoday.com/category/bahasa/tempatan/2023/12/06/banjir-kilat-landa-25-kawasan-di-jb
https://mediadigitaljohor.gov.my/banjir-kilat-mbjb-laksana-tindakan-proaktif/</x:v>
      </x:c>
      <x:c r="X231" s="12" t="str">
        <x:v>Part of the 25-location MBJB/media reconstruction; source labels are normalized without duplicating aliases.</x:v>
      </x:c>
    </x:row>
    <x:row r="232">
      <x:c r="A232" s="12" t="str">
        <x:v>FLOC-0094</x:v>
      </x:c>
      <x:c r="B232" s="12" t="str">
        <x:v>Kampung Mohd Amin, Kolam Air</x:v>
      </x:c>
      <x:c r="C232" s="12" t="str">
        <x:v>YES</x:v>
      </x:c>
      <x:c r="D232" s="12" t="n">
        <x:v>2023</x:v>
      </x:c>
      <x:c r="E232" s="12" t="str">
        <x:v>EVT-JB-2023-033</x:v>
      </x:c>
      <x:c r="F232" s="18" t="n">
        <x:v>45266</x:v>
      </x:c>
      <x:c r="G232" s="12" t="str">
        <x:v>DG-JB-20231206</x:v>
      </x:c>
      <x:c r="H232" s="12" t="str">
        <x:v>JBLOC-0102</x:v>
      </x:c>
      <x:c r="I232" s="12" t="str">
        <x:v>S2023-029</x:v>
      </x:c>
      <x:c r="J232" s="12" t="str">
        <x:v>Jalan Mohd Amin / Kampung Mohd Amin</x:v>
      </x:c>
      <x:c r="K232" s="12" t="str">
        <x:v>Kampung Mohd Amin / Jalan Mohd Amin context</x:v>
      </x:c>
      <x:c r="L232" s="12" t="str">
        <x:v>AREA</x:v>
      </x:c>
      <x:c r="M232" s="12" t="str">
        <x:v>Flash flood</x:v>
      </x:c>
      <x:c r="N232" s="12" t="str">
        <x:v>A/B</x:v>
      </x:c>
      <x:c r="O232" s="12" t="str">
        <x:v>SRC_R2023_FMT_20231206</x:v>
      </x:c>
      <x:c r="P232" s="12" t="str">
        <x:v>SRC_R2023_MDJ_RESPONSE_20231206</x:v>
      </x:c>
      <x:c r="Q232" s="12" t="n">
        <x:v>103.7354126</x:v>
      </x:c>
      <x:c r="R232" s="12" t="n">
        <x:v>1.4673637</x:v>
      </x:c>
      <x:c r="S232" s="12" t="str">
        <x:v>YES</x:v>
      </x:c>
      <x:c r="T232" s="12" t="str">
        <x:v>PLOT</x:v>
      </x:c>
      <x:c r="U232" s="12"/>
      <x:c r="V232" s="12" t="str">
        <x:v>POINT_REFERENCE; SOURCE_LABEL_VARIANT; POLYGON_OPEN</x:v>
      </x:c>
      <x:c r="W232" s="12" t="str">
        <x:v>https://www.freemalaysiatoday.com/category/bahasa/tempatan/2023/12/06/banjir-kilat-landa-25-kawasan-di-jb
https://mediadigitaljohor.gov.my/banjir-kilat-bomba-apm-mbjb-bertindak-proaktif/</x:v>
      </x:c>
      <x:c r="X232" s="12" t="str">
        <x:v>Part of the 25-location MBJB/media reconstruction; source labels are normalized without duplicating aliases.</x:v>
      </x:c>
    </x:row>
    <x:row r="233">
      <x:c r="A233" s="12" t="str">
        <x:v>FLOC-0045</x:v>
      </x:c>
      <x:c r="B233" s="12" t="str">
        <x:v>Jalan Padi Makmur</x:v>
      </x:c>
      <x:c r="C233" s="12" t="str">
        <x:v>YES</x:v>
      </x:c>
      <x:c r="D233" s="12" t="n">
        <x:v>2023</x:v>
      </x:c>
      <x:c r="E233" s="12" t="str">
        <x:v>EVT-JB-2023-034</x:v>
      </x:c>
      <x:c r="F233" s="18" t="n">
        <x:v>45266</x:v>
      </x:c>
      <x:c r="G233" s="12" t="str">
        <x:v>DG-JB-20231206</x:v>
      </x:c>
      <x:c r="H233" s="12" t="str">
        <x:v>JBLOC-0047</x:v>
      </x:c>
      <x:c r="I233" s="12" t="str">
        <x:v>S2023-030</x:v>
      </x:c>
      <x:c r="J233" s="12" t="str">
        <x:v>Jalan Padi Makmur</x:v>
      </x:c>
      <x:c r="K233" s="12" t="str">
        <x:v>Jalan Padi Makmur</x:v>
      </x:c>
      <x:c r="L233" s="12" t="str">
        <x:v>ROAD</x:v>
      </x:c>
      <x:c r="M233" s="12" t="str">
        <x:v>Flash flood</x:v>
      </x:c>
      <x:c r="N233" s="12" t="str">
        <x:v>A/B</x:v>
      </x:c>
      <x:c r="O233" s="12" t="str">
        <x:v>SRC_R2023_FMT_20231206</x:v>
      </x:c>
      <x:c r="P233" s="12" t="str">
        <x:v>SRC_R2023_MDJ_MAIN_20231207</x:v>
      </x:c>
      <x:c r="Q233" s="12" t="n">
        <x:v>103.7208677</x:v>
      </x:c>
      <x:c r="R233" s="12" t="n">
        <x:v>1.4866099</x:v>
      </x:c>
      <x:c r="S233" s="12" t="str">
        <x:v>YES</x:v>
      </x:c>
      <x:c r="T233" s="12" t="str">
        <x:v>PLOT</x:v>
      </x:c>
      <x:c r="U233" s="12"/>
      <x:c r="V233" s="12" t="str">
        <x:v>POINT_REFERENCE; ROAD_SEGMENT_OPEN</x:v>
      </x:c>
      <x:c r="W233" s="12" t="str">
        <x:v>https://www.freemalaysiatoday.com/category/bahasa/tempatan/2023/12/06/banjir-kilat-landa-25-kawasan-di-jb
https://mediadigitaljohor.gov.my/banjir-kilat-mbjb-laksana-tindakan-proaktif/</x:v>
      </x:c>
      <x:c r="X233" s="12" t="str">
        <x:v>Part of the 25-location MBJB/media reconstruction; source labels are normalized without duplicating aliases.</x:v>
      </x:c>
    </x:row>
    <x:row r="234">
      <x:c r="A234" s="12" t="str">
        <x:v>FLOC-0056</x:v>
      </x:c>
      <x:c r="B234" s="12" t="str">
        <x:v>Jalan Serigala</x:v>
      </x:c>
      <x:c r="C234" s="12" t="str">
        <x:v>YES</x:v>
      </x:c>
      <x:c r="D234" s="12" t="n">
        <x:v>2023</x:v>
      </x:c>
      <x:c r="E234" s="12" t="str">
        <x:v>EVT-JB-2023-035</x:v>
      </x:c>
      <x:c r="F234" s="18" t="n">
        <x:v>45266</x:v>
      </x:c>
      <x:c r="G234" s="12" t="str">
        <x:v>DG-JB-20231206</x:v>
      </x:c>
      <x:c r="H234" s="12" t="str">
        <x:v>JBLOC-0058</x:v>
      </x:c>
      <x:c r="I234" s="12" t="str">
        <x:v>S2023-031</x:v>
      </x:c>
      <x:c r="J234" s="12" t="str">
        <x:v>Jalan Serigala</x:v>
      </x:c>
      <x:c r="K234" s="12" t="str">
        <x:v>Jalan Serigala</x:v>
      </x:c>
      <x:c r="L234" s="12" t="str">
        <x:v>ROAD</x:v>
      </x:c>
      <x:c r="M234" s="12" t="str">
        <x:v>Flash flood</x:v>
      </x:c>
      <x:c r="N234" s="12" t="str">
        <x:v>A/B</x:v>
      </x:c>
      <x:c r="O234" s="12" t="str">
        <x:v>SRC_R2023_FMT_20231206</x:v>
      </x:c>
      <x:c r="P234" s="12"/>
      <x:c r="Q234" s="12" t="n">
        <x:v>103.760885</x:v>
      </x:c>
      <x:c r="R234" s="12" t="n">
        <x:v>1.4853831</x:v>
      </x:c>
      <x:c r="S234" s="12" t="str">
        <x:v>YES</x:v>
      </x:c>
      <x:c r="T234" s="12" t="str">
        <x:v>PLOT</x:v>
      </x:c>
      <x:c r="U234" s="12"/>
      <x:c r="V234" s="12" t="str">
        <x:v>POINT_REFERENCE; ROAD_SEGMENT_OPEN</x:v>
      </x:c>
      <x:c r="W234" s="12" t="str">
        <x:v>https://www.freemalaysiatoday.com/category/bahasa/tempatan/2023/12/06/banjir-kilat-landa-25-kawasan-di-jb</x:v>
      </x:c>
      <x:c r="X234" s="12" t="str">
        <x:v>Part of the 25-location MBJB/media reconstruction; source labels are normalized without duplicating aliases.</x:v>
      </x:c>
    </x:row>
    <x:row r="235">
      <x:c r="A235" s="12" t="str">
        <x:v>FLOC-0060</x:v>
      </x:c>
      <x:c r="B235" s="12" t="str">
        <x:v>Jalan Stulang Darat</x:v>
      </x:c>
      <x:c r="C235" s="12" t="str">
        <x:v>YES</x:v>
      </x:c>
      <x:c r="D235" s="12" t="n">
        <x:v>2023</x:v>
      </x:c>
      <x:c r="E235" s="12" t="str">
        <x:v>EVT-JB-2023-036</x:v>
      </x:c>
      <x:c r="F235" s="18" t="n">
        <x:v>45266</x:v>
      </x:c>
      <x:c r="G235" s="12" t="str">
        <x:v>DG-JB-20231206</x:v>
      </x:c>
      <x:c r="H235" s="12" t="str">
        <x:v>JBLOC-0062</x:v>
      </x:c>
      <x:c r="I235" s="12" t="str">
        <x:v>S2023-032</x:v>
      </x:c>
      <x:c r="J235" s="12" t="str">
        <x:v>Jalan Stulang Darat</x:v>
      </x:c>
      <x:c r="K235" s="12" t="str">
        <x:v>Jalan Stulang Darat</x:v>
      </x:c>
      <x:c r="L235" s="12" t="str">
        <x:v>ROAD</x:v>
      </x:c>
      <x:c r="M235" s="12" t="str">
        <x:v>Flash flood</x:v>
      </x:c>
      <x:c r="N235" s="12" t="str">
        <x:v>A/B</x:v>
      </x:c>
      <x:c r="O235" s="12" t="str">
        <x:v>SRC_R2023_FMT_20231206</x:v>
      </x:c>
      <x:c r="P235" s="12" t="str">
        <x:v>SRC_R2023_MDJ_MAIN_20231207</x:v>
      </x:c>
      <x:c r="Q235" s="12" t="n">
        <x:v>103.7773894</x:v>
      </x:c>
      <x:c r="R235" s="12" t="n">
        <x:v>1.4724632</x:v>
      </x:c>
      <x:c r="S235" s="12" t="str">
        <x:v>YES</x:v>
      </x:c>
      <x:c r="T235" s="12" t="str">
        <x:v>PLOT</x:v>
      </x:c>
      <x:c r="U235" s="12"/>
      <x:c r="V235" s="12" t="str">
        <x:v>POINT_REFERENCE; ROAD_SEGMENT_OPEN</x:v>
      </x:c>
      <x:c r="W235" s="12" t="str">
        <x:v>https://www.freemalaysiatoday.com/category/bahasa/tempatan/2023/12/06/banjir-kilat-landa-25-kawasan-di-jb
https://mediadigitaljohor.gov.my/banjir-kilat-mbjb-laksana-tindakan-proaktif/</x:v>
      </x:c>
      <x:c r="X235" s="12" t="str">
        <x:v>Part of the 25-location MBJB/media reconstruction; source labels are normalized without duplicating aliases.</x:v>
      </x:c>
    </x:row>
    <x:row r="236">
      <x:c r="A236" s="12" t="str">
        <x:v>FLOC-0065</x:v>
      </x:c>
      <x:c r="B236" s="12" t="str">
        <x:v>Jalan Tebrau</x:v>
      </x:c>
      <x:c r="C236" s="12" t="str">
        <x:v>YES</x:v>
      </x:c>
      <x:c r="D236" s="12" t="n">
        <x:v>2023</x:v>
      </x:c>
      <x:c r="E236" s="12" t="str">
        <x:v>EVT-JB-2023-037</x:v>
      </x:c>
      <x:c r="F236" s="18" t="n">
        <x:v>45266</x:v>
      </x:c>
      <x:c r="G236" s="12" t="str">
        <x:v>DG-JB-20231206</x:v>
      </x:c>
      <x:c r="H236" s="12" t="str">
        <x:v>JBLOC-0067</x:v>
      </x:c>
      <x:c r="I236" s="12" t="str">
        <x:v>S2023-033</x:v>
      </x:c>
      <x:c r="J236" s="12" t="str">
        <x:v>Jalan Tebrau</x:v>
      </x:c>
      <x:c r="K236" s="12" t="str">
        <x:v>Jalan Tebrau</x:v>
      </x:c>
      <x:c r="L236" s="12" t="str">
        <x:v>ROAD</x:v>
      </x:c>
      <x:c r="M236" s="12" t="str">
        <x:v>Flash flood</x:v>
      </x:c>
      <x:c r="N236" s="12" t="str">
        <x:v>A/B</x:v>
      </x:c>
      <x:c r="O236" s="12" t="str">
        <x:v>SRC_R2023_FMT_20231206</x:v>
      </x:c>
      <x:c r="P236" s="12" t="str">
        <x:v>SRC_R2023_MDJ_MAIN_20231207</x:v>
      </x:c>
      <x:c r="Q236" s="12" t="n">
        <x:v>103.762918</x:v>
      </x:c>
      <x:c r="R236" s="12" t="n">
        <x:v>1.4748694</x:v>
      </x:c>
      <x:c r="S236" s="12" t="str">
        <x:v>YES</x:v>
      </x:c>
      <x:c r="T236" s="12" t="str">
        <x:v>PLOT</x:v>
      </x:c>
      <x:c r="U236" s="12"/>
      <x:c r="V236" s="12" t="str">
        <x:v>POINT_REFERENCE; ROAD_SEGMENT_OPEN</x:v>
      </x:c>
      <x:c r="W236" s="12" t="str">
        <x:v>https://www.freemalaysiatoday.com/category/bahasa/tempatan/2023/12/06/banjir-kilat-landa-25-kawasan-di-jb
https://mediadigitaljohor.gov.my/banjir-kilat-mbjb-laksana-tindakan-proaktif/</x:v>
      </x:c>
      <x:c r="X236" s="12" t="str">
        <x:v>Part of the 25-location MBJB/media reconstruction; source labels are normalized without duplicating aliases.</x:v>
      </x:c>
    </x:row>
    <x:row r="237">
      <x:c r="A237" s="12" t="str">
        <x:v>FLOC-0068</x:v>
      </x:c>
      <x:c r="B237" s="12" t="str">
        <x:v>Jalan Tun Abdul Razak</x:v>
      </x:c>
      <x:c r="C237" s="12" t="str">
        <x:v>YES</x:v>
      </x:c>
      <x:c r="D237" s="12" t="n">
        <x:v>2023</x:v>
      </x:c>
      <x:c r="E237" s="12" t="str">
        <x:v>EVT-JB-2023-038</x:v>
      </x:c>
      <x:c r="F237" s="18" t="n">
        <x:v>45266</x:v>
      </x:c>
      <x:c r="G237" s="12" t="str">
        <x:v>DG-JB-20231206</x:v>
      </x:c>
      <x:c r="H237" s="12" t="str">
        <x:v>JBLOC-0070</x:v>
      </x:c>
      <x:c r="I237" s="12" t="str">
        <x:v>S2023-034</x:v>
      </x:c>
      <x:c r="J237" s="12" t="str">
        <x:v>Jalan Tun Abdul Razak</x:v>
      </x:c>
      <x:c r="K237" s="12" t="str">
        <x:v>Jalan Tun Abdul Razak</x:v>
      </x:c>
      <x:c r="L237" s="12" t="str">
        <x:v>ROAD</x:v>
      </x:c>
      <x:c r="M237" s="12" t="str">
        <x:v>Flash flood</x:v>
      </x:c>
      <x:c r="N237" s="12" t="str">
        <x:v>A/B</x:v>
      </x:c>
      <x:c r="O237" s="12" t="str">
        <x:v>SRC_R2023_FMT_20231206</x:v>
      </x:c>
      <x:c r="P237" s="12" t="str">
        <x:v>SRC_R2023_MDJ_MAIN_20231207</x:v>
      </x:c>
      <x:c r="Q237" s="12" t="n">
        <x:v>103.7527329</x:v>
      </x:c>
      <x:c r="R237" s="12" t="n">
        <x:v>1.4803791</x:v>
      </x:c>
      <x:c r="S237" s="12" t="str">
        <x:v>YES</x:v>
      </x:c>
      <x:c r="T237" s="12" t="str">
        <x:v>PLOT</x:v>
      </x:c>
      <x:c r="U237" s="12"/>
      <x:c r="V237" s="12" t="str">
        <x:v>POINT_REFERENCE; ROAD_SEGMENT_OPEN</x:v>
      </x:c>
      <x:c r="W237" s="12" t="str">
        <x:v>https://www.freemalaysiatoday.com/category/bahasa/tempatan/2023/12/06/banjir-kilat-landa-25-kawasan-di-jb
https://mediadigitaljohor.gov.my/banjir-kilat-mbjb-laksana-tindakan-proaktif/</x:v>
      </x:c>
      <x:c r="X237" s="12" t="str">
        <x:v>Part of the 25-location MBJB/media reconstruction; source labels are normalized without duplicating aliases.</x:v>
      </x:c>
    </x:row>
    <x:row r="238">
      <x:c r="A238" s="12" t="str">
        <x:v>FLOC-0068</x:v>
      </x:c>
      <x:c r="B238" s="12" t="str">
        <x:v>Jalan Tun Abdul Razak</x:v>
      </x:c>
      <x:c r="C238" s="12" t="str">
        <x:v>NO - SAME LOCATION/EPISODE</x:v>
      </x:c>
      <x:c r="D238" s="12" t="n">
        <x:v>2023</x:v>
      </x:c>
      <x:c r="E238" s="12" t="str">
        <x:v>EVT-JB-2023-039</x:v>
      </x:c>
      <x:c r="F238" s="18" t="n">
        <x:v>45266</x:v>
      </x:c>
      <x:c r="G238" s="12" t="str">
        <x:v>DG-JB-20231206</x:v>
      </x:c>
      <x:c r="H238" s="12" t="str">
        <x:v>JBLOC-0070</x:v>
      </x:c>
      <x:c r="I238" s="12" t="str">
        <x:v>S2023-035</x:v>
      </x:c>
      <x:c r="J238" s="12" t="str">
        <x:v>Jalan Tun Abdul Razak (Susur 2)</x:v>
      </x:c>
      <x:c r="K238" s="12" t="str">
        <x:v>Jalan Tun Abdul Razak (Susur 2)</x:v>
      </x:c>
      <x:c r="L238" s="12" t="str">
        <x:v>ROAD</x:v>
      </x:c>
      <x:c r="M238" s="12" t="str">
        <x:v>Flash flood</x:v>
      </x:c>
      <x:c r="N238" s="12" t="str">
        <x:v>A/B</x:v>
      </x:c>
      <x:c r="O238" s="12" t="str">
        <x:v>SRC_R2023_FMT_20231206</x:v>
      </x:c>
      <x:c r="P238" s="12"/>
      <x:c r="Q238" s="12"/>
      <x:c r="R238" s="12"/>
      <x:c r="S238" s="12" t="str">
        <x:v>NO</x:v>
      </x:c>
      <x:c r="T238" s="12" t="str">
        <x:v>DO NOT PLOT</x:v>
      </x:c>
      <x:c r="U238" s="12"/>
      <x:c r="V238" s="12" t="str">
        <x:v>ROAD_SEGMENT_OPEN</x:v>
      </x:c>
      <x:c r="W238" s="12" t="str">
        <x:v>https://www.freemalaysiatoday.com/category/bahasa/tempatan/2023/12/06/banjir-kilat-landa-25-kawasan-di-jb</x:v>
      </x:c>
      <x:c r="X238" s="12" t="str">
        <x:v>Part of the 25-location MBJB/media reconstruction; source labels are normalized without duplicating aliases.</x:v>
      </x:c>
    </x:row>
    <x:row r="239">
      <x:c r="A239" s="12" t="str">
        <x:v>FLOC-0068</x:v>
      </x:c>
      <x:c r="B239" s="12" t="str">
        <x:v>Jalan Tun Abdul Razak</x:v>
      </x:c>
      <x:c r="C239" s="12" t="str">
        <x:v>NO - SAME LOCATION/EPISODE</x:v>
      </x:c>
      <x:c r="D239" s="12" t="n">
        <x:v>2023</x:v>
      </x:c>
      <x:c r="E239" s="12" t="str">
        <x:v>EVT-JB-2023-040</x:v>
      </x:c>
      <x:c r="F239" s="18" t="n">
        <x:v>45266</x:v>
      </x:c>
      <x:c r="G239" s="12" t="str">
        <x:v>DG-JB-20231206</x:v>
      </x:c>
      <x:c r="H239" s="12" t="str">
        <x:v>JBLOC-0070</x:v>
      </x:c>
      <x:c r="I239" s="12" t="str">
        <x:v>S2023-036</x:v>
      </x:c>
      <x:c r="J239" s="12" t="str">
        <x:v>Jalan Tun Abdul Razak (Susur 3)</x:v>
      </x:c>
      <x:c r="K239" s="12" t="str">
        <x:v>Jalan Tun Abdul Razak (Susur 3)</x:v>
      </x:c>
      <x:c r="L239" s="12" t="str">
        <x:v>ROAD</x:v>
      </x:c>
      <x:c r="M239" s="12" t="str">
        <x:v>Flash flood</x:v>
      </x:c>
      <x:c r="N239" s="12" t="str">
        <x:v>A/B</x:v>
      </x:c>
      <x:c r="O239" s="12" t="str">
        <x:v>SRC_R2023_FMT_20231206</x:v>
      </x:c>
      <x:c r="P239" s="12"/>
      <x:c r="Q239" s="12" t="n">
        <x:v>103.7530988</x:v>
      </x:c>
      <x:c r="R239" s="12" t="n">
        <x:v>1.480721</x:v>
      </x:c>
      <x:c r="S239" s="12" t="str">
        <x:v>YES</x:v>
      </x:c>
      <x:c r="T239" s="12" t="str">
        <x:v>PLOT</x:v>
      </x:c>
      <x:c r="U239" s="12"/>
      <x:c r="V239" s="12" t="str">
        <x:v>ROAD_SEGMENT_OPEN</x:v>
      </x:c>
      <x:c r="W239" s="12" t="str">
        <x:v>https://www.freemalaysiatoday.com/category/bahasa/tempatan/2023/12/06/banjir-kilat-landa-25-kawasan-di-jb</x:v>
      </x:c>
      <x:c r="X239" s="12" t="str">
        <x:v>Part of the 25-location MBJB/media reconstruction; source labels are normalized without duplicating aliases.</x:v>
      </x:c>
    </x:row>
    <x:row r="240">
      <x:c r="A240" s="12" t="str">
        <x:v>FLOC-0071</x:v>
      </x:c>
      <x:c r="B240" s="12" t="str">
        <x:v>Jalan Yahya Awal</x:v>
      </x:c>
      <x:c r="C240" s="12" t="str">
        <x:v>YES</x:v>
      </x:c>
      <x:c r="D240" s="12" t="n">
        <x:v>2023</x:v>
      </x:c>
      <x:c r="E240" s="12" t="str">
        <x:v>EVT-JB-2023-041</x:v>
      </x:c>
      <x:c r="F240" s="18" t="n">
        <x:v>45266</x:v>
      </x:c>
      <x:c r="G240" s="12" t="str">
        <x:v>DG-JB-20231206</x:v>
      </x:c>
      <x:c r="H240" s="12" t="str">
        <x:v>JBLOC-0073</x:v>
      </x:c>
      <x:c r="I240" s="12" t="str">
        <x:v>S2023-037</x:v>
      </x:c>
      <x:c r="J240" s="12" t="str">
        <x:v>Jalan Yahya Awal</x:v>
      </x:c>
      <x:c r="K240" s="12" t="str">
        <x:v>Jalan Yahya Awal</x:v>
      </x:c>
      <x:c r="L240" s="12" t="str">
        <x:v>ROAD</x:v>
      </x:c>
      <x:c r="M240" s="12" t="str">
        <x:v>Flash flood</x:v>
      </x:c>
      <x:c r="N240" s="12" t="str">
        <x:v>A/B</x:v>
      </x:c>
      <x:c r="O240" s="12" t="str">
        <x:v>SRC_R2023_FMT_20231206</x:v>
      </x:c>
      <x:c r="P240" s="12" t="str">
        <x:v>SRC_R2023_MDJ_MAIN_20231207</x:v>
      </x:c>
      <x:c r="Q240" s="12" t="n">
        <x:v>103.7553464</x:v>
      </x:c>
      <x:c r="R240" s="12" t="n">
        <x:v>1.4633725</x:v>
      </x:c>
      <x:c r="S240" s="12" t="str">
        <x:v>YES</x:v>
      </x:c>
      <x:c r="T240" s="12" t="str">
        <x:v>PLOT</x:v>
      </x:c>
      <x:c r="U240" s="12"/>
      <x:c r="V240" s="12" t="str">
        <x:v>POINT_REFERENCE; ROAD_SEGMENT_OPEN</x:v>
      </x:c>
      <x:c r="W240" s="12" t="str">
        <x:v>https://www.freemalaysiatoday.com/category/bahasa/tempatan/2023/12/06/banjir-kilat-landa-25-kawasan-di-jb
https://mediadigitaljohor.gov.my/banjir-kilat-mbjb-laksana-tindakan-proaktif/</x:v>
      </x:c>
      <x:c r="X240" s="12" t="str">
        <x:v>Part of the 25-location MBJB/media reconstruction; source labels are normalized without duplicating aliases.</x:v>
      </x:c>
    </x:row>
    <x:row r="241">
      <x:c r="A241" s="12" t="str">
        <x:v>FLOC-0015</x:v>
      </x:c>
      <x:c r="B241" s="12" t="str">
        <x:v>Hutan Bandar MBJB</x:v>
      </x:c>
      <x:c r="C241" s="12" t="str">
        <x:v>YES</x:v>
      </x:c>
      <x:c r="D241" s="12" t="n">
        <x:v>2023</x:v>
      </x:c>
      <x:c r="E241" s="12" t="str">
        <x:v>EVT-JB-2023-042</x:v>
      </x:c>
      <x:c r="F241" s="18" t="n">
        <x:v>45266</x:v>
      </x:c>
      <x:c r="G241" s="12" t="str">
        <x:v>DG-JB-20231206</x:v>
      </x:c>
      <x:c r="H241" s="12" t="str">
        <x:v>JBLOC-0017</x:v>
      </x:c>
      <x:c r="I241" s="12" t="str">
        <x:v>S2023-038</x:v>
      </x:c>
      <x:c r="J241" s="12" t="str">
        <x:v>Hutan Bandar Johor Bahru</x:v>
      </x:c>
      <x:c r="K241" s="12" t="str">
        <x:v>Hutan Bandar MBJB</x:v>
      </x:c>
      <x:c r="L241" s="12" t="str">
        <x:v>URBAN PARK/AREA</x:v>
      </x:c>
      <x:c r="M241" s="12" t="str">
        <x:v>Flash flood</x:v>
      </x:c>
      <x:c r="N241" s="12" t="str">
        <x:v>A/B</x:v>
      </x:c>
      <x:c r="O241" s="12" t="str">
        <x:v>SRC_R2023_MDJ_MAIN_20231207</x:v>
      </x:c>
      <x:c r="P241" s="12"/>
      <x:c r="Q241" s="12" t="n">
        <x:v>103.74271</x:v>
      </x:c>
      <x:c r="R241" s="12" t="n">
        <x:v>1.479856</x:v>
      </x:c>
      <x:c r="S241" s="12" t="str">
        <x:v>YES</x:v>
      </x:c>
      <x:c r="T241" s="12" t="str">
        <x:v>PLOT</x:v>
      </x:c>
      <x:c r="U241" s="12"/>
      <x:c r="V241" s="12" t="str">
        <x:v>POINT_OPEN; POLYGON_OPEN</x:v>
      </x:c>
      <x:c r="W241" s="12" t="str">
        <x:v>https://mediadigitaljohor.gov.my/banjir-kilat-mbjb-laksana-tindakan-proaktif/</x:v>
      </x:c>
      <x:c r="X241" s="12" t="str">
        <x:v>Part of the 25-location MBJB/media reconstruction; source labels are normalized without duplicating aliases.</x:v>
      </x:c>
    </x:row>
    <x:row r="242">
      <x:c r="A242" s="12" t="str">
        <x:v>FLOC-0044</x:v>
      </x:c>
      <x:c r="B242" s="12" t="str">
        <x:v>Jalan Padi Huma 9</x:v>
      </x:c>
      <x:c r="C242" s="12" t="str">
        <x:v>YES</x:v>
      </x:c>
      <x:c r="D242" s="12" t="n">
        <x:v>2023</x:v>
      </x:c>
      <x:c r="E242" s="12" t="str">
        <x:v>EVT-JB-2023-043</x:v>
      </x:c>
      <x:c r="F242" s="18" t="n">
        <x:v>45266</x:v>
      </x:c>
      <x:c r="G242" s="12" t="str">
        <x:v>DG-JB-20231206</x:v>
      </x:c>
      <x:c r="H242" s="12" t="str">
        <x:v>JBLOC-0046</x:v>
      </x:c>
      <x:c r="I242" s="12" t="str">
        <x:v>S2023-039</x:v>
      </x:c>
      <x:c r="J242" s="12" t="str">
        <x:v>Jalan Padi Huma 9</x:v>
      </x:c>
      <x:c r="K242" s="12" t="str">
        <x:v>Jalan Padi Huma 9</x:v>
      </x:c>
      <x:c r="L242" s="12" t="str">
        <x:v>ROAD</x:v>
      </x:c>
      <x:c r="M242" s="12" t="str">
        <x:v>Flash flood</x:v>
      </x:c>
      <x:c r="N242" s="12" t="str">
        <x:v>A/B</x:v>
      </x:c>
      <x:c r="O242" s="12" t="str">
        <x:v>SRC_R2023_MDJ_MAIN_20231207</x:v>
      </x:c>
      <x:c r="P242" s="12"/>
      <x:c r="Q242" s="12" t="n">
        <x:v>103.7237744</x:v>
      </x:c>
      <x:c r="R242" s="12" t="n">
        <x:v>1.4983831</x:v>
      </x:c>
      <x:c r="S242" s="12" t="str">
        <x:v>YES</x:v>
      </x:c>
      <x:c r="T242" s="12" t="str">
        <x:v>PLOT</x:v>
      </x:c>
      <x:c r="U242" s="12"/>
      <x:c r="V242" s="12" t="str">
        <x:v>POINT_REFERENCE; ROAD_SEGMENT_OPEN</x:v>
      </x:c>
      <x:c r="W242" s="12" t="str">
        <x:v>https://mediadigitaljohor.gov.my/banjir-kilat-mbjb-laksana-tindakan-proaktif/</x:v>
      </x:c>
      <x:c r="X242" s="12" t="str">
        <x:v>Part of the 25-location MBJB/media reconstruction; source labels are normalized without duplicating aliases.</x:v>
      </x:c>
    </x:row>
    <x:row r="243">
      <x:c r="A243" s="12" t="str">
        <x:v>FLOC-0043</x:v>
      </x:c>
      <x:c r="B243" s="12" t="str">
        <x:v>Jalan Padi Huma 10</x:v>
      </x:c>
      <x:c r="C243" s="12" t="str">
        <x:v>YES</x:v>
      </x:c>
      <x:c r="D243" s="12" t="n">
        <x:v>2023</x:v>
      </x:c>
      <x:c r="E243" s="12" t="str">
        <x:v>EVT-JB-2023-044</x:v>
      </x:c>
      <x:c r="F243" s="18" t="n">
        <x:v>45266</x:v>
      </x:c>
      <x:c r="G243" s="12" t="str">
        <x:v>DG-JB-20231206</x:v>
      </x:c>
      <x:c r="H243" s="12" t="str">
        <x:v>JBLOC-0045</x:v>
      </x:c>
      <x:c r="I243" s="12" t="str">
        <x:v>S2023-040</x:v>
      </x:c>
      <x:c r="J243" s="12" t="str">
        <x:v>Jalan Padi Huma 10</x:v>
      </x:c>
      <x:c r="K243" s="12" t="str">
        <x:v>Jalan Padi Huma 10</x:v>
      </x:c>
      <x:c r="L243" s="12" t="str">
        <x:v>ROAD</x:v>
      </x:c>
      <x:c r="M243" s="12" t="str">
        <x:v>Flash flood</x:v>
      </x:c>
      <x:c r="N243" s="12" t="str">
        <x:v>A/B</x:v>
      </x:c>
      <x:c r="O243" s="12" t="str">
        <x:v>SRC_R2023_MDJ_MAIN_20231207</x:v>
      </x:c>
      <x:c r="P243" s="12"/>
      <x:c r="Q243" s="12" t="n">
        <x:v>103.7234744</x:v>
      </x:c>
      <x:c r="R243" s="12" t="n">
        <x:v>1.4989124</x:v>
      </x:c>
      <x:c r="S243" s="12" t="str">
        <x:v>YES</x:v>
      </x:c>
      <x:c r="T243" s="12" t="str">
        <x:v>PLOT</x:v>
      </x:c>
      <x:c r="U243" s="12"/>
      <x:c r="V243" s="12" t="str">
        <x:v>POINT_REFERENCE; ROAD_SEGMENT_OPEN</x:v>
      </x:c>
      <x:c r="W243" s="12" t="str">
        <x:v>https://mediadigitaljohor.gov.my/banjir-kilat-mbjb-laksana-tindakan-proaktif/</x:v>
      </x:c>
      <x:c r="X243" s="12" t="str">
        <x:v>Part of the 25-location MBJB/media reconstruction; source labels are normalized without duplicating aliases.</x:v>
      </x:c>
    </x:row>
    <x:row r="244">
      <x:c r="A244" s="12" t="str">
        <x:v>FLOC-0086</x:v>
      </x:c>
      <x:c r="B244" s="12" t="str">
        <x:v>Kampung Kangkar Tebrau</x:v>
      </x:c>
      <x:c r="C244" s="12" t="str">
        <x:v>YES</x:v>
      </x:c>
      <x:c r="D244" s="12" t="n">
        <x:v>2023</x:v>
      </x:c>
      <x:c r="E244" s="12" t="str">
        <x:v>EVT-JB-2023-045</x:v>
      </x:c>
      <x:c r="F244" s="18" t="n">
        <x:v>45266</x:v>
      </x:c>
      <x:c r="G244" s="12" t="str">
        <x:v>DG-JB-20231206</x:v>
      </x:c>
      <x:c r="H244" s="12" t="str">
        <x:v>JBLOC-0090</x:v>
      </x:c>
      <x:c r="I244" s="12" t="str">
        <x:v>S2023-013</x:v>
      </x:c>
      <x:c r="J244" s="12" t="str">
        <x:v>Kampung Kangkar Tebrau</x:v>
      </x:c>
      <x:c r="K244" s="12" t="str">
        <x:v>Kampung Kangkar Tebrau</x:v>
      </x:c>
      <x:c r="L244" s="12" t="str">
        <x:v>COMMUNITY/AREA</x:v>
      </x:c>
      <x:c r="M244" s="12" t="str">
        <x:v>Flash flood</x:v>
      </x:c>
      <x:c r="N244" s="12" t="str">
        <x:v>A/B</x:v>
      </x:c>
      <x:c r="O244" s="12" t="str">
        <x:v>SRC_R2023_MDJ_MAIN_20231207</x:v>
      </x:c>
      <x:c r="P244" s="12"/>
      <x:c r="Q244" s="12" t="n">
        <x:v>103.75589</x:v>
      </x:c>
      <x:c r="R244" s="12" t="n">
        <x:v>1.53176</x:v>
      </x:c>
      <x:c r="S244" s="12" t="str">
        <x:v>YES</x:v>
      </x:c>
      <x:c r="T244" s="12" t="str">
        <x:v>PLOT</x:v>
      </x:c>
      <x:c r="U244" s="12" t="str">
        <x:v>PG2017-KANGKAR-TEBRAU</x:v>
      </x:c>
      <x:c r="V244" s="12" t="str">
        <x:v>REUSED_CLOSED</x:v>
      </x:c>
      <x:c r="W244" s="12" t="str">
        <x:v>https://mediadigitaljohor.gov.my/banjir-kilat-mbjb-laksana-tindakan-proaktif/</x:v>
      </x:c>
      <x:c r="X244" s="12" t="str">
        <x:v>Part of the 25-location MBJB/media reconstruction; source labels are normalized without duplicating aliases.</x:v>
      </x:c>
    </x:row>
    <x:row r="245">
      <x:c r="A245" s="12" t="str">
        <x:v>FLOC-0183</x:v>
      </x:c>
      <x:c r="B245" s="12" t="str">
        <x:v>Taman Nong Chik</x:v>
      </x:c>
      <x:c r="C245" s="12" t="str">
        <x:v>YES</x:v>
      </x:c>
      <x:c r="D245" s="12" t="n">
        <x:v>2023</x:v>
      </x:c>
      <x:c r="E245" s="12" t="str">
        <x:v>EVT-JB-2023-046</x:v>
      </x:c>
      <x:c r="F245" s="18" t="n">
        <x:v>45266</x:v>
      </x:c>
      <x:c r="G245" s="12" t="str">
        <x:v>DG-JB-20231206</x:v>
      </x:c>
      <x:c r="H245" s="12" t="str">
        <x:v>JBLOC-0198</x:v>
      </x:c>
      <x:c r="I245" s="12" t="str">
        <x:v>S2023-041</x:v>
      </x:c>
      <x:c r="J245" s="12" t="str">
        <x:v>Nong Chik</x:v>
      </x:c>
      <x:c r="K245" s="12" t="str">
        <x:v>Taman Nong Chik</x:v>
      </x:c>
      <x:c r="L245" s="12" t="str">
        <x:v>COMMUNITY/AREA</x:v>
      </x:c>
      <x:c r="M245" s="12" t="str">
        <x:v>Flash flood</x:v>
      </x:c>
      <x:c r="N245" s="12" t="str">
        <x:v>A/B</x:v>
      </x:c>
      <x:c r="O245" s="12" t="str">
        <x:v>SRC_R2023_MDJ_RESPONSE_20231206</x:v>
      </x:c>
      <x:c r="P245" s="12"/>
      <x:c r="Q245" s="12" t="n">
        <x:v>103.7395647</x:v>
      </x:c>
      <x:c r="R245" s="12" t="n">
        <x:v>1.4765564</x:v>
      </x:c>
      <x:c r="S245" s="12" t="str">
        <x:v>YES</x:v>
      </x:c>
      <x:c r="T245" s="12" t="str">
        <x:v>PLOT</x:v>
      </x:c>
      <x:c r="U245" s="12"/>
      <x:c r="V245" s="12" t="str">
        <x:v>POINT_READY; POLYGON_OPEN</x:v>
      </x:c>
      <x:c r="W245" s="12" t="str">
        <x:v>https://mediadigitaljohor.gov.my/banjir-kilat-bomba-apm-mbjb-bertindak-proaktif/</x:v>
      </x:c>
      <x:c r="X245" s="12" t="str">
        <x:v>Part of the 25-location MBJB/media reconstruction; source labels are normalized without duplicating aliases.</x:v>
      </x:c>
    </x:row>
    <x:row r="246">
      <x:c r="A246" s="12" t="str">
        <x:v>FLOC-0150</x:v>
      </x:c>
      <x:c r="B246" s="12" t="str">
        <x:v>Majidee</x:v>
      </x:c>
      <x:c r="C246" s="12" t="str">
        <x:v>YES</x:v>
      </x:c>
      <x:c r="D246" s="12" t="n">
        <x:v>2023</x:v>
      </x:c>
      <x:c r="E246" s="12" t="str">
        <x:v>EVT-JB-2023-047</x:v>
      </x:c>
      <x:c r="F246" s="18" t="n">
        <x:v>45266</x:v>
      </x:c>
      <x:c r="G246" s="12" t="str">
        <x:v>DG-JB-20231206</x:v>
      </x:c>
      <x:c r="H246" s="12" t="str">
        <x:v>JBLOC-0166</x:v>
      </x:c>
      <x:c r="I246" s="12" t="str">
        <x:v>S2023-042</x:v>
      </x:c>
      <x:c r="J246" s="12" t="str">
        <x:v>Majidee</x:v>
      </x:c>
      <x:c r="K246" s="12" t="str">
        <x:v>Majidee</x:v>
      </x:c>
      <x:c r="L246" s="12" t="str">
        <x:v>COMMUNITY/AREA</x:v>
      </x:c>
      <x:c r="M246" s="12" t="str">
        <x:v>Flash flood</x:v>
      </x:c>
      <x:c r="N246" s="12" t="str">
        <x:v>A/B</x:v>
      </x:c>
      <x:c r="O246" s="12" t="str">
        <x:v>SRC_R2023_MDJ_RESPONSE_20231206</x:v>
      </x:c>
      <x:c r="P246" s="12"/>
      <x:c r="Q246" s="12" t="n">
        <x:v>103.7579076</x:v>
      </x:c>
      <x:c r="R246" s="12" t="n">
        <x:v>1.5145389</x:v>
      </x:c>
      <x:c r="S246" s="12" t="str">
        <x:v>YES</x:v>
      </x:c>
      <x:c r="T246" s="12" t="str">
        <x:v>PLOT</x:v>
      </x:c>
      <x:c r="U246" s="12"/>
      <x:c r="V246" s="12" t="str">
        <x:v>POINT_READY; POLYGON_OPEN</x:v>
      </x:c>
      <x:c r="W246" s="12" t="str">
        <x:v>https://mediadigitaljohor.gov.my/banjir-kilat-bomba-apm-mbjb-bertindak-proaktif/</x:v>
      </x:c>
      <x:c r="X246" s="12" t="str">
        <x:v>Part of the 25-location MBJB/media reconstruction; source labels are normalized without duplicating aliases.</x:v>
      </x:c>
    </x:row>
    <x:row r="247">
      <x:c r="A247" s="12" t="str">
        <x:v>FLOC-0182</x:v>
      </x:c>
      <x:c r="B247" s="12" t="str">
        <x:v>Taman Melodies</x:v>
      </x:c>
      <x:c r="C247" s="12" t="str">
        <x:v>YES</x:v>
      </x:c>
      <x:c r="D247" s="12" t="n">
        <x:v>2023</x:v>
      </x:c>
      <x:c r="E247" s="12" t="str">
        <x:v>EVT-JB-2023-048</x:v>
      </x:c>
      <x:c r="F247" s="18" t="n">
        <x:v>45266</x:v>
      </x:c>
      <x:c r="G247" s="12" t="str">
        <x:v>DG-JB-20231206</x:v>
      </x:c>
      <x:c r="H247" s="12" t="str">
        <x:v>JBLOC-0197</x:v>
      </x:c>
      <x:c r="I247" s="12" t="str">
        <x:v>S2023-043</x:v>
      </x:c>
      <x:c r="J247" s="12" t="str">
        <x:v>Taman Melodies</x:v>
      </x:c>
      <x:c r="K247" s="12" t="str">
        <x:v>Taman Melodies</x:v>
      </x:c>
      <x:c r="L247" s="12" t="str">
        <x:v>COMMUNITY/AREA</x:v>
      </x:c>
      <x:c r="M247" s="12" t="str">
        <x:v>Flash flood</x:v>
      </x:c>
      <x:c r="N247" s="12" t="str">
        <x:v>A/B</x:v>
      </x:c>
      <x:c r="O247" s="12" t="str">
        <x:v>SRC_R2023_MDJ_RESPONSE_20231206</x:v>
      </x:c>
      <x:c r="P247" s="12"/>
      <x:c r="Q247" s="12" t="n">
        <x:v>103.7613894</x:v>
      </x:c>
      <x:c r="R247" s="12" t="n">
        <x:v>1.4901965</x:v>
      </x:c>
      <x:c r="S247" s="12" t="str">
        <x:v>YES</x:v>
      </x:c>
      <x:c r="T247" s="12" t="str">
        <x:v>PLOT</x:v>
      </x:c>
      <x:c r="U247" s="12"/>
      <x:c r="V247" s="12" t="str">
        <x:v>POINT_READY; POLYGON_OPEN</x:v>
      </x:c>
      <x:c r="W247" s="12" t="str">
        <x:v>https://mediadigitaljohor.gov.my/banjir-kilat-bomba-apm-mbjb-bertindak-proaktif/</x:v>
      </x:c>
      <x:c r="X247" s="12" t="str">
        <x:v>Part of the 25-location MBJB/media reconstruction; source labels are normalized without duplicating aliases.</x:v>
      </x:c>
    </x:row>
    <x:row r="248">
      <x:c r="A248" s="12" t="str">
        <x:v>FLOC-0062</x:v>
      </x:c>
      <x:c r="B248" s="12" t="str">
        <x:v>Jalan Sungai Chat</x:v>
      </x:c>
      <x:c r="C248" s="12" t="str">
        <x:v>YES</x:v>
      </x:c>
      <x:c r="D248" s="12" t="n">
        <x:v>2023</x:v>
      </x:c>
      <x:c r="E248" s="12" t="str">
        <x:v>EVT-JB-2023-049</x:v>
      </x:c>
      <x:c r="F248" s="18" t="n">
        <x:v>45266</x:v>
      </x:c>
      <x:c r="G248" s="12" t="str">
        <x:v>DG-JB-20231206</x:v>
      </x:c>
      <x:c r="H248" s="12" t="str">
        <x:v>JBLOC-0064</x:v>
      </x:c>
      <x:c r="I248" s="12" t="str">
        <x:v>S2023-044</x:v>
      </x:c>
      <x:c r="J248" s="12" t="str">
        <x:v>Jalan Sungai Chat</x:v>
      </x:c>
      <x:c r="K248" s="12" t="str">
        <x:v>Jalan Sungai Chat</x:v>
      </x:c>
      <x:c r="L248" s="12" t="str">
        <x:v>ROAD</x:v>
      </x:c>
      <x:c r="M248" s="12" t="str">
        <x:v>Flash flood</x:v>
      </x:c>
      <x:c r="N248" s="12" t="str">
        <x:v>B</x:v>
      </x:c>
      <x:c r="O248" s="12" t="str">
        <x:v>SRC_R2023_UTUSAN_20231206</x:v>
      </x:c>
      <x:c r="P248" s="12"/>
      <x:c r="Q248" s="12" t="n">
        <x:v>103.7385575</x:v>
      </x:c>
      <x:c r="R248" s="12" t="n">
        <x:v>1.4609922</x:v>
      </x:c>
      <x:c r="S248" s="12" t="str">
        <x:v>YES</x:v>
      </x:c>
      <x:c r="T248" s="12" t="str">
        <x:v>PLOT</x:v>
      </x:c>
      <x:c r="U248" s="12"/>
      <x:c r="V248" s="12" t="str">
        <x:v>POINT_REFERENCE; ROAD_SEGMENT_OPEN</x:v>
      </x:c>
      <x:c r="W248" s="12" t="str">
        <x:v>https://www.utusan.com.my/berita/2023/12/hujan-lebat-lebih-tiga-jam-sebabkan-banjir-kilat/</x:v>
      </x:c>
      <x:c r="X248" s="12" t="str">
        <x:v>Additional explicit field-observed location beyond the contemporaneous MBJB 25-location reporting block; retained under all-documented-location rule.</x:v>
      </x:c>
    </x:row>
    <x:row r="249">
      <x:c r="A249" s="12" t="str">
        <x:v>FLOC-0172</x:v>
      </x:c>
      <x:c r="B249" s="12" t="str">
        <x:v>Taman Abad</x:v>
      </x:c>
      <x:c r="C249" s="12" t="str">
        <x:v>YES</x:v>
      </x:c>
      <x:c r="D249" s="12" t="n">
        <x:v>2023</x:v>
      </x:c>
      <x:c r="E249" s="12" t="str">
        <x:v>EVT-JB-2023-050</x:v>
      </x:c>
      <x:c r="F249" s="18" t="n">
        <x:v>45266</x:v>
      </x:c>
      <x:c r="G249" s="12" t="str">
        <x:v>DG-JB-20231206</x:v>
      </x:c>
      <x:c r="H249" s="12" t="str">
        <x:v>JBLOC-0188</x:v>
      </x:c>
      <x:c r="I249" s="12" t="str">
        <x:v>S2023-045</x:v>
      </x:c>
      <x:c r="J249" s="12" t="str">
        <x:v>Taman Abad</x:v>
      </x:c>
      <x:c r="K249" s="12" t="str">
        <x:v>Taman Abad</x:v>
      </x:c>
      <x:c r="L249" s="12" t="str">
        <x:v>COMMUNITY/AREA</x:v>
      </x:c>
      <x:c r="M249" s="12" t="str">
        <x:v>Flash flood</x:v>
      </x:c>
      <x:c r="N249" s="12" t="str">
        <x:v>B</x:v>
      </x:c>
      <x:c r="O249" s="12" t="str">
        <x:v>SRC_R2023_UTUSAN_20231206</x:v>
      </x:c>
      <x:c r="P249" s="12"/>
      <x:c r="Q249" s="12" t="n">
        <x:v>103.7595973</x:v>
      </x:c>
      <x:c r="R249" s="12" t="n">
        <x:v>1.482543</x:v>
      </x:c>
      <x:c r="S249" s="12" t="str">
        <x:v>YES</x:v>
      </x:c>
      <x:c r="T249" s="12" t="str">
        <x:v>PLOT</x:v>
      </x:c>
      <x:c r="U249" s="12"/>
      <x:c r="V249" s="12" t="str">
        <x:v>POINT_OPEN; POLYGON_OPEN</x:v>
      </x:c>
      <x:c r="W249" s="12" t="str">
        <x:v>https://www.utusan.com.my/berita/2023/12/hujan-lebat-lebih-tiga-jam-sebabkan-banjir-kilat/</x:v>
      </x:c>
      <x:c r="X249" s="12" t="str">
        <x:v>Additional explicit field-observed location beyond the contemporaneous MBJB 25-location reporting block; retained under all-documented-location rule.</x:v>
      </x:c>
    </x:row>
    <x:row r="250">
      <x:c r="A250" s="12" t="str">
        <x:v>FLOC-0195</x:v>
      </x:c>
      <x:c r="B250" s="12" t="str">
        <x:v>Taman Tasik / Taman Merdeka</x:v>
      </x:c>
      <x:c r="C250" s="12" t="str">
        <x:v>YES</x:v>
      </x:c>
      <x:c r="D250" s="12" t="n">
        <x:v>2023</x:v>
      </x:c>
      <x:c r="E250" s="12" t="str">
        <x:v>EVT-JB-2023-051</x:v>
      </x:c>
      <x:c r="F250" s="18" t="n">
        <x:v>45266</x:v>
      </x:c>
      <x:c r="G250" s="12" t="str">
        <x:v>DG-JB-20231206</x:v>
      </x:c>
      <x:c r="H250" s="12" t="str">
        <x:v>JBLOC-0210</x:v>
      </x:c>
      <x:c r="I250" s="12" t="str">
        <x:v>S2023-046</x:v>
      </x:c>
      <x:c r="J250" s="12" t="str">
        <x:v>Tasek Merdeka</x:v>
      </x:c>
      <x:c r="K250" s="12" t="str">
        <x:v>Taman Tasik / Taman Merdeka</x:v>
      </x:c>
      <x:c r="L250" s="12" t="str">
        <x:v>COMMUNITY/AREA</x:v>
      </x:c>
      <x:c r="M250" s="12" t="str">
        <x:v>Flash flood</x:v>
      </x:c>
      <x:c r="N250" s="12" t="str">
        <x:v>B</x:v>
      </x:c>
      <x:c r="O250" s="12" t="str">
        <x:v>SRC_R2023_UTUSAN_20231206</x:v>
      </x:c>
      <x:c r="P250" s="12"/>
      <x:c r="Q250" s="12" t="n">
        <x:v>103.7359187</x:v>
      </x:c>
      <x:c r="R250" s="12" t="n">
        <x:v>1.4794199</x:v>
      </x:c>
      <x:c r="S250" s="12" t="str">
        <x:v>YES</x:v>
      </x:c>
      <x:c r="T250" s="12" t="str">
        <x:v>PLOT</x:v>
      </x:c>
      <x:c r="U250" s="12"/>
      <x:c r="V250" s="12" t="str">
        <x:v>POINT_OPEN; POLYGON_OPEN</x:v>
      </x:c>
      <x:c r="W250" s="12" t="str">
        <x:v>https://www.utusan.com.my/berita/2023/12/hujan-lebat-lebih-tiga-jam-sebabkan-banjir-kilat/</x:v>
      </x:c>
      <x:c r="X250" s="12" t="str">
        <x:v>Additional explicit field-observed location beyond the contemporaneous MBJB 25-location reporting block; retained under all-documented-location rule.</x:v>
      </x:c>
    </x:row>
    <x:row r="251">
      <x:c r="A251" s="12" t="str">
        <x:v>FLOC-0053</x:v>
      </x:c>
      <x:c r="B251" s="12" t="str">
        <x:v>Jalan Rosmerah Utama</x:v>
      </x:c>
      <x:c r="C251" s="12" t="str">
        <x:v>YES</x:v>
      </x:c>
      <x:c r="D251" s="12" t="n">
        <x:v>2023</x:v>
      </x:c>
      <x:c r="E251" s="12" t="str">
        <x:v>EVT-JB-2023-052</x:v>
      </x:c>
      <x:c r="F251" s="18" t="n">
        <x:v>45274</x:v>
      </x:c>
      <x:c r="G251" s="12" t="str">
        <x:v>DG-JB-20231214</x:v>
      </x:c>
      <x:c r="H251" s="12" t="str">
        <x:v>JBLOC-0055</x:v>
      </x:c>
      <x:c r="I251" s="12" t="str">
        <x:v>S2023-047</x:v>
      </x:c>
      <x:c r="J251" s="12" t="str">
        <x:v>Jalan Rosmerah Utama</x:v>
      </x:c>
      <x:c r="K251" s="12" t="str">
        <x:v>Jalan Rosmerah Utama</x:v>
      </x:c>
      <x:c r="L251" s="12" t="str">
        <x:v>ROAD</x:v>
      </x:c>
      <x:c r="M251" s="12" t="str">
        <x:v>Flash flood</x:v>
      </x:c>
      <x:c r="N251" s="12" t="str">
        <x:v>A/B</x:v>
      </x:c>
      <x:c r="O251" s="12" t="str">
        <x:v>SRC_R2023_RTM_20231214</x:v>
      </x:c>
      <x:c r="P251" s="12" t="str">
        <x:v>SRC_R2023_MMAIL_20231214</x:v>
      </x:c>
      <x:c r="Q251" s="12"/>
      <x:c r="R251" s="12"/>
      <x:c r="S251" s="12" t="str">
        <x:v>NO</x:v>
      </x:c>
      <x:c r="T251" s="12" t="str">
        <x:v>DO NOT PLOT</x:v>
      </x:c>
      <x:c r="U251" s="12"/>
      <x:c r="V251" s="12" t="str">
        <x:v>ROAD_SEGMENT_OPEN</x:v>
      </x:c>
      <x:c r="W251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X251" s="12"/>
    </x:row>
    <x:row r="252">
      <x:c r="A252" s="12" t="str">
        <x:v>FLOC-0057</x:v>
      </x:c>
      <x:c r="B252" s="12" t="str">
        <x:v>Jalan Setia 10, Setia Indah</x:v>
      </x:c>
      <x:c r="C252" s="12" t="str">
        <x:v>YES</x:v>
      </x:c>
      <x:c r="D252" s="12" t="n">
        <x:v>2023</x:v>
      </x:c>
      <x:c r="E252" s="12" t="str">
        <x:v>EVT-JB-2023-053</x:v>
      </x:c>
      <x:c r="F252" s="18" t="n">
        <x:v>45274</x:v>
      </x:c>
      <x:c r="G252" s="12" t="str">
        <x:v>DG-JB-20231214</x:v>
      </x:c>
      <x:c r="H252" s="12" t="str">
        <x:v>JBLOC-0059</x:v>
      </x:c>
      <x:c r="I252" s="12" t="str">
        <x:v>S2023-048</x:v>
      </x:c>
      <x:c r="J252" s="12" t="str">
        <x:v>Jalan Setia 10, Setia Indah</x:v>
      </x:c>
      <x:c r="K252" s="12" t="str">
        <x:v>Jalan Setia 10, Setia Indah</x:v>
      </x:c>
      <x:c r="L252" s="12" t="str">
        <x:v>ROAD</x:v>
      </x:c>
      <x:c r="M252" s="12" t="str">
        <x:v>Flash flood</x:v>
      </x:c>
      <x:c r="N252" s="12" t="str">
        <x:v>A/B</x:v>
      </x:c>
      <x:c r="O252" s="12" t="str">
        <x:v>SRC_R2023_RTM_20231214</x:v>
      </x:c>
      <x:c r="P252" s="12" t="str">
        <x:v>SRC_R2023_MMAIL_20231214</x:v>
      </x:c>
      <x:c r="Q252" s="12"/>
      <x:c r="R252" s="12"/>
      <x:c r="S252" s="12" t="str">
        <x:v>NO</x:v>
      </x:c>
      <x:c r="T252" s="12" t="str">
        <x:v>DO NOT PLOT</x:v>
      </x:c>
      <x:c r="U252" s="12"/>
      <x:c r="V252" s="12" t="str">
        <x:v>ROAD_SEGMENT_OPEN</x:v>
      </x:c>
      <x:c r="W252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X252" s="12"/>
    </x:row>
    <x:row r="253">
      <x:c r="A253" s="12" t="str">
        <x:v>FLOC-0042</x:v>
      </x:c>
      <x:c r="B253" s="12" t="str">
        <x:v>Jalan Mutiara Emas Utama</x:v>
      </x:c>
      <x:c r="C253" s="12" t="str">
        <x:v>YES</x:v>
      </x:c>
      <x:c r="D253" s="12" t="n">
        <x:v>2023</x:v>
      </x:c>
      <x:c r="E253" s="12" t="str">
        <x:v>EVT-JB-2023-054</x:v>
      </x:c>
      <x:c r="F253" s="18" t="n">
        <x:v>45274</x:v>
      </x:c>
      <x:c r="G253" s="12" t="str">
        <x:v>DG-JB-20231214</x:v>
      </x:c>
      <x:c r="H253" s="12" t="str">
        <x:v>JBLOC-0044</x:v>
      </x:c>
      <x:c r="I253" s="12" t="str">
        <x:v>S2023-049</x:v>
      </x:c>
      <x:c r="J253" s="12" t="str">
        <x:v>Jalan Mutiara Emas Utama</x:v>
      </x:c>
      <x:c r="K253" s="12" t="str">
        <x:v>Jalan Mutiara Emas Utama</x:v>
      </x:c>
      <x:c r="L253" s="12" t="str">
        <x:v>ROAD</x:v>
      </x:c>
      <x:c r="M253" s="12" t="str">
        <x:v>Flash flood</x:v>
      </x:c>
      <x:c r="N253" s="12" t="str">
        <x:v>A/B</x:v>
      </x:c>
      <x:c r="O253" s="12" t="str">
        <x:v>SRC_R2023_RTM_20231214</x:v>
      </x:c>
      <x:c r="P253" s="12" t="str">
        <x:v>SRC_R2023_MMAIL_20231214</x:v>
      </x:c>
      <x:c r="Q253" s="12" t="n">
        <x:v>103.7804</x:v>
      </x:c>
      <x:c r="R253" s="12" t="n">
        <x:v>1.5605</x:v>
      </x:c>
      <x:c r="S253" s="12" t="str">
        <x:v>YES</x:v>
      </x:c>
      <x:c r="T253" s="12" t="str">
        <x:v>PLOT</x:v>
      </x:c>
      <x:c r="U253" s="12"/>
      <x:c r="V253" s="12" t="str">
        <x:v>ROAD_SEGMENT_OPEN</x:v>
      </x:c>
      <x:c r="W253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X253" s="12"/>
    </x:row>
    <x:row r="254">
      <x:c r="A254" s="12" t="str">
        <x:v>FLOC-0041</x:v>
      </x:c>
      <x:c r="B254" s="12" t="str">
        <x:v>Jalan Mohd Amin 7</x:v>
      </x:c>
      <x:c r="C254" s="12" t="str">
        <x:v>YES</x:v>
      </x:c>
      <x:c r="D254" s="12" t="n">
        <x:v>2023</x:v>
      </x:c>
      <x:c r="E254" s="12" t="str">
        <x:v>EVT-JB-2023-055</x:v>
      </x:c>
      <x:c r="F254" s="18" t="n">
        <x:v>45274</x:v>
      </x:c>
      <x:c r="G254" s="12" t="str">
        <x:v>DG-JB-20231214</x:v>
      </x:c>
      <x:c r="H254" s="12" t="str">
        <x:v>JBLOC-0043</x:v>
      </x:c>
      <x:c r="I254" s="12" t="str">
        <x:v>S2023-050</x:v>
      </x:c>
      <x:c r="J254" s="12" t="str">
        <x:v>Jalan Mohd Amin 7</x:v>
      </x:c>
      <x:c r="K254" s="12" t="str">
        <x:v>Jalan Mohd Amin 7</x:v>
      </x:c>
      <x:c r="L254" s="12" t="str">
        <x:v>ROAD</x:v>
      </x:c>
      <x:c r="M254" s="12" t="str">
        <x:v>Flash flood</x:v>
      </x:c>
      <x:c r="N254" s="12" t="str">
        <x:v>A/B</x:v>
      </x:c>
      <x:c r="O254" s="12" t="str">
        <x:v>SRC_R2023_RTM_20231214</x:v>
      </x:c>
      <x:c r="P254" s="12" t="str">
        <x:v>SRC_R2023_MMAIL_20231214</x:v>
      </x:c>
      <x:c r="Q254" s="12"/>
      <x:c r="R254" s="12"/>
      <x:c r="S254" s="12" t="str">
        <x:v>NO</x:v>
      </x:c>
      <x:c r="T254" s="12" t="str">
        <x:v>DO NOT PLOT</x:v>
      </x:c>
      <x:c r="U254" s="12"/>
      <x:c r="V254" s="12" t="str">
        <x:v>ROAD_SEGMENT_OPEN</x:v>
      </x:c>
      <x:c r="W254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X254" s="12"/>
    </x:row>
    <x:row r="255">
      <x:c r="A255" s="12" t="str">
        <x:v>FLOC-0058</x:v>
      </x:c>
      <x:c r="B255" s="12" t="str">
        <x:v>Jalan Setia 11, Setia Indah</x:v>
      </x:c>
      <x:c r="C255" s="12" t="str">
        <x:v>YES</x:v>
      </x:c>
      <x:c r="D255" s="12" t="n">
        <x:v>2023</x:v>
      </x:c>
      <x:c r="E255" s="12" t="str">
        <x:v>EVT-JB-2023-056</x:v>
      </x:c>
      <x:c r="F255" s="18" t="n">
        <x:v>45274</x:v>
      </x:c>
      <x:c r="G255" s="12" t="str">
        <x:v>DG-JB-20231214</x:v>
      </x:c>
      <x:c r="H255" s="12" t="str">
        <x:v>JBLOC-0060</x:v>
      </x:c>
      <x:c r="I255" s="12" t="str">
        <x:v>S2023-051</x:v>
      </x:c>
      <x:c r="J255" s="12" t="str">
        <x:v>Jalan Setia 11, Setia Indah</x:v>
      </x:c>
      <x:c r="K255" s="12" t="str">
        <x:v>Jalan Setia 11, Setia Indah</x:v>
      </x:c>
      <x:c r="L255" s="12" t="str">
        <x:v>ROAD</x:v>
      </x:c>
      <x:c r="M255" s="12" t="str">
        <x:v>Flash flood</x:v>
      </x:c>
      <x:c r="N255" s="12" t="str">
        <x:v>A/B</x:v>
      </x:c>
      <x:c r="O255" s="12" t="str">
        <x:v>SRC_R2023_RTM_20231214</x:v>
      </x:c>
      <x:c r="P255" s="12" t="str">
        <x:v>SRC_R2023_MMAIL_20231214</x:v>
      </x:c>
      <x:c r="Q255" s="12"/>
      <x:c r="R255" s="12"/>
      <x:c r="S255" s="12" t="str">
        <x:v>NO</x:v>
      </x:c>
      <x:c r="T255" s="12" t="str">
        <x:v>DO NOT PLOT</x:v>
      </x:c>
      <x:c r="U255" s="12"/>
      <x:c r="V255" s="12" t="str">
        <x:v>ROAD_SEGMENT_OPEN</x:v>
      </x:c>
      <x:c r="W255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X255" s="12"/>
    </x:row>
    <x:row r="256">
      <x:c r="A256" s="12" t="str">
        <x:v>FLOC-0023</x:v>
      </x:c>
      <x:c r="B256" s="12" t="str">
        <x:v>Jalan Dato Sulaiman</x:v>
      </x:c>
      <x:c r="C256" s="12" t="str">
        <x:v>YES</x:v>
      </x:c>
      <x:c r="D256" s="12" t="n">
        <x:v>2023</x:v>
      </x:c>
      <x:c r="E256" s="12" t="str">
        <x:v>EVT-JB-2023-057</x:v>
      </x:c>
      <x:c r="F256" s="18" t="n">
        <x:v>45274</x:v>
      </x:c>
      <x:c r="G256" s="12" t="str">
        <x:v>DG-JB-20231214</x:v>
      </x:c>
      <x:c r="H256" s="12" t="str">
        <x:v>JBLOC-0025</x:v>
      </x:c>
      <x:c r="I256" s="12" t="str">
        <x:v>S2023-024</x:v>
      </x:c>
      <x:c r="J256" s="12" t="str">
        <x:v>Jalan Dato Sulaiman</x:v>
      </x:c>
      <x:c r="K256" s="12" t="str">
        <x:v>Jalan Dato Sulaiman</x:v>
      </x:c>
      <x:c r="L256" s="12" t="str">
        <x:v>ROAD</x:v>
      </x:c>
      <x:c r="M256" s="12" t="str">
        <x:v>Flash flood</x:v>
      </x:c>
      <x:c r="N256" s="12" t="str">
        <x:v>A/B</x:v>
      </x:c>
      <x:c r="O256" s="12" t="str">
        <x:v>SRC_R2023_RTM_20231214</x:v>
      </x:c>
      <x:c r="P256" s="12" t="str">
        <x:v>SRC_R2023_MMAIL_20231214</x:v>
      </x:c>
      <x:c r="Q256" s="12" t="n">
        <x:v>103.7570514</x:v>
      </x:c>
      <x:c r="R256" s="12" t="n">
        <x:v>1.4807312</x:v>
      </x:c>
      <x:c r="S256" s="12" t="str">
        <x:v>YES</x:v>
      </x:c>
      <x:c r="T256" s="12" t="str">
        <x:v>PLOT</x:v>
      </x:c>
      <x:c r="U256" s="12"/>
      <x:c r="V256" s="12" t="str">
        <x:v>POINT_REFERENCE; ROAD_SEGMENT_OPEN</x:v>
      </x:c>
      <x:c r="W256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X256" s="12"/>
    </x:row>
    <x:row r="257">
      <x:c r="A257" s="12" t="str">
        <x:v>FLOC-0026</x:v>
      </x:c>
      <x:c r="B257" s="12" t="str">
        <x:v>Jalan Harmonium 24/1 area</x:v>
      </x:c>
      <x:c r="C257" s="12" t="str">
        <x:v>YES</x:v>
      </x:c>
      <x:c r="D257" s="12" t="n">
        <x:v>2023</x:v>
      </x:c>
      <x:c r="E257" s="12" t="str">
        <x:v>EVT-JB-2023-058</x:v>
      </x:c>
      <x:c r="F257" s="18" t="n">
        <x:v>45274</x:v>
      </x:c>
      <x:c r="G257" s="12" t="str">
        <x:v>DG-JB-20231214</x:v>
      </x:c>
      <x:c r="H257" s="12" t="str">
        <x:v>JBLOC-0028</x:v>
      </x:c>
      <x:c r="I257" s="12" t="str">
        <x:v>S2023-052</x:v>
      </x:c>
      <x:c r="J257" s="12" t="str">
        <x:v>Jalan Harmonium 24</x:v>
      </x:c>
      <x:c r="K257" s="12" t="str">
        <x:v>Jalan Harmonium 24/1 area</x:v>
      </x:c>
      <x:c r="L257" s="12" t="str">
        <x:v>ROAD</x:v>
      </x:c>
      <x:c r="M257" s="12" t="str">
        <x:v>Flash flood</x:v>
      </x:c>
      <x:c r="N257" s="12" t="str">
        <x:v>A/B</x:v>
      </x:c>
      <x:c r="O257" s="12" t="str">
        <x:v>SRC_R2023_RTM_20231214</x:v>
      </x:c>
      <x:c r="P257" s="12" t="str">
        <x:v>SRC_R2023_MMAIL_20231214</x:v>
      </x:c>
      <x:c r="Q257" s="12" t="n">
        <x:v>103.79419</x:v>
      </x:c>
      <x:c r="R257" s="12" t="n">
        <x:v>1.55191</x:v>
      </x:c>
      <x:c r="S257" s="12" t="str">
        <x:v>YES</x:v>
      </x:c>
      <x:c r="T257" s="12" t="str">
        <x:v>PLOT</x:v>
      </x:c>
      <x:c r="U257" s="12"/>
      <x:c r="V257" s="12" t="str">
        <x:v>ROAD_SEGMENT_OPEN</x:v>
      </x:c>
      <x:c r="W257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X257" s="12"/>
    </x:row>
    <x:row r="258">
      <x:c r="A258" s="12" t="str">
        <x:v>FLOC-0022</x:v>
      </x:c>
      <x:c r="B258" s="12" t="str">
        <x:v>Jalan Datin Halimah / Taman Merdeka vicinity</x:v>
      </x:c>
      <x:c r="C258" s="12" t="str">
        <x:v>YES</x:v>
      </x:c>
      <x:c r="D258" s="12" t="n">
        <x:v>2023</x:v>
      </x:c>
      <x:c r="E258" s="12" t="str">
        <x:v>EVT-JB-2023-059</x:v>
      </x:c>
      <x:c r="F258" s="18" t="n">
        <x:v>45274</x:v>
      </x:c>
      <x:c r="G258" s="12" t="str">
        <x:v>DG-JB-20231214</x:v>
      </x:c>
      <x:c r="H258" s="12" t="str">
        <x:v>JBLOC-0024</x:v>
      </x:c>
      <x:c r="I258" s="12" t="str">
        <x:v>S2023-053</x:v>
      </x:c>
      <x:c r="J258" s="12" t="str">
        <x:v>Jalan Datin Halimah near Taman Merdeka</x:v>
      </x:c>
      <x:c r="K258" s="12" t="str">
        <x:v>Jalan Datin Halimah / Taman Merdeka vicinity</x:v>
      </x:c>
      <x:c r="L258" s="12" t="str">
        <x:v>ROAD</x:v>
      </x:c>
      <x:c r="M258" s="12" t="str">
        <x:v>Flash flood</x:v>
      </x:c>
      <x:c r="N258" s="12" t="str">
        <x:v>A/B</x:v>
      </x:c>
      <x:c r="O258" s="12" t="str">
        <x:v>SRC_R2023_RTM_20231214</x:v>
      </x:c>
      <x:c r="P258" s="12" t="str">
        <x:v>SRC_R2023_MMAIL_20231214</x:v>
      </x:c>
      <x:c r="Q258" s="12" t="n">
        <x:v>103.7359187</x:v>
      </x:c>
      <x:c r="R258" s="12" t="n">
        <x:v>1.4794199</x:v>
      </x:c>
      <x:c r="S258" s="12" t="str">
        <x:v>YES</x:v>
      </x:c>
      <x:c r="T258" s="12" t="str">
        <x:v>PLOT</x:v>
      </x:c>
      <x:c r="U258" s="12"/>
      <x:c r="V258" s="12" t="str">
        <x:v>ROAD_SEGMENT_OPEN</x:v>
      </x:c>
      <x:c r="W258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X258" s="12"/>
    </x:row>
    <x:row r="259">
      <x:c r="A259" s="12" t="str">
        <x:v>FLOC-0059</x:v>
      </x:c>
      <x:c r="B259" s="12" t="str">
        <x:v>Jalan Skudai</x:v>
      </x:c>
      <x:c r="C259" s="12" t="str">
        <x:v>YES</x:v>
      </x:c>
      <x:c r="D259" s="12" t="n">
        <x:v>2023</x:v>
      </x:c>
      <x:c r="E259" s="12" t="str">
        <x:v>EVT-JB-2023-060</x:v>
      </x:c>
      <x:c r="F259" s="18" t="n">
        <x:v>45274</x:v>
      </x:c>
      <x:c r="G259" s="12" t="str">
        <x:v>DG-JB-20231214</x:v>
      </x:c>
      <x:c r="H259" s="12" t="str">
        <x:v>JBLOC-0061</x:v>
      </x:c>
      <x:c r="I259" s="12" t="str">
        <x:v>S2023-054</x:v>
      </x:c>
      <x:c r="J259" s="12" t="str">
        <x:v>Jalan Skudai</x:v>
      </x:c>
      <x:c r="K259" s="12" t="str">
        <x:v>Jalan Skudai</x:v>
      </x:c>
      <x:c r="L259" s="12" t="str">
        <x:v>ROAD</x:v>
      </x:c>
      <x:c r="M259" s="12" t="str">
        <x:v>Flash flood</x:v>
      </x:c>
      <x:c r="N259" s="12" t="str">
        <x:v>A/B</x:v>
      </x:c>
      <x:c r="O259" s="12" t="str">
        <x:v>SRC_R2023_RTM_20231214</x:v>
      </x:c>
      <x:c r="P259" s="12" t="str">
        <x:v>SRC_R2023_MMAIL_20231214</x:v>
      </x:c>
      <x:c r="Q259" s="12" t="n">
        <x:v>103.7256712</x:v>
      </x:c>
      <x:c r="R259" s="12" t="n">
        <x:v>1.4714218</x:v>
      </x:c>
      <x:c r="S259" s="12" t="str">
        <x:v>YES</x:v>
      </x:c>
      <x:c r="T259" s="12" t="str">
        <x:v>PLOT</x:v>
      </x:c>
      <x:c r="U259" s="12"/>
      <x:c r="V259" s="12" t="str">
        <x:v>ROAD_SEGMENT_OPEN</x:v>
      </x:c>
      <x:c r="W259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X259" s="12"/>
    </x:row>
    <x:row r="260">
      <x:c r="A260" s="12" t="str">
        <x:v>FLOC-0063</x:v>
      </x:c>
      <x:c r="B260" s="12" t="str">
        <x:v>Jalan Tampoi</x:v>
      </x:c>
      <x:c r="C260" s="12" t="str">
        <x:v>YES</x:v>
      </x:c>
      <x:c r="D260" s="12" t="n">
        <x:v>2023</x:v>
      </x:c>
      <x:c r="E260" s="12" t="str">
        <x:v>EVT-JB-2023-061</x:v>
      </x:c>
      <x:c r="F260" s="18" t="n">
        <x:v>45274</x:v>
      </x:c>
      <x:c r="G260" s="12" t="str">
        <x:v>DG-JB-20231214</x:v>
      </x:c>
      <x:c r="H260" s="12" t="str">
        <x:v>JBLOC-0065</x:v>
      </x:c>
      <x:c r="I260" s="12" t="str">
        <x:v>S2023-055</x:v>
      </x:c>
      <x:c r="J260" s="12" t="str">
        <x:v>Jalan Tampoi</x:v>
      </x:c>
      <x:c r="K260" s="12" t="str">
        <x:v>Jalan Tampoi</x:v>
      </x:c>
      <x:c r="L260" s="12" t="str">
        <x:v>ROAD</x:v>
      </x:c>
      <x:c r="M260" s="12" t="str">
        <x:v>Flash flood</x:v>
      </x:c>
      <x:c r="N260" s="12" t="str">
        <x:v>A/B</x:v>
      </x:c>
      <x:c r="O260" s="12" t="str">
        <x:v>SRC_R2023_RTM_20231214</x:v>
      </x:c>
      <x:c r="P260" s="12" t="str">
        <x:v>SRC_R2023_MMAIL_20231214</x:v>
      </x:c>
      <x:c r="Q260" s="12" t="n">
        <x:v>103.708266</x:v>
      </x:c>
      <x:c r="R260" s="12" t="n">
        <x:v>1.500366</x:v>
      </x:c>
      <x:c r="S260" s="12" t="str">
        <x:v>YES</x:v>
      </x:c>
      <x:c r="T260" s="12" t="str">
        <x:v>PLOT</x:v>
      </x:c>
      <x:c r="U260" s="12"/>
      <x:c r="V260" s="12" t="str">
        <x:v>ROAD_SEGMENT_OPEN</x:v>
      </x:c>
      <x:c r="W260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X260" s="12"/>
    </x:row>
    <x:row r="261">
      <x:c r="A261" s="12" t="str">
        <x:v>FLOC-0124</x:v>
      </x:c>
      <x:c r="B261" s="12" t="str">
        <x:v>Kampung Ubi Baru</x:v>
      </x:c>
      <x:c r="C261" s="12" t="str">
        <x:v>YES</x:v>
      </x:c>
      <x:c r="D261" s="12" t="n">
        <x:v>2023</x:v>
      </x:c>
      <x:c r="E261" s="12" t="str">
        <x:v>EVT-JB-2023-062</x:v>
      </x:c>
      <x:c r="F261" s="18" t="n">
        <x:v>45274</x:v>
      </x:c>
      <x:c r="G261" s="12" t="str">
        <x:v>DG-JB-20231214</x:v>
      </x:c>
      <x:c r="H261" s="12" t="str">
        <x:v>JBLOC-0147</x:v>
      </x:c>
      <x:c r="I261" s="12" t="str">
        <x:v>S2023-056</x:v>
      </x:c>
      <x:c r="J261" s="12" t="str">
        <x:v>Kampung Ubi</x:v>
      </x:c>
      <x:c r="K261" s="12" t="str">
        <x:v>Kampung Ubi Baru</x:v>
      </x:c>
      <x:c r="L261" s="12" t="str">
        <x:v>COMMUNITY/AREA</x:v>
      </x:c>
      <x:c r="M261" s="12" t="str">
        <x:v>Flash flood</x:v>
      </x:c>
      <x:c r="N261" s="12" t="str">
        <x:v>A/B</x:v>
      </x:c>
      <x:c r="O261" s="12" t="str">
        <x:v>SRC_R2023_RTM_20231214</x:v>
      </x:c>
      <x:c r="P261" s="12" t="str">
        <x:v>SRC_R2023_MMAIL_20231214</x:v>
      </x:c>
      <x:c r="Q261" s="12" t="n">
        <x:v>103.75707329</x:v>
      </x:c>
      <x:c r="R261" s="12" t="n">
        <x:v>1.5191611</x:v>
      </x:c>
      <x:c r="S261" s="12" t="str">
        <x:v>YES</x:v>
      </x:c>
      <x:c r="T261" s="12" t="str">
        <x:v>PLOT</x:v>
      </x:c>
      <x:c r="U261" s="12"/>
      <x:c r="V261" s="12" t="str">
        <x:v>POINT_READY; POLYGON_OPEN</x:v>
      </x:c>
      <x:c r="W261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X261" s="12" t="str">
        <x:v>Normalized to official Kampung Ubi Baru identity; source label preserved.</x:v>
      </x:c>
    </x:row>
    <x:row r="262">
      <x:c r="A262" s="12" t="str">
        <x:v>FLOC-0051</x:v>
      </x:c>
      <x:c r="B262" s="12" t="str">
        <x:v>Jalan Persiaran Molek Utama, Taman Molek</x:v>
      </x:c>
      <x:c r="C262" s="12" t="str">
        <x:v>YES</x:v>
      </x:c>
      <x:c r="D262" s="12" t="n">
        <x:v>2023</x:v>
      </x:c>
      <x:c r="E262" s="12" t="str">
        <x:v>EVT-JB-2023-063</x:v>
      </x:c>
      <x:c r="F262" s="18" t="n">
        <x:v>45274</x:v>
      </x:c>
      <x:c r="G262" s="12" t="str">
        <x:v>DG-JB-20231214</x:v>
      </x:c>
      <x:c r="H262" s="12" t="str">
        <x:v>JBLOC-0053</x:v>
      </x:c>
      <x:c r="I262" s="12" t="str">
        <x:v>S2023-057</x:v>
      </x:c>
      <x:c r="J262" s="12" t="str">
        <x:v>Jalan Persiaran Molek Utama, Taman Molek</x:v>
      </x:c>
      <x:c r="K262" s="12" t="str">
        <x:v>Jalan Persiaran Molek Utama, Taman Molek</x:v>
      </x:c>
      <x:c r="L262" s="12" t="str">
        <x:v>ROAD</x:v>
      </x:c>
      <x:c r="M262" s="12" t="str">
        <x:v>Flash flood</x:v>
      </x:c>
      <x:c r="N262" s="12" t="str">
        <x:v>A/B</x:v>
      </x:c>
      <x:c r="O262" s="12" t="str">
        <x:v>SRC_R2023_MMAIL_20231214</x:v>
      </x:c>
      <x:c r="P262" s="12"/>
      <x:c r="Q262" s="12"/>
      <x:c r="R262" s="12"/>
      <x:c r="S262" s="12" t="str">
        <x:v>NO</x:v>
      </x:c>
      <x:c r="T262" s="12" t="str">
        <x:v>DO NOT PLOT</x:v>
      </x:c>
      <x:c r="U262" s="12"/>
      <x:c r="V262" s="12" t="str">
        <x:v>ROAD_SEGMENT_OPEN</x:v>
      </x:c>
      <x:c r="W262" s="12" t="str">
        <x:v>https://www.malaymail.com/news/malaysia/2023/12/14/jb-council-10-main-roads-one-village-inundated-by-flash-floods/107558</x:v>
      </x:c>
      <x:c r="X262" s="12" t="str">
        <x:v>Two trapped vehicle occupants rescued; independent explicit road-flood evidence.</x:v>
      </x:c>
    </x:row>
    <x:row r="263">
      <x:c r="A263" s="12" t="str">
        <x:v>FLOC-0136</x:v>
      </x:c>
      <x:c r="B263" s="12" t="str">
        <x:v>Kg. Sentosa Damai</x:v>
      </x:c>
      <x:c r="C263" s="12" t="str">
        <x:v>YES</x:v>
      </x:c>
      <x:c r="D263" s="12" t="n">
        <x:v>2024</x:v>
      </x:c>
      <x:c r="E263" s="12" t="str">
        <x:v>EVT-JB-2024-001</x:v>
      </x:c>
      <x:c r="F263" s="18" t="n">
        <x:v>45295</x:v>
      </x:c>
      <x:c r="G263" s="12" t="str">
        <x:v>DG-JB-20240104-20240113</x:v>
      </x:c>
      <x:c r="H263" s="12" t="str">
        <x:v>JBLOC-0124</x:v>
      </x:c>
      <x:c r="I263" s="12" t="str">
        <x:v>S2024-001</x:v>
      </x:c>
      <x:c r="J263" s="12" t="str">
        <x:v>Kampung Sentosa Damai 3</x:v>
      </x:c>
      <x:c r="K263" s="12" t="str">
        <x:v>Kg. Sentosa Damai</x:v>
      </x:c>
      <x:c r="L263" s="12" t="str">
        <x:v>COMMUNITY/AREA</x:v>
      </x:c>
      <x:c r="M263" s="12" t="str">
        <x:v>Monsoon flood / residential inundation</x:v>
      </x:c>
      <x:c r="N263" s="12" t="str">
        <x:v>B</x:v>
      </x:c>
      <x:c r="O263" s="12" t="str">
        <x:v>SRC_R2024_SINAR_20240104</x:v>
      </x:c>
      <x:c r="P263" s="12" t="str">
        <x:v>SRC_R2024_SINAR_20240105</x:v>
      </x:c>
      <x:c r="Q263" s="12" t="n">
        <x:v>103.93562865</x:v>
      </x:c>
      <x:c r="R263" s="12" t="n">
        <x:v>1.52139605</x:v>
      </x:c>
      <x:c r="S263" s="12" t="str">
        <x:v>YES</x:v>
      </x:c>
      <x:c r="T263" s="12" t="str">
        <x:v>PLOT</x:v>
      </x:c>
      <x:c r="U263" s="12"/>
      <x:c r="V263" s="12" t="str">
        <x:v>POINT_OPEN; POLYGON_OPEN</x:v>
      </x:c>
      <x:c r="W263" s="12" t="str">
        <x:v>https://www.sinarharian.com.my/article/642682/berita/semasa/mangsa-banjir-johor-meningkat-kepada-1024
https://www.sinarharian.com.my/article/642865/video/berita-semasa-video/sukarelawan-apm-tetap-bertugas-walaupun-jadi-mangsa-banjir</x:v>
      </x:c>
      <x:c r="X263" s="12" t="str">
        <x:v>Victims from Kampung Sentosa Damai were explicitly described as flood victims.</x:v>
      </x:c>
    </x:row>
    <x:row r="264">
      <x:c r="A264" s="12" t="str">
        <x:v>FLOC-0133</x:v>
      </x:c>
      <x:c r="B264" s="12" t="str">
        <x:v>Kg. Paya Sg Redan</x:v>
      </x:c>
      <x:c r="C264" s="12" t="str">
        <x:v>YES</x:v>
      </x:c>
      <x:c r="D264" s="12" t="n">
        <x:v>2024</x:v>
      </x:c>
      <x:c r="E264" s="12" t="str">
        <x:v>EVT-JB-2024-002</x:v>
      </x:c>
      <x:c r="F264" s="18" t="n">
        <x:v>45295</x:v>
      </x:c>
      <x:c r="G264" s="12" t="str">
        <x:v>DG-JB-20240104-20240113</x:v>
      </x:c>
      <x:c r="H264" s="12" t="str">
        <x:v>JBLOC-0113</x:v>
      </x:c>
      <x:c r="I264" s="12" t="str">
        <x:v>S2024-002</x:v>
      </x:c>
      <x:c r="J264" s="12" t="str">
        <x:v>Kampung Paya</x:v>
      </x:c>
      <x:c r="K264" s="12" t="str">
        <x:v>Kg. Paya Sg Redan</x:v>
      </x:c>
      <x:c r="L264" s="12" t="str">
        <x:v>COMMUNITY/AREA</x:v>
      </x:c>
      <x:c r="M264" s="12" t="str">
        <x:v>Monsoon flood / residential inundation</x:v>
      </x:c>
      <x:c r="N264" s="12" t="str">
        <x:v>B</x:v>
      </x:c>
      <x:c r="O264" s="12" t="str">
        <x:v>SRC_R2024_SINAR_20240106</x:v>
      </x:c>
      <x:c r="P264" s="12"/>
      <x:c r="Q264" s="12" t="n">
        <x:v>103.931586</x:v>
      </x:c>
      <x:c r="R264" s="12" t="n">
        <x:v>1.619208</x:v>
      </x:c>
      <x:c r="S264" s="12" t="str">
        <x:v>YES</x:v>
      </x:c>
      <x:c r="T264" s="12" t="str">
        <x:v>PLOT</x:v>
      </x:c>
      <x:c r="U264" s="12"/>
      <x:c r="V264" s="12" t="str">
        <x:v>IDENTITY_CONTEXT_RESOLVED; POINT_OPEN; POLYGON_OPEN</x:v>
      </x:c>
      <x:c r="W264" s="12" t="str">
        <x:v>https://www.sinarharian.com.my/article/642962/edisi/johor/sungai-sistem-perparitan-cetek-punca-banjir</x:v>
      </x:c>
      <x:c r="X264" s="12" t="str">
        <x:v>Exact Johor Bahru/Sungai Tiram-area identity retained; no unrelated same-name geocode is used.</x:v>
      </x:c>
    </x:row>
    <x:row r="265">
      <x:c r="A265" s="12" t="str">
        <x:v>FLOC-0138</x:v>
      </x:c>
      <x:c r="B265" s="12" t="str">
        <x:v>Kg. Sg. Serai</x:v>
      </x:c>
      <x:c r="C265" s="12" t="str">
        <x:v>YES</x:v>
      </x:c>
      <x:c r="D265" s="12" t="n">
        <x:v>2024</x:v>
      </x:c>
      <x:c r="E265" s="12" t="str">
        <x:v>EVT-JB-2024-003</x:v>
      </x:c>
      <x:c r="F265" s="18" t="n">
        <x:v>45295</x:v>
      </x:c>
      <x:c r="G265" s="12" t="str">
        <x:v>DG-JB-20240104-20240113</x:v>
      </x:c>
      <x:c r="H265" s="12" t="str">
        <x:v>JBLOC-0140</x:v>
      </x:c>
      <x:c r="I265" s="12" t="str">
        <x:v>S2024-003</x:v>
      </x:c>
      <x:c r="J265" s="12" t="str">
        <x:v>Kampung Sungai Serai</x:v>
      </x:c>
      <x:c r="K265" s="12" t="str">
        <x:v>Kg. Sg. Serai</x:v>
      </x:c>
      <x:c r="L265" s="12" t="str">
        <x:v>COMMUNITY/AREA</x:v>
      </x:c>
      <x:c r="M265" s="12" t="str">
        <x:v>Monsoon flood / residential inundation</x:v>
      </x:c>
      <x:c r="N265" s="12" t="str">
        <x:v>B</x:v>
      </x:c>
      <x:c r="O265" s="12" t="str">
        <x:v>SRC_R2024_SINAR_20240106</x:v>
      </x:c>
      <x:c r="P265" s="12"/>
      <x:c r="Q265" s="12" t="n">
        <x:v>103.9220255</x:v>
      </x:c>
      <x:c r="R265" s="12" t="n">
        <x:v>1.6536289</x:v>
      </x:c>
      <x:c r="S265" s="12" t="str">
        <x:v>YES</x:v>
      </x:c>
      <x:c r="T265" s="12" t="str">
        <x:v>PLOT</x:v>
      </x:c>
      <x:c r="U265" s="12"/>
      <x:c r="V265" s="12" t="str">
        <x:v>IDENTITY_CONFIRMED; POINT_OPEN; POLYGON_OPEN</x:v>
      </x:c>
      <x:c r="W265" s="12" t="str">
        <x:v>https://www.sinarharian.com.my/article/642962/edisi/johor/sungai-sistem-perparitan-cetek-punca-banjir</x:v>
      </x:c>
      <x:c r="X265" s="12" t="str">
        <x:v>Exact Johor Bahru/Sungai Tiram-area identity retained; no unrelated same-name geocode is used.</x:v>
      </x:c>
    </x:row>
    <x:row r="266">
      <x:c r="A266" s="12" t="str">
        <x:v>FLOC-0002</x:v>
      </x:c>
      <x:c r="B266" s="12" t="str">
        <x:v>Batu 10, Sungai Tiram context</x:v>
      </x:c>
      <x:c r="C266" s="12" t="str">
        <x:v>YES</x:v>
      </x:c>
      <x:c r="D266" s="12" t="n">
        <x:v>2024</x:v>
      </x:c>
      <x:c r="E266" s="12" t="str">
        <x:v>EVT-JB-2024-004</x:v>
      </x:c>
      <x:c r="F266" s="18" t="n">
        <x:v>45298</x:v>
      </x:c>
      <x:c r="G266" s="12" t="str">
        <x:v>DG-JB-20240104-20240113</x:v>
      </x:c>
      <x:c r="H266" s="12" t="str">
        <x:v>JBLOC-0004</x:v>
      </x:c>
      <x:c r="I266" s="12" t="str">
        <x:v>S2024-004</x:v>
      </x:c>
      <x:c r="J266" s="12" t="str">
        <x:v>Batu 10</x:v>
      </x:c>
      <x:c r="K266" s="12" t="str">
        <x:v>Batu 10, Sungai Tiram context</x:v>
      </x:c>
      <x:c r="L266" s="12" t="str">
        <x:v>ROAD/LOCALITY</x:v>
      </x:c>
      <x:c r="M266" s="12" t="str">
        <x:v>Monsoon flood / flood impact</x:v>
      </x:c>
      <x:c r="N266" s="12" t="str">
        <x:v>A/B</x:v>
      </x:c>
      <x:c r="O266" s="12" t="str">
        <x:v>SRC_R2024_BERNAMA_20240107</x:v>
      </x:c>
      <x:c r="P266" s="12"/>
      <x:c r="Q266" s="12"/>
      <x:c r="R266" s="12"/>
      <x:c r="S266" s="12" t="str">
        <x:v>NO</x:v>
      </x:c>
      <x:c r="T266" s="12" t="str">
        <x:v>DO NOT PLOT</x:v>
      </x:c>
      <x:c r="U266" s="12"/>
      <x:c r="V266" s="12" t="str">
        <x:v>ROAD/CHAINAGE_OBJECT_OPEN</x:v>
      </x:c>
      <x:c r="W266" s="12" t="str">
        <x:v>https://bernama.com/bm/news.php?id=2260257</x:v>
      </x:c>
      <x:c r="X266" s="12" t="str">
        <x:v>Road-chainage/locality label; do not merge with Batu 10 Kampung Laut, Skudai.</x:v>
      </x:c>
    </x:row>
    <x:row r="267">
      <x:c r="A267" s="12" t="str">
        <x:v>FLOC-0149</x:v>
      </x:c>
      <x:c r="B267" s="12" t="str">
        <x:v>Lorong Mak Piah, Kampung Sungai Tiram</x:v>
      </x:c>
      <x:c r="C267" s="12" t="str">
        <x:v>YES</x:v>
      </x:c>
      <x:c r="D267" s="12" t="n">
        <x:v>2024</x:v>
      </x:c>
      <x:c r="E267" s="12" t="str">
        <x:v>EVT-JB-2024-005</x:v>
      </x:c>
      <x:c r="F267" s="18" t="n">
        <x:v>45298</x:v>
      </x:c>
      <x:c r="G267" s="12" t="str">
        <x:v>DG-JB-20240104-20240113</x:v>
      </x:c>
      <x:c r="H267" s="12" t="str">
        <x:v>JBLOC-0165</x:v>
      </x:c>
      <x:c r="I267" s="12" t="str">
        <x:v>S2024-005</x:v>
      </x:c>
      <x:c r="J267" s="12" t="str">
        <x:v>Lorong Mak Piah</x:v>
      </x:c>
      <x:c r="K267" s="12" t="str">
        <x:v>Lorong Mak Piah, Kampung Sungai Tiram</x:v>
      </x:c>
      <x:c r="L267" s="12" t="str">
        <x:v>ROAD</x:v>
      </x:c>
      <x:c r="M267" s="12" t="str">
        <x:v>Monsoon flood / flood impact</x:v>
      </x:c>
      <x:c r="N267" s="12" t="str">
        <x:v>A/B</x:v>
      </x:c>
      <x:c r="O267" s="12" t="str">
        <x:v>SRC_R2024_BERNAMA_20240107</x:v>
      </x:c>
      <x:c r="P267" s="12"/>
      <x:c r="Q267" s="12"/>
      <x:c r="R267" s="12"/>
      <x:c r="S267" s="12" t="str">
        <x:v>NO</x:v>
      </x:c>
      <x:c r="T267" s="12" t="str">
        <x:v>DO NOT PLOT</x:v>
      </x:c>
      <x:c r="U267" s="12"/>
      <x:c r="V267" s="12" t="str">
        <x:v>ROAD_SEGMENT_OPEN</x:v>
      </x:c>
      <x:c r="W267" s="12" t="str">
        <x:v>https://bernama.com/bm/news.php?id=2260257</x:v>
      </x:c>
      <x:c r="X267" s="12"/>
    </x:row>
    <x:row r="268">
      <x:c r="A268" s="12" t="str">
        <x:v>FLOC-0163</x:v>
      </x:c>
      <x:c r="B268" s="12" t="str">
        <x:v>Simpang Ladang Mados</x:v>
      </x:c>
      <x:c r="C268" s="12" t="str">
        <x:v>YES</x:v>
      </x:c>
      <x:c r="D268" s="12" t="n">
        <x:v>2024</x:v>
      </x:c>
      <x:c r="E268" s="12" t="str">
        <x:v>EVT-JB-2024-006</x:v>
      </x:c>
      <x:c r="F268" s="18" t="n">
        <x:v>45298</x:v>
      </x:c>
      <x:c r="G268" s="12" t="str">
        <x:v>DG-JB-20240104-20240113</x:v>
      </x:c>
      <x:c r="H268" s="12" t="str">
        <x:v>JBLOC-0183</x:v>
      </x:c>
      <x:c r="I268" s="12" t="str">
        <x:v>S2024-006</x:v>
      </x:c>
      <x:c r="J268" s="12" t="str">
        <x:v>Simpang Ladang Mados</x:v>
      </x:c>
      <x:c r="K268" s="12" t="str">
        <x:v>Simpang Ladang Mados</x:v>
      </x:c>
      <x:c r="L268" s="12" t="str">
        <x:v>ROAD/LOCALITY</x:v>
      </x:c>
      <x:c r="M268" s="12" t="str">
        <x:v>Monsoon flood / flood impact</x:v>
      </x:c>
      <x:c r="N268" s="12" t="str">
        <x:v>A/B</x:v>
      </x:c>
      <x:c r="O268" s="12" t="str">
        <x:v>SRC_R2024_BERNAMA_20240107</x:v>
      </x:c>
      <x:c r="P268" s="12"/>
      <x:c r="Q268" s="12"/>
      <x:c r="R268" s="12"/>
      <x:c r="S268" s="12" t="str">
        <x:v>NO</x:v>
      </x:c>
      <x:c r="T268" s="12" t="str">
        <x:v>DO NOT PLOT</x:v>
      </x:c>
      <x:c r="U268" s="12"/>
      <x:c r="V268" s="12" t="str">
        <x:v>POINT_OPEN; POLYGON_OPEN</x:v>
      </x:c>
      <x:c r="W268" s="12" t="str">
        <x:v>https://bernama.com/bm/news.php?id=2260257</x:v>
      </x:c>
      <x:c r="X268" s="12"/>
    </x:row>
    <x:row r="269">
      <x:c r="A269" s="12" t="str">
        <x:v>FLOC-0079</x:v>
      </x:c>
      <x:c r="B269" s="12" t="str">
        <x:v>Kampung Bukit Dagang</x:v>
      </x:c>
      <x:c r="C269" s="12" t="str">
        <x:v>YES</x:v>
      </x:c>
      <x:c r="D269" s="12" t="n">
        <x:v>2024</x:v>
      </x:c>
      <x:c r="E269" s="12" t="str">
        <x:v>EVT-JB-2024-007</x:v>
      </x:c>
      <x:c r="F269" s="18" t="n">
        <x:v>45298</x:v>
      </x:c>
      <x:c r="G269" s="12" t="str">
        <x:v>DG-JB-20240104-20240113</x:v>
      </x:c>
      <x:c r="H269" s="12" t="str">
        <x:v>JBLOC-0082</x:v>
      </x:c>
      <x:c r="I269" s="12" t="str">
        <x:v>S2024-007</x:v>
      </x:c>
      <x:c r="J269" s="12" t="str">
        <x:v>Kampung Bukit Dagang</x:v>
      </x:c>
      <x:c r="K269" s="12" t="str">
        <x:v>Kampung Bukit Dagang</x:v>
      </x:c>
      <x:c r="L269" s="12" t="str">
        <x:v>COMMUNITY/AREA</x:v>
      </x:c>
      <x:c r="M269" s="12" t="str">
        <x:v>Monsoon flood / flood impact</x:v>
      </x:c>
      <x:c r="N269" s="12" t="str">
        <x:v>A/B</x:v>
      </x:c>
      <x:c r="O269" s="12" t="str">
        <x:v>SRC_R2024_MMAIL_20240107</x:v>
      </x:c>
      <x:c r="P269" s="12" t="str">
        <x:v>SRC_R2024_BERNAMA_20240108</x:v>
      </x:c>
      <x:c r="Q269" s="12" t="n">
        <x:v>103.924811</x:v>
      </x:c>
      <x:c r="R269" s="12" t="n">
        <x:v>1.59376731</x:v>
      </x:c>
      <x:c r="S269" s="12" t="str">
        <x:v>YES</x:v>
      </x:c>
      <x:c r="T269" s="12" t="str">
        <x:v>PLOT</x:v>
      </x:c>
      <x:c r="U269" s="12"/>
      <x:c r="V269" s="12" t="str">
        <x:v>POINT_READY; POLYGON_OPEN</x:v>
      </x:c>
      <x:c r="W269" s="12" t="str">
        <x:v>https://www.malaymail.com/news/malaysia/2024/01/07/johor-floods-230-villagers-in-kg-bukit-dagang-cut-off-after-access-road-flooded/111111
https://bernama.com/bm/news.php?id=2260348</x:v>
      </x:c>
      <x:c r="X269" s="12" t="str">
        <x:v>Four of about 60 houses were reported affected; access road was flooded.</x:v>
      </x:c>
    </x:row>
    <x:row r="270">
      <x:c r="A270" s="12" t="str">
        <x:v>FLOC-0003</x:v>
      </x:c>
      <x:c r="B270" s="12" t="str">
        <x:v>Batu 20, Jalan Sungai Tiram</x:v>
      </x:c>
      <x:c r="C270" s="12" t="str">
        <x:v>YES</x:v>
      </x:c>
      <x:c r="D270" s="12" t="n">
        <x:v>2024</x:v>
      </x:c>
      <x:c r="E270" s="12" t="str">
        <x:v>EVT-JB-2024-008</x:v>
      </x:c>
      <x:c r="F270" s="18" t="n">
        <x:v>45298</x:v>
      </x:c>
      <x:c r="G270" s="12" t="str">
        <x:v>DG-JB-20240104-20240113</x:v>
      </x:c>
      <x:c r="H270" s="12" t="str">
        <x:v>JBLOC-0005</x:v>
      </x:c>
      <x:c r="I270" s="12" t="str">
        <x:v>S2024-008</x:v>
      </x:c>
      <x:c r="J270" s="12" t="str">
        <x:v>Kampung Batu 20</x:v>
      </x:c>
      <x:c r="K270" s="12" t="str">
        <x:v>Batu 20, Jalan Sungai Tiram</x:v>
      </x:c>
      <x:c r="L270" s="12" t="str">
        <x:v>COMMUNITY/AREA</x:v>
      </x:c>
      <x:c r="M270" s="12" t="str">
        <x:v>Monsoon flood / flood impact</x:v>
      </x:c>
      <x:c r="N270" s="12" t="str">
        <x:v>A/B</x:v>
      </x:c>
      <x:c r="O270" s="12" t="str">
        <x:v>SRC_R2024_BERNAMA_20240108</x:v>
      </x:c>
      <x:c r="P270" s="12"/>
      <x:c r="Q270" s="12" t="n">
        <x:v>103.9119375</x:v>
      </x:c>
      <x:c r="R270" s="12" t="n">
        <x:v>1.5850625</x:v>
      </x:c>
      <x:c r="S270" s="12" t="str">
        <x:v>YES</x:v>
      </x:c>
      <x:c r="T270" s="12" t="str">
        <x:v>PLOT</x:v>
      </x:c>
      <x:c r="U270" s="12"/>
      <x:c r="V270" s="12" t="str">
        <x:v>ROAD/LOCALITY_OBJECT_OPEN</x:v>
      </x:c>
      <x:c r="W270" s="12" t="str">
        <x:v>https://bernama.com/bm/news.php?id=2260348</x:v>
      </x:c>
      <x:c r="X270" s="12" t="str">
        <x:v>Bernama photo/report evidence; kept separate from source label Batu 10.</x:v>
      </x:c>
    </x:row>
    <x:row r="271">
      <x:c r="A271" s="12" t="str">
        <x:v>FLOC-0090</x:v>
      </x:c>
      <x:c r="B271" s="12" t="str">
        <x:v>Kampung Maju Jaya</x:v>
      </x:c>
      <x:c r="C271" s="12" t="str">
        <x:v>YES</x:v>
      </x:c>
      <x:c r="D271" s="12" t="n">
        <x:v>2024</x:v>
      </x:c>
      <x:c r="E271" s="12" t="str">
        <x:v>EVT-JB-2024-009</x:v>
      </x:c>
      <x:c r="F271" s="18" t="n">
        <x:v>45298</x:v>
      </x:c>
      <x:c r="G271" s="12" t="str">
        <x:v>DG-JB-20240104-20240113</x:v>
      </x:c>
      <x:c r="H271" s="12" t="str">
        <x:v>JBLOC-0095</x:v>
      </x:c>
      <x:c r="I271" s="12" t="str">
        <x:v>S2024-009</x:v>
      </x:c>
      <x:c r="J271" s="12" t="str">
        <x:v>Kampung Maju Jaya</x:v>
      </x:c>
      <x:c r="K271" s="12" t="str">
        <x:v>Kampung Maju Jaya</x:v>
      </x:c>
      <x:c r="L271" s="12" t="str">
        <x:v>COMMUNITY/AREA</x:v>
      </x:c>
      <x:c r="M271" s="12" t="str">
        <x:v>Monsoon flood / flood impact</x:v>
      </x:c>
      <x:c r="N271" s="12" t="str">
        <x:v>A/B</x:v>
      </x:c>
      <x:c r="O271" s="12" t="str">
        <x:v>SRC_R2024_SINAR_20240107_MAJU</x:v>
      </x:c>
      <x:c r="P271" s="12" t="str">
        <x:v>SRC_R2024_UTUSAN_20240109</x:v>
      </x:c>
      <x:c r="Q271" s="12" t="n">
        <x:v>103.7159181</x:v>
      </x:c>
      <x:c r="R271" s="12" t="n">
        <x:v>1.5810921</x:v>
      </x:c>
      <x:c r="S271" s="12" t="str">
        <x:v>YES</x:v>
      </x:c>
      <x:c r="T271" s="12" t="str">
        <x:v>PLOT</x:v>
      </x:c>
      <x:c r="U271" s="12"/>
      <x:c r="V271" s="12" t="str">
        <x:v>POINT_READY; POLYGON_OPEN</x:v>
      </x:c>
      <x:c r="W271" s="12" t="str">
        <x:v>https://www.sinarharian.com.my/article/643153/edisi/johor/murid-cemas-sekolah-dilanda-banjir
https://www.utusan.com.my/berita/2024/01/banjir-sehari-enam-bulan-baru-pulih-mangsa/</x:v>
      </x:c>
      <x:c r="X271" s="12" t="str">
        <x:v>Community flooding independently corroborated by school/community reports.</x:v>
      </x:c>
    </x:row>
    <x:row r="272">
      <x:c r="A272" s="12" t="str">
        <x:v>FLOC-0166</x:v>
      </x:c>
      <x:c r="B272" s="12" t="str">
        <x:v>SK Kampung Maju Jaya</x:v>
      </x:c>
      <x:c r="C272" s="12" t="str">
        <x:v>YES</x:v>
      </x:c>
      <x:c r="D272" s="12" t="n">
        <x:v>2024</x:v>
      </x:c>
      <x:c r="E272" s="12" t="str">
        <x:v>EVT-JB-2024-010</x:v>
      </x:c>
      <x:c r="F272" s="18" t="n">
        <x:v>45298</x:v>
      </x:c>
      <x:c r="G272" s="12" t="str">
        <x:v>DG-JB-20240104-20240113</x:v>
      </x:c>
      <x:c r="H272" s="12" t="str">
        <x:v>JBLOC-0179</x:v>
      </x:c>
      <x:c r="I272" s="12" t="str">
        <x:v>S2024-010</x:v>
      </x:c>
      <x:c r="J272" s="12" t="str">
        <x:v>SK Kampung Maju Jaya</x:v>
      </x:c>
      <x:c r="K272" s="12" t="str">
        <x:v>SK Kampung Maju Jaya</x:v>
      </x:c>
      <x:c r="L272" s="12" t="str">
        <x:v>CRITICAL FACILITY</x:v>
      </x:c>
      <x:c r="M272" s="12" t="str">
        <x:v>Monsoon flood / flood impact</x:v>
      </x:c>
      <x:c r="N272" s="12" t="str">
        <x:v>A/B</x:v>
      </x:c>
      <x:c r="O272" s="12" t="str">
        <x:v>SRC_R2024_SINAR_20240107_MAJU</x:v>
      </x:c>
      <x:c r="P272" s="12" t="str">
        <x:v>SRC_R2024_RTM_20240108_SCHOOLS</x:v>
      </x:c>
      <x:c r="Q272" s="12" t="n">
        <x:v>103.718275204555</x:v>
      </x:c>
      <x:c r="R272" s="12" t="n">
        <x:v>1.5804887</x:v>
      </x:c>
      <x:c r="S272" s="12" t="str">
        <x:v>YES</x:v>
      </x:c>
      <x:c r="T272" s="12" t="str">
        <x:v>PLOT</x:v>
      </x:c>
      <x:c r="U272" s="12"/>
      <x:c r="V272" s="12" t="str">
        <x:v>POINT_READY; FACILITY_POLYGON_OPEN</x:v>
      </x:c>
      <x:c r="W272" s="12" t="str">
        <x:v>https://www.sinarharian.com.my/article/643153/edisi/johor/murid-cemas-sekolah-dilanda-banjir
https://berita.rtm.gov.my/nasional/senarai-berita-nasional/senarai-artikel/banjir-tiga-sekolah-di-johor-bahru-ditutup/</x:v>
      </x:c>
      <x:c r="X272" s="12" t="str">
        <x:v>Critical facility/school impact retained separately from parent community.</x:v>
      </x:c>
    </x:row>
    <x:row r="273">
      <x:c r="A273" s="12" t="str">
        <x:v>FLOC-0165</x:v>
      </x:c>
      <x:c r="B273" s="12" t="str">
        <x:v>SK Bukit Mutiara</x:v>
      </x:c>
      <x:c r="C273" s="12" t="str">
        <x:v>YES</x:v>
      </x:c>
      <x:c r="D273" s="12" t="n">
        <x:v>2024</x:v>
      </x:c>
      <x:c r="E273" s="12" t="str">
        <x:v>EVT-JB-2024-011</x:v>
      </x:c>
      <x:c r="F273" s="18" t="n">
        <x:v>45298</x:v>
      </x:c>
      <x:c r="G273" s="12" t="str">
        <x:v>DG-JB-20240104-20240113</x:v>
      </x:c>
      <x:c r="H273" s="12" t="str">
        <x:v>JBLOC-0178</x:v>
      </x:c>
      <x:c r="I273" s="12" t="str">
        <x:v>S2024-011</x:v>
      </x:c>
      <x:c r="J273" s="12" t="str">
        <x:v>SK Bukit Mutiara</x:v>
      </x:c>
      <x:c r="K273" s="12" t="str">
        <x:v>SK Bukit Mutiara</x:v>
      </x:c>
      <x:c r="L273" s="12" t="str">
        <x:v>CRITICAL FACILITY</x:v>
      </x:c>
      <x:c r="M273" s="12" t="str">
        <x:v>Monsoon flood / flood impact</x:v>
      </x:c>
      <x:c r="N273" s="12" t="str">
        <x:v>A/B</x:v>
      </x:c>
      <x:c r="O273" s="12" t="str">
        <x:v>SRC_R2024_RTM_20240108_SCHOOLS</x:v>
      </x:c>
      <x:c r="P273" s="12"/>
      <x:c r="Q273" s="12" t="n">
        <x:v>103.741375207901</x:v>
      </x:c>
      <x:c r="R273" s="12" t="n">
        <x:v>1.54085596501295</x:v>
      </x:c>
      <x:c r="S273" s="12" t="str">
        <x:v>YES</x:v>
      </x:c>
      <x:c r="T273" s="12" t="str">
        <x:v>PLOT</x:v>
      </x:c>
      <x:c r="U273" s="12"/>
      <x:c r="V273" s="12" t="str">
        <x:v>FACILITY_POINT/POLYGON_OPEN</x:v>
      </x:c>
      <x:c r="W273" s="12" t="str">
        <x:v>https://berita.rtm.gov.my/nasional/senarai-berita-nasional/senarai-artikel/banjir-tiga-sekolah-di-johor-bahru-ditutup/</x:v>
      </x:c>
      <x:c r="X273" s="12" t="str">
        <x:v>School explicitly closed because of flood.</x:v>
      </x:c>
    </x:row>
    <x:row r="274">
      <x:c r="A274" s="12" t="str">
        <x:v>FLOC-0167</x:v>
      </x:c>
      <x:c r="B274" s="12" t="str">
        <x:v>SK Sungai Tiram</x:v>
      </x:c>
      <x:c r="C274" s="12" t="str">
        <x:v>YES</x:v>
      </x:c>
      <x:c r="D274" s="12" t="n">
        <x:v>2024</x:v>
      </x:c>
      <x:c r="E274" s="12" t="str">
        <x:v>EVT-JB-2024-012</x:v>
      </x:c>
      <x:c r="F274" s="18" t="n">
        <x:v>45298</x:v>
      </x:c>
      <x:c r="G274" s="12" t="str">
        <x:v>DG-JB-20240104-20240113</x:v>
      </x:c>
      <x:c r="H274" s="12" t="str">
        <x:v>JBLOC-0181</x:v>
      </x:c>
      <x:c r="I274" s="12" t="str">
        <x:v>S2024-012</x:v>
      </x:c>
      <x:c r="J274" s="12" t="str">
        <x:v>SK Sungai Tiram</x:v>
      </x:c>
      <x:c r="K274" s="12" t="str">
        <x:v>SK Sungai Tiram</x:v>
      </x:c>
      <x:c r="L274" s="12" t="str">
        <x:v>CRITICAL FACILITY</x:v>
      </x:c>
      <x:c r="M274" s="12" t="str">
        <x:v>Monsoon flood / flood impact</x:v>
      </x:c>
      <x:c r="N274" s="12" t="str">
        <x:v>A/B</x:v>
      </x:c>
      <x:c r="O274" s="12" t="str">
        <x:v>SRC_R2024_RTM_20240108_SCHOOLS</x:v>
      </x:c>
      <x:c r="P274" s="12"/>
      <x:c r="Q274" s="12" t="n">
        <x:v>103.879771828651</x:v>
      </x:c>
      <x:c r="R274" s="12" t="n">
        <x:v>1.58516029538754</x:v>
      </x:c>
      <x:c r="S274" s="12" t="str">
        <x:v>YES</x:v>
      </x:c>
      <x:c r="T274" s="12" t="str">
        <x:v>PLOT</x:v>
      </x:c>
      <x:c r="U274" s="12"/>
      <x:c r="V274" s="12" t="str">
        <x:v>FACILITY_POINT/POLYGON_OPEN</x:v>
      </x:c>
      <x:c r="W274" s="12" t="str">
        <x:v>https://berita.rtm.gov.my/nasional/senarai-berita-nasional/senarai-artikel/banjir-tiga-sekolah-di-johor-bahru-ditutup/</x:v>
      </x:c>
      <x:c r="X274" s="12" t="str">
        <x:v>School explicitly closed because of flood.</x:v>
      </x:c>
    </x:row>
    <x:row r="275">
      <x:c r="A275" s="12" t="str">
        <x:v>FLOC-0032</x:v>
      </x:c>
      <x:c r="B275" s="12" t="str">
        <x:v>Jalan Kangkar Tebrau</x:v>
      </x:c>
      <x:c r="C275" s="12" t="str">
        <x:v>YES</x:v>
      </x:c>
      <x:c r="D275" s="12" t="n">
        <x:v>2024</x:v>
      </x:c>
      <x:c r="E275" s="12" t="str">
        <x:v>EVT-JB-2024-013</x:v>
      </x:c>
      <x:c r="F275" s="18" t="n">
        <x:v>45300</x:v>
      </x:c>
      <x:c r="G275" s="12" t="str">
        <x:v>DG-JB-20240104-20240113</x:v>
      </x:c>
      <x:c r="H275" s="12" t="str">
        <x:v>JBLOC-0034</x:v>
      </x:c>
      <x:c r="I275" s="12" t="str">
        <x:v>S2024-013</x:v>
      </x:c>
      <x:c r="J275" s="12" t="str">
        <x:v>Jalan Kangkar Tebrau</x:v>
      </x:c>
      <x:c r="K275" s="12" t="str">
        <x:v>Jalan Kangkar Tebrau</x:v>
      </x:c>
      <x:c r="L275" s="12" t="str">
        <x:v>ROAD</x:v>
      </x:c>
      <x:c r="M275" s="12" t="str">
        <x:v>Flooded road / road closure</x:v>
      </x:c>
      <x:c r="N275" s="12" t="str">
        <x:v>A/B</x:v>
      </x:c>
      <x:c r="O275" s="12" t="str">
        <x:v>SRC_R2024_RTM_20240109</x:v>
      </x:c>
      <x:c r="P275" s="12"/>
      <x:c r="Q275" s="12" t="n">
        <x:v>103.7648053</x:v>
      </x:c>
      <x:c r="R275" s="12" t="n">
        <x:v>1.531945</x:v>
      </x:c>
      <x:c r="S275" s="12" t="str">
        <x:v>YES</x:v>
      </x:c>
      <x:c r="T275" s="12" t="str">
        <x:v>PLOT</x:v>
      </x:c>
      <x:c r="U275" s="12"/>
      <x:c r="V275" s="12" t="str">
        <x:v>ROAD_SEGMENT_OPEN</x:v>
      </x:c>
      <x:c r="W275" s="12" t="str">
        <x:v>https://berita.rtm.gov.my/nasional/senarai-berita-nasional/senarai-artikel/banjir-lebih-7-000-terjejas-di-johor-setakat-6-pagi-ini</x:v>
      </x:c>
      <x:c r="X275" s="12" t="str">
        <x:v>Road was reported closed to all vehicles; exact flooded start/end segment remains unresolved.</x:v>
      </x:c>
    </x:row>
    <x:row r="276">
      <x:c r="A276" s="12" t="str">
        <x:v>FLOC-0190</x:v>
      </x:c>
      <x:c r="B276" s="12" t="str">
        <x:v>Taman Setia Indah</x:v>
      </x:c>
      <x:c r="C276" s="12" t="str">
        <x:v>YES</x:v>
      </x:c>
      <x:c r="D276" s="12" t="n">
        <x:v>2024</x:v>
      </x:c>
      <x:c r="E276" s="12" t="str">
        <x:v>EVT-JB-2024-014</x:v>
      </x:c>
      <x:c r="F276" s="18" t="n">
        <x:v>45302</x:v>
      </x:c>
      <x:c r="G276" s="12" t="str">
        <x:v>DG-JB-20240104-20240113</x:v>
      </x:c>
      <x:c r="H276" s="12" t="str">
        <x:v>JBLOC-0205</x:v>
      </x:c>
      <x:c r="I276" s="12" t="str">
        <x:v>S2024-014</x:v>
      </x:c>
      <x:c r="J276" s="12" t="str">
        <x:v>Setia Indah</x:v>
      </x:c>
      <x:c r="K276" s="12" t="str">
        <x:v>Taman Setia Indah</x:v>
      </x:c>
      <x:c r="L276" s="12" t="str">
        <x:v>COMMUNITY/AREA</x:v>
      </x:c>
      <x:c r="M276" s="12" t="str">
        <x:v>Flood-related service disruption</x:v>
      </x:c>
      <x:c r="N276" s="12" t="str">
        <x:v>A</x:v>
      </x:c>
      <x:c r="O276" s="12" t="str">
        <x:v>SRC_R2024_NADMA_20240111</x:v>
      </x:c>
      <x:c r="P276" s="12"/>
      <x:c r="Q276" s="12" t="n">
        <x:v>103.7592769</x:v>
      </x:c>
      <x:c r="R276" s="12" t="n">
        <x:v>1.5689894</x:v>
      </x:c>
      <x:c r="S276" s="12" t="str">
        <x:v>YES</x:v>
      </x:c>
      <x:c r="T276" s="12" t="str">
        <x:v>PLOT</x:v>
      </x:c>
      <x:c r="U276" s="12"/>
      <x:c r="V276" s="12" t="str">
        <x:v>POINT_READY; POLYGON_OPEN</x:v>
      </x:c>
      <x:c r="W276" s="12" t="str">
        <x:v>https://www.nadma.gov.my/images/2024/File/SITREP/SITREP_11_Januari_2024.pdf</x:v>
      </x:c>
      <x:c r="X276" s="12" t="str">
        <x:v>NADMA lists Setia Indah under Johor Bahru areas where electricity supply was disconnected due to flood; treated as flood-affected context, not direct water-depth observation.</x:v>
      </x:c>
    </x:row>
    <x:row r="277">
      <x:c r="A277" s="12" t="str">
        <x:v>FLOC-0143</x:v>
      </x:c>
      <x:c r="B277" s="12" t="str">
        <x:v>Kuil Sri Muniswarar Maha Mariamman, Kampung Kangkar Tebrau Kiri</x:v>
      </x:c>
      <x:c r="C277" s="12" t="str">
        <x:v>YES</x:v>
      </x:c>
      <x:c r="D277" s="12" t="n">
        <x:v>2024</x:v>
      </x:c>
      <x:c r="E277" s="12" t="str">
        <x:v>EVT-JB-2024-015</x:v>
      </x:c>
      <x:c r="F277" s="18" t="n">
        <x:v>45315</x:v>
      </x:c>
      <x:c r="G277" s="12" t="str">
        <x:v>DG-JB-20240124</x:v>
      </x:c>
      <x:c r="H277" s="12" t="str">
        <x:v>JBLOC-0159</x:v>
      </x:c>
      <x:c r="I277" s="12" t="str">
        <x:v>S2024-015</x:v>
      </x:c>
      <x:c r="J277" s="12" t="str">
        <x:v>Kuil Sri Muniswarar Maha Mariamman, Kampung Kangkar Tebrau Kiri</x:v>
      </x:c>
      <x:c r="K277" s="12" t="str">
        <x:v>Kuil Sri Muniswarar Maha Mariamman, Kampung Kangkar Tebrau Kiri</x:v>
      </x:c>
      <x:c r="L277" s="12" t="str">
        <x:v>CRITICAL FACILITY</x:v>
      </x:c>
      <x:c r="M277" s="12" t="str">
        <x:v>Flash flood / critical facility impact</x:v>
      </x:c>
      <x:c r="N277" s="12" t="str">
        <x:v>B</x:v>
      </x:c>
      <x:c r="O277" s="12" t="str">
        <x:v>SRC_R2024_AWANI_20240125</x:v>
      </x:c>
      <x:c r="P277" s="12"/>
      <x:c r="Q277" s="12"/>
      <x:c r="R277" s="12"/>
      <x:c r="S277" s="12" t="str">
        <x:v>NO</x:v>
      </x:c>
      <x:c r="T277" s="12" t="str">
        <x:v>DO NOT PLOT</x:v>
      </x:c>
      <x:c r="U277" s="12"/>
      <x:c r="V277" s="12" t="str">
        <x:v>FACILITY_POINT/POLYGON_OPEN</x:v>
      </x:c>
      <x:c r="W277" s="12" t="str">
        <x:v>https://www.astroawani.com/berita-malaysia/tak-sempat-sambut-thaipusam-kuil-dilanda-banjir-455504</x:v>
      </x:c>
      <x:c r="X277" s="12" t="str">
        <x:v>17 people trapped; water reported up to about 3 m. Parent community polygon is not substituted for the temple flood footprint.</x:v>
      </x:c>
    </x:row>
    <x:row r="278">
      <x:c r="A278" s="12" t="str">
        <x:v>FLOC-0086</x:v>
      </x:c>
      <x:c r="B278" s="12" t="str">
        <x:v>Kampung Kangkar Tebrau</x:v>
      </x:c>
      <x:c r="C278" s="12" t="str">
        <x:v>YES</x:v>
      </x:c>
      <x:c r="D278" s="12" t="n">
        <x:v>2025</x:v>
      </x:c>
      <x:c r="E278" s="12" t="str">
        <x:v>EVT-JB-2025-001</x:v>
      </x:c>
      <x:c r="F278" s="18" t="n">
        <x:v>45668</x:v>
      </x:c>
      <x:c r="G278" s="12" t="str">
        <x:v>DG-JB-20250110-20250115</x:v>
      </x:c>
      <x:c r="H278" s="12" t="str">
        <x:v>JBLOC-0090</x:v>
      </x:c>
      <x:c r="I278" s="12" t="str">
        <x:v>S2025-001</x:v>
      </x:c>
      <x:c r="J278" s="12" t="str">
        <x:v>Kampung Kangkar Tebrau</x:v>
      </x:c>
      <x:c r="K278" s="12" t="str">
        <x:v>Kampung Kangkar Tebrau</x:v>
      </x:c>
      <x:c r="L278" s="12" t="str">
        <x:v>COMMUNITY/AREA</x:v>
      </x:c>
      <x:c r="M278" s="12" t="str">
        <x:v>Monsoon flood / inundation</x:v>
      </x:c>
      <x:c r="N278" s="12" t="str">
        <x:v>A/B</x:v>
      </x:c>
      <x:c r="O278" s="12" t="str">
        <x:v>SRC_R2025_UTUSAN_20250111</x:v>
      </x:c>
      <x:c r="P278" s="12" t="str">
        <x:v>SRC_R2025_NADMA_20250113</x:v>
      </x:c>
      <x:c r="Q278" s="12" t="n">
        <x:v>103.75709827</x:v>
      </x:c>
      <x:c r="R278" s="12" t="n">
        <x:v>1.53184902</x:v>
      </x:c>
      <x:c r="S278" s="12" t="str">
        <x:v>YES</x:v>
      </x:c>
      <x:c r="T278" s="12" t="str">
        <x:v>PLOT</x:v>
      </x:c>
      <x:c r="U278" s="12" t="str">
        <x:v>PG2017-KANGKAR-TEBRAU</x:v>
      </x:c>
      <x:c r="V278" s="12" t="str">
        <x:v>REUSED_CLOSED</x:v>
      </x:c>
      <x:c r="W278" s="12" t="str">
        <x:v>https://www.utusan.com.my/berita/2025/01/300-keluarga-terjejas-banjir-di-kangkar-tebrau/
https://www.nadma.gov.my/bi/media-en/news/2235-flood-evacuees-rise-in-johor</x:v>
      </x:c>
      <x:c r="X278" s="12" t="str">
        <x:v>About 300 families / ~1,000 residents affected according to field report.</x:v>
      </x:c>
    </x:row>
    <x:row r="279">
      <x:c r="A279" s="12" t="str">
        <x:v>FLOC-0098</x:v>
      </x:c>
      <x:c r="B279" s="12" t="str">
        <x:v>Kampung Paya Kenangan</x:v>
      </x:c>
      <x:c r="C279" s="12" t="str">
        <x:v>YES</x:v>
      </x:c>
      <x:c r="D279" s="12" t="n">
        <x:v>2025</x:v>
      </x:c>
      <x:c r="E279" s="12" t="str">
        <x:v>EVT-JB-2025-002</x:v>
      </x:c>
      <x:c r="F279" s="18" t="n">
        <x:v>45668</x:v>
      </x:c>
      <x:c r="G279" s="12" t="str">
        <x:v>DG-JB-20250110-20250115</x:v>
      </x:c>
      <x:c r="H279" s="12" t="str">
        <x:v>JBLOC-0110</x:v>
      </x:c>
      <x:c r="I279" s="12" t="str">
        <x:v>S2025-002</x:v>
      </x:c>
      <x:c r="J279" s="12" t="str">
        <x:v>Kampung Paya Kenangan</x:v>
      </x:c>
      <x:c r="K279" s="12" t="str">
        <x:v>Kampung Paya Kenangan</x:v>
      </x:c>
      <x:c r="L279" s="12" t="str">
        <x:v>COMMUNITY/AREA</x:v>
      </x:c>
      <x:c r="M279" s="12" t="str">
        <x:v>Monsoon flood / inundation</x:v>
      </x:c>
      <x:c r="N279" s="12" t="str">
        <x:v>A/B</x:v>
      </x:c>
      <x:c r="O279" s="12" t="str">
        <x:v>SRC_R2025_BERNAMA_20250111</x:v>
      </x:c>
      <x:c r="P279" s="12" t="str">
        <x:v>SRC_R2025_NADMA_20250113</x:v>
      </x:c>
      <x:c r="Q279" s="12" t="n">
        <x:v>103.74961954</x:v>
      </x:c>
      <x:c r="R279" s="12" t="n">
        <x:v>1.5403203</x:v>
      </x:c>
      <x:c r="S279" s="12" t="str">
        <x:v>YES</x:v>
      </x:c>
      <x:c r="T279" s="12" t="str">
        <x:v>PLOT</x:v>
      </x:c>
      <x:c r="U279" s="12"/>
      <x:c r="V279" s="12" t="str">
        <x:v>POINT_READY; POLYGON_OPEN</x:v>
      </x:c>
      <x:c r="W279" s="12" t="str">
        <x:v>https://bernama.com/bm/news.php?id=2381630
https://www.nadma.gov.my/bi/media-en/news/2235-flood-evacuees-rise-in-johor</x:v>
      </x:c>
      <x:c r="X279" s="12" t="str">
        <x:v>Bernama field observation shows homes/road inundated.</x:v>
      </x:c>
    </x:row>
    <x:row r="280">
      <x:c r="A280" s="12" t="str">
        <x:v>FLOC-0162</x:v>
      </x:c>
      <x:c r="B280" s="12" t="str">
        <x:v>Sekolah Kebangsaan Kangkar Tebrau</x:v>
      </x:c>
      <x:c r="C280" s="12" t="str">
        <x:v>YES</x:v>
      </x:c>
      <x:c r="D280" s="12" t="n">
        <x:v>2025</x:v>
      </x:c>
      <x:c r="E280" s="12" t="str">
        <x:v>EVT-JB-2025-003</x:v>
      </x:c>
      <x:c r="F280" s="18" t="n">
        <x:v>45668</x:v>
      </x:c>
      <x:c r="G280" s="12" t="str">
        <x:v>DG-JB-20250110-20250115</x:v>
      </x:c>
      <x:c r="H280" s="12" t="str">
        <x:v>JBLOC-0180</x:v>
      </x:c>
      <x:c r="I280" s="12" t="str">
        <x:v>S2025-003</x:v>
      </x:c>
      <x:c r="J280" s="12" t="str">
        <x:v>SK Kangkar Tebrau</x:v>
      </x:c>
      <x:c r="K280" s="12" t="str">
        <x:v>Sekolah Kebangsaan Kangkar Tebrau</x:v>
      </x:c>
      <x:c r="L280" s="12" t="str">
        <x:v>CRITICAL FACILITY</x:v>
      </x:c>
      <x:c r="M280" s="12" t="str">
        <x:v>Monsoon flood / inundation</x:v>
      </x:c>
      <x:c r="N280" s="12" t="str">
        <x:v>A/B</x:v>
      </x:c>
      <x:c r="O280" s="12" t="str">
        <x:v>SRC_R2025_UTUSAN_20250111</x:v>
      </x:c>
      <x:c r="P280" s="12"/>
      <x:c r="Q280" s="12" t="n">
        <x:v>103.7555</x:v>
      </x:c>
      <x:c r="R280" s="12" t="n">
        <x:v>1.53241</x:v>
      </x:c>
      <x:c r="S280" s="12" t="str">
        <x:v>YES</x:v>
      </x:c>
      <x:c r="T280" s="12" t="str">
        <x:v>PLOT</x:v>
      </x:c>
      <x:c r="U280" s="12"/>
      <x:c r="V280" s="12" t="str">
        <x:v>FACILITY_POINT/POLYGON_OPEN</x:v>
      </x:c>
      <x:c r="W280" s="12" t="str">
        <x:v>https://www.utusan.com.my/berita/2025/01/300-keluarga-terjejas-banjir-di-kangkar-tebrau/</x:v>
      </x:c>
      <x:c r="X280" s="12" t="str">
        <x:v>Entire school building and field reported inundated.</x:v>
      </x:c>
    </x:row>
    <x:row r="281">
      <x:c r="A281" s="12" t="str">
        <x:v>FLOC-0152</x:v>
      </x:c>
      <x:c r="B281" s="12" t="str">
        <x:v>Masjid Kg. Kangkar Tebrau</x:v>
      </x:c>
      <x:c r="C281" s="12" t="str">
        <x:v>YES</x:v>
      </x:c>
      <x:c r="D281" s="12" t="n">
        <x:v>2025</x:v>
      </x:c>
      <x:c r="E281" s="12" t="str">
        <x:v>EVT-JB-2025-004</x:v>
      </x:c>
      <x:c r="F281" s="18" t="n">
        <x:v>45668</x:v>
      </x:c>
      <x:c r="G281" s="12" t="str">
        <x:v>DG-JB-20250110-20250115</x:v>
      </x:c>
      <x:c r="H281" s="12" t="str">
        <x:v>JBLOC-0168</x:v>
      </x:c>
      <x:c r="I281" s="12" t="str">
        <x:v>S2025-004</x:v>
      </x:c>
      <x:c r="J281" s="12" t="str">
        <x:v>Masjid Kampung Kangkar Tebrau</x:v>
      </x:c>
      <x:c r="K281" s="12" t="str">
        <x:v>Masjid Kg. Kangkar Tebrau</x:v>
      </x:c>
      <x:c r="L281" s="12" t="str">
        <x:v>CRITICAL FACILITY</x:v>
      </x:c>
      <x:c r="M281" s="12" t="str">
        <x:v>Monsoon flood / inundation</x:v>
      </x:c>
      <x:c r="N281" s="12" t="str">
        <x:v>A/B</x:v>
      </x:c>
      <x:c r="O281" s="12" t="str">
        <x:v>SRC_R2025_UTUSAN_20250111</x:v>
      </x:c>
      <x:c r="P281" s="12"/>
      <x:c r="Q281" s="12" t="n">
        <x:v>103.75623</x:v>
      </x:c>
      <x:c r="R281" s="12" t="n">
        <x:v>1.53382</x:v>
      </x:c>
      <x:c r="S281" s="12" t="str">
        <x:v>YES</x:v>
      </x:c>
      <x:c r="T281" s="12" t="str">
        <x:v>PLOT</x:v>
      </x:c>
      <x:c r="U281" s="12"/>
      <x:c r="V281" s="12" t="str">
        <x:v>FACILITY_POINT/POLYGON_OPEN</x:v>
      </x:c>
      <x:c r="W281" s="12" t="str">
        <x:v>https://www.utusan.com.my/berita/2025/01/300-keluarga-terjejas-banjir-di-kangkar-tebrau/</x:v>
      </x:c>
      <x:c r="X281" s="12" t="str">
        <x:v>Mosque compound and stored event supplies inundated.</x:v>
      </x:c>
    </x:row>
    <x:row r="282">
      <x:c r="A282" s="12" t="str">
        <x:v>FLOC-0096</x:v>
      </x:c>
      <x:c r="B282" s="12" t="str">
        <x:v>Kampung Pasir, Tampoi/Skudai</x:v>
      </x:c>
      <x:c r="C282" s="12" t="str">
        <x:v>YES</x:v>
      </x:c>
      <x:c r="D282" s="12" t="n">
        <x:v>2025</x:v>
      </x:c>
      <x:c r="E282" s="12" t="str">
        <x:v>EVT-JB-2025-005</x:v>
      </x:c>
      <x:c r="F282" s="18" t="n">
        <x:v>45668</x:v>
      </x:c>
      <x:c r="G282" s="12" t="str">
        <x:v>DG-JB-20250110-20250115</x:v>
      </x:c>
      <x:c r="H282" s="12" t="str">
        <x:v>JBLOC-0104</x:v>
      </x:c>
      <x:c r="I282" s="12" t="str">
        <x:v>S2025-005</x:v>
      </x:c>
      <x:c r="J282" s="12" t="str">
        <x:v>Kampung Pasir</x:v>
      </x:c>
      <x:c r="K282" s="12" t="str">
        <x:v>Kampung Pasir</x:v>
      </x:c>
      <x:c r="L282" s="12" t="str">
        <x:v>COMMUNITY/AREA</x:v>
      </x:c>
      <x:c r="M282" s="12" t="str">
        <x:v>Monsoon flood / inundation</x:v>
      </x:c>
      <x:c r="N282" s="12" t="str">
        <x:v>A/B</x:v>
      </x:c>
      <x:c r="O282" s="12" t="str">
        <x:v>SRC_R2025_NADMA_20250113</x:v>
      </x:c>
      <x:c r="P282" s="12" t="str">
        <x:v>SRC_R2025_NST_NADMA_20250113</x:v>
      </x:c>
      <x:c r="Q282" s="12" t="n">
        <x:v>103.6969651</x:v>
      </x:c>
      <x:c r="R282" s="12" t="n">
        <x:v>1.4955303</x:v>
      </x:c>
      <x:c r="S282" s="12" t="str">
        <x:v>YES</x:v>
      </x:c>
      <x:c r="T282" s="12" t="str">
        <x:v>PLOT</x:v>
      </x:c>
      <x:c r="U282" s="12"/>
      <x:c r="V282" s="12" t="str">
        <x:v>POINT_READY; POLYGON_OPEN</x:v>
      </x:c>
      <x:c r="W282" s="12" t="str">
        <x:v>https://www.nadma.gov.my/bi/media-en/news/2235-flood-evacuees-rise-in-johor
https://kpwkm.gov.my/uploads/content-downloads/file_20250116124207.pdf</x:v>
      </x:c>
      <x:c r="X282" s="12" t="str">
        <x:v>Retained as one January episode, not daily duplicate counts.</x:v>
      </x:c>
    </x:row>
    <x:row r="283">
      <x:c r="A283" s="12" t="str">
        <x:v>FLOC-0086</x:v>
      </x:c>
      <x:c r="B283" s="12" t="str">
        <x:v>Kampung Kangkar Tebrau</x:v>
      </x:c>
      <x:c r="C283" s="12" t="str">
        <x:v>YES</x:v>
      </x:c>
      <x:c r="D283" s="12" t="n">
        <x:v>2025</x:v>
      </x:c>
      <x:c r="E283" s="12" t="str">
        <x:v>EVT-JB-2025-006</x:v>
      </x:c>
      <x:c r="F283" s="18" t="n">
        <x:v>45735</x:v>
      </x:c>
      <x:c r="G283" s="12" t="str">
        <x:v>DG-JB-20250319-20250324</x:v>
      </x:c>
      <x:c r="H283" s="12" t="str">
        <x:v>JBLOC-0090</x:v>
      </x:c>
      <x:c r="I283" s="12" t="str">
        <x:v>S2025-001</x:v>
      </x:c>
      <x:c r="J283" s="12" t="str">
        <x:v>Kampung Kangkar Tebrau</x:v>
      </x:c>
      <x:c r="K283" s="12" t="str">
        <x:v>Kampung Kangkar Tebrau</x:v>
      </x:c>
      <x:c r="L283" s="12" t="str">
        <x:v>COMMUNITY/AREA</x:v>
      </x:c>
      <x:c r="M283" s="12" t="str">
        <x:v>Monsoon flood / residential inundation</x:v>
      </x:c>
      <x:c r="N283" s="12" t="str">
        <x:v>A</x:v>
      </x:c>
      <x:c r="O283" s="12" t="str">
        <x:v>SRC_R2025_NADMA_20250320</x:v>
      </x:c>
      <x:c r="P283" s="12"/>
      <x:c r="Q283" s="12" t="n">
        <x:v>103.75709827</x:v>
      </x:c>
      <x:c r="R283" s="12" t="n">
        <x:v>1.53184902</x:v>
      </x:c>
      <x:c r="S283" s="12" t="str">
        <x:v>YES</x:v>
      </x:c>
      <x:c r="T283" s="12" t="str">
        <x:v>PLOT</x:v>
      </x:c>
      <x:c r="U283" s="12" t="str">
        <x:v>PG2017-KANGKAR-TEBRAU</x:v>
      </x:c>
      <x:c r="V283" s="12" t="str">
        <x:v>REUSED_CLOSED</x:v>
      </x:c>
      <x:c r="W283" s="12" t="str">
        <x:v>https://www.nadma.gov.my/bm/media-2/berita/3257-banjir-tiga-pps-dibuka-di-johor-bahru-68-penduduk-terjejas</x:v>
      </x:c>
      <x:c r="X283" s="12" t="str">
        <x:v>Affected-origin community explicitly identified by JPBN/NADMA.</x:v>
      </x:c>
    </x:row>
    <x:row r="284">
      <x:c r="A284" s="12" t="str">
        <x:v>FLOC-0125</x:v>
      </x:c>
      <x:c r="B284" s="12" t="str">
        <x:v>Kampung Ulu Pandan</x:v>
      </x:c>
      <x:c r="C284" s="12" t="str">
        <x:v>YES</x:v>
      </x:c>
      <x:c r="D284" s="12" t="n">
        <x:v>2025</x:v>
      </x:c>
      <x:c r="E284" s="12" t="str">
        <x:v>EVT-JB-2025-007</x:v>
      </x:c>
      <x:c r="F284" s="18" t="n">
        <x:v>45735</x:v>
      </x:c>
      <x:c r="G284" s="12" t="str">
        <x:v>DG-JB-20250319-20250324</x:v>
      </x:c>
      <x:c r="H284" s="12" t="str">
        <x:v>JBLOC-0148</x:v>
      </x:c>
      <x:c r="I284" s="12" t="str">
        <x:v>S2025-006</x:v>
      </x:c>
      <x:c r="J284" s="12" t="str">
        <x:v>Kampung Ulu Pandan</x:v>
      </x:c>
      <x:c r="K284" s="12" t="str">
        <x:v>Kampung Ulu Pandan</x:v>
      </x:c>
      <x:c r="L284" s="12" t="str">
        <x:v>COMMUNITY/AREA</x:v>
      </x:c>
      <x:c r="M284" s="12" t="str">
        <x:v>Monsoon flood / residential inundation</x:v>
      </x:c>
      <x:c r="N284" s="12" t="str">
        <x:v>A</x:v>
      </x:c>
      <x:c r="O284" s="12" t="str">
        <x:v>SRC_R2025_NADMA_20250320</x:v>
      </x:c>
      <x:c r="P284" s="12"/>
      <x:c r="Q284" s="12" t="n">
        <x:v>103.7683272</x:v>
      </x:c>
      <x:c r="R284" s="12" t="n">
        <x:v>1.5345501</x:v>
      </x:c>
      <x:c r="S284" s="12" t="str">
        <x:v>YES</x:v>
      </x:c>
      <x:c r="T284" s="12" t="str">
        <x:v>PLOT</x:v>
      </x:c>
      <x:c r="U284" s="12"/>
      <x:c r="V284" s="12" t="str">
        <x:v>POINT_READY; POLYGON_OPEN</x:v>
      </x:c>
      <x:c r="W284" s="12" t="str">
        <x:v>https://www.nadma.gov.my/bm/media-2/berita/3257-banjir-tiga-pps-dibuka-di-johor-bahru-68-penduduk-terjejas</x:v>
      </x:c>
      <x:c r="X284" s="12" t="str">
        <x:v>Affected-origin community explicitly identified by JPBN/NADMA.</x:v>
      </x:c>
    </x:row>
    <x:row r="285">
      <x:c r="A285" s="12" t="str">
        <x:v>FLOC-0080</x:v>
      </x:c>
      <x:c r="B285" s="12" t="str">
        <x:v>Kampung Bunga Ros</x:v>
      </x:c>
      <x:c r="C285" s="12" t="str">
        <x:v>YES</x:v>
      </x:c>
      <x:c r="D285" s="12" t="n">
        <x:v>2025</x:v>
      </x:c>
      <x:c r="E285" s="12" t="str">
        <x:v>EVT-JB-2025-008</x:v>
      </x:c>
      <x:c r="F285" s="18" t="n">
        <x:v>45735</x:v>
      </x:c>
      <x:c r="G285" s="12" t="str">
        <x:v>DG-JB-20250319-20250324</x:v>
      </x:c>
      <x:c r="H285" s="12" t="str">
        <x:v>JBLOC-0083</x:v>
      </x:c>
      <x:c r="I285" s="12" t="str">
        <x:v>S2025-007</x:v>
      </x:c>
      <x:c r="J285" s="12" t="str">
        <x:v>Kampung Bunga Ros</x:v>
      </x:c>
      <x:c r="K285" s="12" t="str">
        <x:v>Kampung Bunga Ros</x:v>
      </x:c>
      <x:c r="L285" s="12" t="str">
        <x:v>COMMUNITY/AREA</x:v>
      </x:c>
      <x:c r="M285" s="12" t="str">
        <x:v>Monsoon flood / residential inundation</x:v>
      </x:c>
      <x:c r="N285" s="12" t="str">
        <x:v>A</x:v>
      </x:c>
      <x:c r="O285" s="12" t="str">
        <x:v>SRC_R2025_NADMA_20250320</x:v>
      </x:c>
      <x:c r="P285" s="12"/>
      <x:c r="Q285" s="12" t="n">
        <x:v>103.75965347</x:v>
      </x:c>
      <x:c r="R285" s="12" t="n">
        <x:v>1.53411714</x:v>
      </x:c>
      <x:c r="S285" s="12" t="str">
        <x:v>YES</x:v>
      </x:c>
      <x:c r="T285" s="12" t="str">
        <x:v>PLOT</x:v>
      </x:c>
      <x:c r="U285" s="12"/>
      <x:c r="V285" s="12" t="str">
        <x:v>POINT_READY; POLYGON_OPEN</x:v>
      </x:c>
      <x:c r="W285" s="12" t="str">
        <x:v>https://www.nadma.gov.my/bm/media-2/berita/3257-banjir-tiga-pps-dibuka-di-johor-bahru-68-penduduk-terjejas</x:v>
      </x:c>
      <x:c r="X285" s="12" t="str">
        <x:v>Affected-origin community explicitly identified by JPBN/NADMA.</x:v>
      </x:c>
    </x:row>
    <x:row r="286">
      <x:c r="A286" s="12" t="str">
        <x:v>FLOC-0098</x:v>
      </x:c>
      <x:c r="B286" s="12" t="str">
        <x:v>Kampung Paya Kenangan</x:v>
      </x:c>
      <x:c r="C286" s="12" t="str">
        <x:v>YES</x:v>
      </x:c>
      <x:c r="D286" s="12" t="n">
        <x:v>2025</x:v>
      </x:c>
      <x:c r="E286" s="12" t="str">
        <x:v>EVT-JB-2025-009</x:v>
      </x:c>
      <x:c r="F286" s="18" t="n">
        <x:v>45735</x:v>
      </x:c>
      <x:c r="G286" s="12" t="str">
        <x:v>DG-JB-20250319-20250324</x:v>
      </x:c>
      <x:c r="H286" s="12" t="str">
        <x:v>JBLOC-0110</x:v>
      </x:c>
      <x:c r="I286" s="12" t="str">
        <x:v>S2025-002</x:v>
      </x:c>
      <x:c r="J286" s="12" t="str">
        <x:v>Kampung Paya Kenangan</x:v>
      </x:c>
      <x:c r="K286" s="12" t="str">
        <x:v>Kampung Paya Kenangan</x:v>
      </x:c>
      <x:c r="L286" s="12" t="str">
        <x:v>COMMUNITY/AREA</x:v>
      </x:c>
      <x:c r="M286" s="12" t="str">
        <x:v>Monsoon flood / residential inundation</x:v>
      </x:c>
      <x:c r="N286" s="12" t="str">
        <x:v>A</x:v>
      </x:c>
      <x:c r="O286" s="12" t="str">
        <x:v>SRC_R2025_NADMA_20250320</x:v>
      </x:c>
      <x:c r="P286" s="12"/>
      <x:c r="Q286" s="12" t="n">
        <x:v>103.74961954</x:v>
      </x:c>
      <x:c r="R286" s="12" t="n">
        <x:v>1.5403203</x:v>
      </x:c>
      <x:c r="S286" s="12" t="str">
        <x:v>YES</x:v>
      </x:c>
      <x:c r="T286" s="12" t="str">
        <x:v>PLOT</x:v>
      </x:c>
      <x:c r="U286" s="12"/>
      <x:c r="V286" s="12" t="str">
        <x:v>POINT_READY; POLYGON_OPEN</x:v>
      </x:c>
      <x:c r="W286" s="12" t="str">
        <x:v>https://www.nadma.gov.my/bm/media-2/berita/3257-banjir-tiga-pps-dibuka-di-johor-bahru-68-penduduk-terjejas</x:v>
      </x:c>
      <x:c r="X286" s="12" t="str">
        <x:v>Affected-origin community explicitly identified by JPBN/NADMA.</x:v>
      </x:c>
    </x:row>
    <x:row r="287">
      <x:c r="A287" s="12" t="str">
        <x:v>FLOC-0095</x:v>
      </x:c>
      <x:c r="B287" s="12" t="str">
        <x:v>Kampung Pasir Tebrau</x:v>
      </x:c>
      <x:c r="C287" s="12" t="str">
        <x:v>YES</x:v>
      </x:c>
      <x:c r="D287" s="12" t="n">
        <x:v>2025</x:v>
      </x:c>
      <x:c r="E287" s="12" t="str">
        <x:v>EVT-JB-2025-010</x:v>
      </x:c>
      <x:c r="F287" s="18" t="n">
        <x:v>45735</x:v>
      </x:c>
      <x:c r="G287" s="12" t="str">
        <x:v>DG-JB-20250319-20250324</x:v>
      </x:c>
      <x:c r="H287" s="12" t="str">
        <x:v>JBLOC-0107</x:v>
      </x:c>
      <x:c r="I287" s="12" t="str">
        <x:v>S2025-008</x:v>
      </x:c>
      <x:c r="J287" s="12" t="str">
        <x:v>Kampung Pasir Tebrau</x:v>
      </x:c>
      <x:c r="K287" s="12" t="str">
        <x:v>Kampung Pasir Tebrau</x:v>
      </x:c>
      <x:c r="L287" s="12" t="str">
        <x:v>COMMUNITY/AREA</x:v>
      </x:c>
      <x:c r="M287" s="12" t="str">
        <x:v>Monsoon flood / residential inundation</x:v>
      </x:c>
      <x:c r="N287" s="12" t="str">
        <x:v>A</x:v>
      </x:c>
      <x:c r="O287" s="12" t="str">
        <x:v>SRC_R2025_NADMA_20250320</x:v>
      </x:c>
      <x:c r="P287" s="12"/>
      <x:c r="Q287" s="12" t="n">
        <x:v>103.74288131</x:v>
      </x:c>
      <x:c r="R287" s="12" t="n">
        <x:v>1.54457461</x:v>
      </x:c>
      <x:c r="S287" s="12" t="str">
        <x:v>YES</x:v>
      </x:c>
      <x:c r="T287" s="12" t="str">
        <x:v>PLOT</x:v>
      </x:c>
      <x:c r="U287" s="12"/>
      <x:c r="V287" s="12" t="str">
        <x:v>POINT_READY; POLYGON_OPEN</x:v>
      </x:c>
      <x:c r="W287" s="12" t="str">
        <x:v>https://www.nadma.gov.my/bm/media-2/berita/3257-banjir-tiga-pps-dibuka-di-johor-bahru-68-penduduk-terjejas</x:v>
      </x:c>
      <x:c r="X287" s="12" t="str">
        <x:v>Affected-origin community explicitly identified by JPBN/NADMA.</x:v>
      </x:c>
    </x:row>
    <x:row r="288">
      <x:c r="A288" s="12" t="str">
        <x:v>FLOC-0089</x:v>
      </x:c>
      <x:c r="B288" s="12" t="str">
        <x:v>Kampung Laut Batu 10, Skudai</x:v>
      </x:c>
      <x:c r="C288" s="12" t="str">
        <x:v>YES</x:v>
      </x:c>
      <x:c r="D288" s="12" t="n">
        <x:v>2025</x:v>
      </x:c>
      <x:c r="E288" s="12" t="str">
        <x:v>EVT-JB-2025-011</x:v>
      </x:c>
      <x:c r="F288" s="18" t="n">
        <x:v>45736</x:v>
      </x:c>
      <x:c r="G288" s="12" t="str">
        <x:v>DG-JB-20250319-20250324</x:v>
      </x:c>
      <x:c r="H288" s="12" t="str">
        <x:v>JBLOC-0094</x:v>
      </x:c>
      <x:c r="I288" s="12" t="str">
        <x:v>S2025-009</x:v>
      </x:c>
      <x:c r="J288" s="12" t="str">
        <x:v>Kampung Laut Skudai</x:v>
      </x:c>
      <x:c r="K288" s="12" t="str">
        <x:v>Kampung Laut Skudai</x:v>
      </x:c>
      <x:c r="L288" s="12" t="str">
        <x:v>COMMUNITY/AREA</x:v>
      </x:c>
      <x:c r="M288" s="12" t="str">
        <x:v>Monsoon flood / flash-flood impact</x:v>
      </x:c>
      <x:c r="N288" s="12" t="str">
        <x:v>A/B/C</x:v>
      </x:c>
      <x:c r="O288" s="12" t="str">
        <x:v>SRC_R2025_NADMA_20250320_OPS</x:v>
      </x:c>
      <x:c r="P288" s="12"/>
      <x:c r="Q288" s="12" t="n">
        <x:v>103.6605</x:v>
      </x:c>
      <x:c r="R288" s="12" t="n">
        <x:v>1.5453</x:v>
      </x:c>
      <x:c r="S288" s="12" t="str">
        <x:v>YES</x:v>
      </x:c>
      <x:c r="T288" s="12" t="str">
        <x:v>PLOT</x:v>
      </x:c>
      <x:c r="U288" s="12"/>
      <x:c r="V288" s="12" t="str">
        <x:v>POINT_READY; POLYGON_OPEN</x:v>
      </x:c>
      <x:c r="W288" s="12" t="str">
        <x:v>https://www.nadma.gov.my/bm/media-2/berita/3259-johor-dilanda-banjir-3-pps-dibuka</x:v>
      </x:c>
      <x:c r="X288" s="12" t="str">
        <x:v>Fire-and-rescue evacuation/monitoring location.</x:v>
      </x:c>
    </x:row>
    <x:row r="289">
      <x:c r="A289" s="12" t="str">
        <x:v>FLOC-0096</x:v>
      </x:c>
      <x:c r="B289" s="12" t="str">
        <x:v>Kampung Pasir, Tampoi/Skudai</x:v>
      </x:c>
      <x:c r="C289" s="12" t="str">
        <x:v>YES</x:v>
      </x:c>
      <x:c r="D289" s="12" t="n">
        <x:v>2025</x:v>
      </x:c>
      <x:c r="E289" s="12" t="str">
        <x:v>EVT-JB-2025-012</x:v>
      </x:c>
      <x:c r="F289" s="18" t="n">
        <x:v>45736</x:v>
      </x:c>
      <x:c r="G289" s="12" t="str">
        <x:v>DG-JB-20250319-20250324</x:v>
      </x:c>
      <x:c r="H289" s="12" t="str">
        <x:v>JBLOC-0104</x:v>
      </x:c>
      <x:c r="I289" s="12" t="str">
        <x:v>S2025-005</x:v>
      </x:c>
      <x:c r="J289" s="12" t="str">
        <x:v>Kampung Pasir</x:v>
      </x:c>
      <x:c r="K289" s="12" t="str">
        <x:v>Kampung Pasir</x:v>
      </x:c>
      <x:c r="L289" s="12" t="str">
        <x:v>COMMUNITY/AREA</x:v>
      </x:c>
      <x:c r="M289" s="12" t="str">
        <x:v>Monsoon flood / flash-flood impact</x:v>
      </x:c>
      <x:c r="N289" s="12" t="str">
        <x:v>A/B/C</x:v>
      </x:c>
      <x:c r="O289" s="12" t="str">
        <x:v>SRC_R2025_NADMA_20250320_OPS</x:v>
      </x:c>
      <x:c r="P289" s="12" t="str">
        <x:v>SRC_R2025_MAYOR_20250328</x:v>
      </x:c>
      <x:c r="Q289" s="12" t="n">
        <x:v>103.6969651</x:v>
      </x:c>
      <x:c r="R289" s="12" t="n">
        <x:v>1.4955303</x:v>
      </x:c>
      <x:c r="S289" s="12" t="str">
        <x:v>YES</x:v>
      </x:c>
      <x:c r="T289" s="12" t="str">
        <x:v>PLOT</x:v>
      </x:c>
      <x:c r="U289" s="12"/>
      <x:c r="V289" s="12" t="str">
        <x:v>POINT_READY; POLYGON_OPEN</x:v>
      </x:c>
      <x:c r="W289" s="12" t="str">
        <x:v>https://www.nadma.gov.my/bm/media-2/berita/3259-johor-dilanda-banjir-3-pps-dibuka
https://www.nadma.gov.my/bi/media-en/news/3415-banjir-terburuk-dalam-tempoh-30-tahun-datuk-bandar-mbjb</x:v>
      </x:c>
      <x:c r="X289" s="12" t="str">
        <x:v>One of the worst-hit MBJB areas.</x:v>
      </x:c>
    </x:row>
    <x:row r="290">
      <x:c r="A290" s="12" t="str">
        <x:v>FLOC-0154</x:v>
      </x:c>
      <x:c r="B290" s="12" t="str">
        <x:v>Pandan</x:v>
      </x:c>
      <x:c r="C290" s="12" t="str">
        <x:v>YES</x:v>
      </x:c>
      <x:c r="D290" s="12" t="n">
        <x:v>2025</x:v>
      </x:c>
      <x:c r="E290" s="12" t="str">
        <x:v>EVT-JB-2025-013</x:v>
      </x:c>
      <x:c r="F290" s="18" t="n">
        <x:v>45736</x:v>
      </x:c>
      <x:c r="G290" s="12" t="str">
        <x:v>DG-JB-20250319-20250324</x:v>
      </x:c>
      <x:c r="H290" s="12" t="str">
        <x:v>JBLOC-0170</x:v>
      </x:c>
      <x:c r="I290" s="12" t="str">
        <x:v>S2025-010</x:v>
      </x:c>
      <x:c r="J290" s="12" t="str">
        <x:v>Pandan</x:v>
      </x:c>
      <x:c r="K290" s="12" t="str">
        <x:v>Pandan</x:v>
      </x:c>
      <x:c r="L290" s="12" t="str">
        <x:v>AREA/RESIDENTIAL</x:v>
      </x:c>
      <x:c r="M290" s="12" t="str">
        <x:v>Monsoon flood / flash-flood impact</x:v>
      </x:c>
      <x:c r="N290" s="12" t="str">
        <x:v>A/B/C</x:v>
      </x:c>
      <x:c r="O290" s="12" t="str">
        <x:v>SRC_R2025_MAYOR_20250328</x:v>
      </x:c>
      <x:c r="P290" s="12"/>
      <x:c r="Q290" s="12" t="n">
        <x:v>103.7639473</x:v>
      </x:c>
      <x:c r="R290" s="12" t="n">
        <x:v>1.5218297</x:v>
      </x:c>
      <x:c r="S290" s="12" t="str">
        <x:v>YES</x:v>
      </x:c>
      <x:c r="T290" s="12" t="str">
        <x:v>PLOT</x:v>
      </x:c>
      <x:c r="U290" s="12"/>
      <x:c r="V290" s="12" t="str">
        <x:v>POINT_READY; POLYGON_OPEN</x:v>
      </x:c>
      <x:c r="W290" s="12" t="str">
        <x:v>https://www.nadma.gov.my/bi/media-en/news/3415-banjir-terburuk-dalam-tempoh-30-tahun-datuk-bandar-mbjb</x:v>
      </x:c>
      <x:c r="X290" s="12" t="str">
        <x:v>Mayor retrospective explicitly includes Pandan among affected MBJB locations.</x:v>
      </x:c>
    </x:row>
    <x:row r="291">
      <x:c r="A291" s="12" t="str">
        <x:v>FLOC-0177</x:v>
      </x:c>
      <x:c r="B291" s="12" t="str">
        <x:v>Taman Desa Mutiara</x:v>
      </x:c>
      <x:c r="C291" s="12" t="str">
        <x:v>YES</x:v>
      </x:c>
      <x:c r="D291" s="12" t="n">
        <x:v>2025</x:v>
      </x:c>
      <x:c r="E291" s="12" t="str">
        <x:v>EVT-JB-2025-014</x:v>
      </x:c>
      <x:c r="F291" s="18" t="n">
        <x:v>45736</x:v>
      </x:c>
      <x:c r="G291" s="12" t="str">
        <x:v>DG-JB-20250319-20250324</x:v>
      </x:c>
      <x:c r="H291" s="12" t="str">
        <x:v>JBLOC-0192</x:v>
      </x:c>
      <x:c r="I291" s="12" t="str">
        <x:v>S2025-011</x:v>
      </x:c>
      <x:c r="J291" s="12" t="str">
        <x:v>Taman Desa Mutiara</x:v>
      </x:c>
      <x:c r="K291" s="12" t="str">
        <x:v>Taman Desa Mutiara</x:v>
      </x:c>
      <x:c r="L291" s="12" t="str">
        <x:v>AREA/RESIDENTIAL</x:v>
      </x:c>
      <x:c r="M291" s="12" t="str">
        <x:v>Monsoon flood / flash-flood impact</x:v>
      </x:c>
      <x:c r="N291" s="12" t="str">
        <x:v>A/B/C</x:v>
      </x:c>
      <x:c r="O291" s="12" t="str">
        <x:v>SRC_R2025_MAYOR_20250328</x:v>
      </x:c>
      <x:c r="P291" s="12" t="str">
        <x:v>SRC_R2025_NADMA_20250322_AID</x:v>
      </x:c>
      <x:c r="Q291" s="12" t="n">
        <x:v>103.747256167436</x:v>
      </x:c>
      <x:c r="R291" s="12" t="n">
        <x:v>1.5406298</x:v>
      </x:c>
      <x:c r="S291" s="12" t="str">
        <x:v>YES</x:v>
      </x:c>
      <x:c r="T291" s="12" t="str">
        <x:v>PLOT</x:v>
      </x:c>
      <x:c r="U291" s="12"/>
      <x:c r="V291" s="12" t="str">
        <x:v>POINT_READY; POLYGON_OPEN</x:v>
      </x:c>
      <x:c r="W291" s="12" t="str">
        <x:v>https://www.nadma.gov.my/bi/media-en/news/3415-banjir-terburuk-dalam-tempoh-30-tahun-datuk-bandar-mbjb
https://www.nadma.gov.my/bm/media-2/berita/3317-econsave-hulur-bantuan-kepada-mangsa-banjir-di-johor-bahru</x:v>
      </x:c>
      <x:c r="X291" s="12" t="str">
        <x:v>Post-flood cleanup evidence supports direct impact.</x:v>
      </x:c>
    </x:row>
    <x:row r="292">
      <x:c r="A292" s="12" t="str">
        <x:v>FLOC-0194</x:v>
      </x:c>
      <x:c r="B292" s="12" t="str">
        <x:v>Taman Tampoi Utama</x:v>
      </x:c>
      <x:c r="C292" s="12" t="str">
        <x:v>YES</x:v>
      </x:c>
      <x:c r="D292" s="12" t="n">
        <x:v>2025</x:v>
      </x:c>
      <x:c r="E292" s="12" t="str">
        <x:v>EVT-JB-2025-015</x:v>
      </x:c>
      <x:c r="F292" s="18" t="n">
        <x:v>45736</x:v>
      </x:c>
      <x:c r="G292" s="12" t="str">
        <x:v>DG-JB-20250319-20250324</x:v>
      </x:c>
      <x:c r="H292" s="12" t="str">
        <x:v>JBLOC-0209</x:v>
      </x:c>
      <x:c r="I292" s="12" t="str">
        <x:v>S2025-012</x:v>
      </x:c>
      <x:c r="J292" s="12" t="str">
        <x:v>Taman Tampoi Utama</x:v>
      </x:c>
      <x:c r="K292" s="12" t="str">
        <x:v>Taman Tampoi Utama</x:v>
      </x:c>
      <x:c r="L292" s="12" t="str">
        <x:v>AREA/RESIDENTIAL</x:v>
      </x:c>
      <x:c r="M292" s="12" t="str">
        <x:v>Monsoon flood / flash-flood impact</x:v>
      </x:c>
      <x:c r="N292" s="12" t="str">
        <x:v>A/B/C</x:v>
      </x:c>
      <x:c r="O292" s="12" t="str">
        <x:v>SRC_R2025_MAYOR_20250328</x:v>
      </x:c>
      <x:c r="P292" s="12" t="str">
        <x:v>SRC_R2025_NADMA_20250321_TAMPOI</x:v>
      </x:c>
      <x:c r="Q292" s="12" t="n">
        <x:v>103.6859554</x:v>
      </x:c>
      <x:c r="R292" s="12" t="n">
        <x:v>1.502518</x:v>
      </x:c>
      <x:c r="S292" s="12" t="str">
        <x:v>YES</x:v>
      </x:c>
      <x:c r="T292" s="12" t="str">
        <x:v>PLOT</x:v>
      </x:c>
      <x:c r="U292" s="12"/>
      <x:c r="V292" s="12" t="str">
        <x:v>POINT_READY; POLYGON_OPEN</x:v>
      </x:c>
      <x:c r="W292" s="12" t="str">
        <x:v>https://www.nadma.gov.my/bi/media-en/news/3415-banjir-terburuk-dalam-tempoh-30-tahun-datuk-bandar-mbjb
https://www.nadma.gov.my/bi/media-en/news/3306-43-guru-murid-terkandas-sekolah-dinaiki-air</x:v>
      </x:c>
      <x:c r="X292" s="12" t="str">
        <x:v>School/neighbourhood rescue evidence.</x:v>
      </x:c>
    </x:row>
    <x:row r="293">
      <x:c r="A293" s="12" t="str">
        <x:v>FLOC-0115</x:v>
      </x:c>
      <x:c r="B293" s="12" t="str">
        <x:v>Kampung Sri Serdang</x:v>
      </x:c>
      <x:c r="C293" s="12" t="str">
        <x:v>YES</x:v>
      </x:c>
      <x:c r="D293" s="12" t="n">
        <x:v>2025</x:v>
      </x:c>
      <x:c r="E293" s="12" t="str">
        <x:v>EVT-JB-2025-016</x:v>
      </x:c>
      <x:c r="F293" s="18" t="n">
        <x:v>45736</x:v>
      </x:c>
      <x:c r="G293" s="12" t="str">
        <x:v>DG-JB-20250319-20250324</x:v>
      </x:c>
      <x:c r="H293" s="12" t="str">
        <x:v>JBLOC-0129</x:v>
      </x:c>
      <x:c r="I293" s="12" t="str">
        <x:v>S2025-013</x:v>
      </x:c>
      <x:c r="J293" s="12" t="str">
        <x:v>Kampung Seri Serdang</x:v>
      </x:c>
      <x:c r="K293" s="12" t="str">
        <x:v>Kampung Seri Serdang</x:v>
      </x:c>
      <x:c r="L293" s="12" t="str">
        <x:v>COMMUNITY/AREA</x:v>
      </x:c>
      <x:c r="M293" s="12" t="str">
        <x:v>Monsoon flood / flash-flood impact</x:v>
      </x:c>
      <x:c r="N293" s="12" t="str">
        <x:v>A/B/C</x:v>
      </x:c>
      <x:c r="O293" s="12" t="str">
        <x:v>SRC_R2025_MAYOR_20250328</x:v>
      </x:c>
      <x:c r="P293" s="12"/>
      <x:c r="Q293" s="12" t="n">
        <x:v>103.6919335</x:v>
      </x:c>
      <x:c r="R293" s="12" t="n">
        <x:v>1.5017487</x:v>
      </x:c>
      <x:c r="S293" s="12" t="str">
        <x:v>YES</x:v>
      </x:c>
      <x:c r="T293" s="12" t="str">
        <x:v>PLOT</x:v>
      </x:c>
      <x:c r="U293" s="12"/>
      <x:c r="V293" s="12" t="str">
        <x:v>POINT_READY; POLYGON_OPEN</x:v>
      </x:c>
      <x:c r="W293" s="12" t="str">
        <x:v>https://www.nadma.gov.my/bi/media-en/news/3415-banjir-terburuk-dalam-tempoh-30-tahun-datuk-bandar-mbjb</x:v>
      </x:c>
      <x:c r="X293" s="12" t="str">
        <x:v>Mayor retrospective explicit location.</x:v>
      </x:c>
    </x:row>
    <x:row r="294">
      <x:c r="A294" s="12" t="str">
        <x:v>FLOC-0093</x:v>
      </x:c>
      <x:c r="B294" s="12" t="str">
        <x:v>Kampung Melayu Pandan</x:v>
      </x:c>
      <x:c r="C294" s="12" t="str">
        <x:v>YES</x:v>
      </x:c>
      <x:c r="D294" s="12" t="n">
        <x:v>2025</x:v>
      </x:c>
      <x:c r="E294" s="12" t="str">
        <x:v>EVT-JB-2025-017</x:v>
      </x:c>
      <x:c r="F294" s="18" t="n">
        <x:v>45736</x:v>
      </x:c>
      <x:c r="G294" s="12" t="str">
        <x:v>DG-JB-20250319-20250324</x:v>
      </x:c>
      <x:c r="H294" s="12" t="str">
        <x:v>JBLOC-0099</x:v>
      </x:c>
      <x:c r="I294" s="12" t="str">
        <x:v>S2025-014</x:v>
      </x:c>
      <x:c r="J294" s="12" t="str">
        <x:v>Kampung Melayu Pandan</x:v>
      </x:c>
      <x:c r="K294" s="12" t="str">
        <x:v>Kampung Melayu Pandan</x:v>
      </x:c>
      <x:c r="L294" s="12" t="str">
        <x:v>COMMUNITY/AREA</x:v>
      </x:c>
      <x:c r="M294" s="12" t="str">
        <x:v>Monsoon flood / flash-flood impact</x:v>
      </x:c>
      <x:c r="N294" s="12" t="str">
        <x:v>A/B/C</x:v>
      </x:c>
      <x:c r="O294" s="12" t="str">
        <x:v>SRC_R2025_MAYOR_20250328</x:v>
      </x:c>
      <x:c r="P294" s="12"/>
      <x:c r="Q294" s="12" t="n">
        <x:v>103.773858346421</x:v>
      </x:c>
      <x:c r="R294" s="12" t="n">
        <x:v>1.52264915</x:v>
      </x:c>
      <x:c r="S294" s="12" t="str">
        <x:v>YES</x:v>
      </x:c>
      <x:c r="T294" s="12" t="str">
        <x:v>PLOT</x:v>
      </x:c>
      <x:c r="U294" s="12"/>
      <x:c r="V294" s="12" t="str">
        <x:v>POINT_READY; POLYGON_OPEN</x:v>
      </x:c>
      <x:c r="W294" s="12" t="str">
        <x:v>https://www.nadma.gov.my/bi/media-en/news/3415-banjir-terburuk-dalam-tempoh-30-tahun-datuk-bandar-mbjb</x:v>
      </x:c>
      <x:c r="X294" s="12" t="str">
        <x:v>Mayor retrospective explicit location.</x:v>
      </x:c>
    </x:row>
    <x:row r="295">
      <x:c r="A295" s="12" t="str">
        <x:v>FLOC-0076</x:v>
      </x:c>
      <x:c r="B295" s="12" t="str">
        <x:v>Kampung Belantik</x:v>
      </x:c>
      <x:c r="C295" s="12" t="str">
        <x:v>YES</x:v>
      </x:c>
      <x:c r="D295" s="12" t="n">
        <x:v>2025</x:v>
      </x:c>
      <x:c r="E295" s="12" t="str">
        <x:v>EVT-JB-2025-018</x:v>
      </x:c>
      <x:c r="F295" s="18" t="n">
        <x:v>45736</x:v>
      </x:c>
      <x:c r="G295" s="12" t="str">
        <x:v>DG-JB-20250319-20250324</x:v>
      </x:c>
      <x:c r="H295" s="12" t="str">
        <x:v>JBLOC-0079</x:v>
      </x:c>
      <x:c r="I295" s="12" t="str">
        <x:v>S2025-015</x:v>
      </x:c>
      <x:c r="J295" s="12" t="str">
        <x:v>Kampung Belantik</x:v>
      </x:c>
      <x:c r="K295" s="12" t="str">
        <x:v>Kg. Belantik</x:v>
      </x:c>
      <x:c r="L295" s="12" t="str">
        <x:v>COMMUNITY/AREA</x:v>
      </x:c>
      <x:c r="M295" s="12" t="str">
        <x:v>Monsoon flood / flash-flood impact</x:v>
      </x:c>
      <x:c r="N295" s="12" t="str">
        <x:v>A/B/C</x:v>
      </x:c>
      <x:c r="O295" s="12" t="str">
        <x:v>SRC_R2025_MAYOR_20250328</x:v>
      </x:c>
      <x:c r="P295" s="12"/>
      <x:c r="Q295" s="12" t="n">
        <x:v>103.76650814</x:v>
      </x:c>
      <x:c r="R295" s="12" t="n">
        <x:v>1.51378258</x:v>
      </x:c>
      <x:c r="S295" s="12" t="str">
        <x:v>YES</x:v>
      </x:c>
      <x:c r="T295" s="12" t="str">
        <x:v>PLOT</x:v>
      </x:c>
      <x:c r="U295" s="12"/>
      <x:c r="V295" s="12" t="str">
        <x:v>IDENTITY_VALID; POINT_OPEN; POLYGON_OPEN</x:v>
      </x:c>
      <x:c r="W295" s="12" t="str">
        <x:v>https://www.nadma.gov.my/bi/media-en/news/3415-banjir-terburuk-dalam-tempoh-30-tahun-datuk-bandar-mbjb</x:v>
      </x:c>
      <x:c r="X295" s="12" t="str">
        <x:v>Mayor retrospective explicit location; identity retained without forced polygon.</x:v>
      </x:c>
    </x:row>
    <x:row r="296">
      <x:c r="A296" s="12" t="str">
        <x:v>FLOC-0193</x:v>
      </x:c>
      <x:c r="B296" s="12" t="str">
        <x:v>Taman Tampoi Indah</x:v>
      </x:c>
      <x:c r="C296" s="12" t="str">
        <x:v>YES</x:v>
      </x:c>
      <x:c r="D296" s="12" t="n">
        <x:v>2025</x:v>
      </x:c>
      <x:c r="E296" s="12" t="str">
        <x:v>EVT-JB-2025-019</x:v>
      </x:c>
      <x:c r="F296" s="18" t="n">
        <x:v>45736</x:v>
      </x:c>
      <x:c r="G296" s="12" t="str">
        <x:v>DG-JB-20250319-20250324</x:v>
      </x:c>
      <x:c r="H296" s="12" t="str">
        <x:v>JBLOC-0208</x:v>
      </x:c>
      <x:c r="I296" s="12" t="str">
        <x:v>S2025-016</x:v>
      </x:c>
      <x:c r="J296" s="12" t="str">
        <x:v>Taman Tampoi Indah</x:v>
      </x:c>
      <x:c r="K296" s="12" t="str">
        <x:v>Taman Tampoi Indah</x:v>
      </x:c>
      <x:c r="L296" s="12" t="str">
        <x:v>AREA/RESIDENTIAL</x:v>
      </x:c>
      <x:c r="M296" s="12" t="str">
        <x:v>Monsoon flood / flash-flood impact</x:v>
      </x:c>
      <x:c r="N296" s="12" t="str">
        <x:v>A/B/C</x:v>
      </x:c>
      <x:c r="O296" s="12" t="str">
        <x:v>SRC_R2025_MAYOR_20250328</x:v>
      </x:c>
      <x:c r="P296" s="12" t="str">
        <x:v>SRC_R2025_NADMA_20250325_TAMPOI</x:v>
      </x:c>
      <x:c r="Q296" s="12" t="n">
        <x:v>103.6818886</x:v>
      </x:c>
      <x:c r="R296" s="12" t="n">
        <x:v>1.5104756</x:v>
      </x:c>
      <x:c r="S296" s="12" t="str">
        <x:v>YES</x:v>
      </x:c>
      <x:c r="T296" s="12" t="str">
        <x:v>PLOT</x:v>
      </x:c>
      <x:c r="U296" s="12"/>
      <x:c r="V296" s="12" t="str">
        <x:v>POINT_READY; POLYGON_OPEN</x:v>
      </x:c>
      <x:c r="W296" s="12" t="str">
        <x:v>https://www.nadma.gov.my/bi/media-en/news/3415-banjir-terburuk-dalam-tempoh-30-tahun-datuk-bandar-mbjb
https://www.nadma.gov.my/bm/media-2/berita/3380-berulang-alik-lebih-30-kali-selamatkan-murid-terkandas-akibat-banjir</x:v>
      </x:c>
      <x:c r="X296" s="12" t="str">
        <x:v>Mayor identifies it as among worst-hit; local rescue evidence corroborates.</x:v>
      </x:c>
    </x:row>
    <x:row r="297">
      <x:c r="A297" s="12" t="str">
        <x:v>FLOC-0155</x:v>
      </x:c>
      <x:c r="B297" s="12" t="str">
        <x:v>Perling / Taman Perling</x:v>
      </x:c>
      <x:c r="C297" s="12" t="str">
        <x:v>YES</x:v>
      </x:c>
      <x:c r="D297" s="12" t="n">
        <x:v>2025</x:v>
      </x:c>
      <x:c r="E297" s="12" t="str">
        <x:v>EVT-JB-2025-020</x:v>
      </x:c>
      <x:c r="F297" s="18" t="n">
        <x:v>45736</x:v>
      </x:c>
      <x:c r="G297" s="12" t="str">
        <x:v>DG-JB-20250319-20250324</x:v>
      </x:c>
      <x:c r="H297" s="12" t="str">
        <x:v>JBLOC-0171</x:v>
      </x:c>
      <x:c r="I297" s="12" t="str">
        <x:v>S2025-017</x:v>
      </x:c>
      <x:c r="J297" s="12" t="str">
        <x:v>Perling</x:v>
      </x:c>
      <x:c r="K297" s="12" t="str">
        <x:v>Perling / Taman Perling</x:v>
      </x:c>
      <x:c r="L297" s="12" t="str">
        <x:v>AREA/RESIDENTIAL</x:v>
      </x:c>
      <x:c r="M297" s="12" t="str">
        <x:v>Monsoon flood / flash-flood impact</x:v>
      </x:c>
      <x:c r="N297" s="12" t="str">
        <x:v>A/B/C</x:v>
      </x:c>
      <x:c r="O297" s="12" t="str">
        <x:v>SRC_R2025_DAP_20250324</x:v>
      </x:c>
      <x:c r="P297" s="12"/>
      <x:c r="Q297" s="12" t="n">
        <x:v>103.683194</x:v>
      </x:c>
      <x:c r="R297" s="12" t="n">
        <x:v>1.487722</x:v>
      </x:c>
      <x:c r="S297" s="12" t="str">
        <x:v>YES</x:v>
      </x:c>
      <x:c r="T297" s="12" t="str">
        <x:v>PLOT</x:v>
      </x:c>
      <x:c r="U297" s="12"/>
      <x:c r="V297" s="12" t="str">
        <x:v>LOWER_TIER_EVENT_EVIDENCE; POINT_OPEN; POLYGON_OPEN</x:v>
      </x:c>
      <x:c r="W297" s="12" t="str">
        <x:v>https://dapmalaysia.org/unit-tindak-dap-johor-bertindak-pantas-membantu-mangsa-banjir/</x:v>
      </x:c>
      <x:c r="X297" s="12" t="str">
        <x:v>Lower-tier field observation retained transparently; electricity cut after deep flooding.</x:v>
      </x:c>
    </x:row>
    <x:row r="298">
      <x:c r="A298" s="12" t="str">
        <x:v>FLOC-0061</x:v>
      </x:c>
      <x:c r="B298" s="12" t="str">
        <x:v>Jalan Sukun, Kampung Pasir</x:v>
      </x:c>
      <x:c r="C298" s="12" t="str">
        <x:v>YES</x:v>
      </x:c>
      <x:c r="D298" s="12" t="n">
        <x:v>2025</x:v>
      </x:c>
      <x:c r="E298" s="12" t="str">
        <x:v>EVT-JB-2025-021</x:v>
      </x:c>
      <x:c r="F298" s="18" t="n">
        <x:v>45736</x:v>
      </x:c>
      <x:c r="G298" s="12" t="str">
        <x:v>DG-JB-20250319-20250324</x:v>
      </x:c>
      <x:c r="H298" s="12" t="str">
        <x:v>JBLOC-0063</x:v>
      </x:c>
      <x:c r="I298" s="12" t="str">
        <x:v>S2025-018</x:v>
      </x:c>
      <x:c r="J298" s="12" t="str">
        <x:v>Jalan Sukun, Kampung Pasir</x:v>
      </x:c>
      <x:c r="K298" s="12" t="str">
        <x:v>Jalan Sukun, Kampung Pasir</x:v>
      </x:c>
      <x:c r="L298" s="12" t="str">
        <x:v>ROAD/ROAD SEGMENT</x:v>
      </x:c>
      <x:c r="M298" s="12" t="str">
        <x:v>Monsoon flood / flash-flood impact</x:v>
      </x:c>
      <x:c r="N298" s="12" t="str">
        <x:v>A/B/C</x:v>
      </x:c>
      <x:c r="O298" s="12" t="str">
        <x:v>SRC_R2025_NADMA_20250320_ROAD</x:v>
      </x:c>
      <x:c r="P298" s="12"/>
      <x:c r="Q298" s="12"/>
      <x:c r="R298" s="12"/>
      <x:c r="S298" s="12" t="str">
        <x:v>NO</x:v>
      </x:c>
      <x:c r="T298" s="12" t="str">
        <x:v>DO NOT PLOT</x:v>
      </x:c>
      <x:c r="U298" s="12"/>
      <x:c r="V298" s="12" t="str">
        <x:v>ROAD_SEGMENT_OPEN</x:v>
      </x:c>
      <x:c r="W298" s="12" t="str">
        <x:v>https://www.nadma.gov.my/bi/media-en/news/3261-floods-several-locations-near-jb-report-rising-waters-amid-continuous-rainfall</x:v>
      </x:c>
      <x:c r="X298" s="12" t="str">
        <x:v>Wheelchair-bound resident rescued from flood along Jalan Sukun.</x:v>
      </x:c>
    </x:row>
    <x:row r="299">
      <x:c r="A299" s="12" t="str">
        <x:v>FLOC-0162</x:v>
      </x:c>
      <x:c r="B299" s="12" t="str">
        <x:v>Sekolah Kebangsaan Kangkar Tebrau</x:v>
      </x:c>
      <x:c r="C299" s="12" t="str">
        <x:v>YES</x:v>
      </x:c>
      <x:c r="D299" s="12" t="n">
        <x:v>2025</x:v>
      </x:c>
      <x:c r="E299" s="12" t="str">
        <x:v>EVT-JB-2025-022</x:v>
      </x:c>
      <x:c r="F299" s="18" t="n">
        <x:v>45736</x:v>
      </x:c>
      <x:c r="G299" s="12" t="str">
        <x:v>DG-JB-20250319-20250324</x:v>
      </x:c>
      <x:c r="H299" s="12" t="str">
        <x:v>JBLOC-0180</x:v>
      </x:c>
      <x:c r="I299" s="12" t="str">
        <x:v>S2025-003</x:v>
      </x:c>
      <x:c r="J299" s="12" t="str">
        <x:v>SK Kangkar Tebrau</x:v>
      </x:c>
      <x:c r="K299" s="12" t="str">
        <x:v>Sekolah Kebangsaan Kangkar Tebrau</x:v>
      </x:c>
      <x:c r="L299" s="12" t="str">
        <x:v>CRITICAL FACILITY</x:v>
      </x:c>
      <x:c r="M299" s="12" t="str">
        <x:v>Flood-related critical-facility impact</x:v>
      </x:c>
      <x:c r="N299" s="12" t="str">
        <x:v>A/B</x:v>
      </x:c>
      <x:c r="O299" s="12" t="str">
        <x:v>SRC_R2025_BERNAMA_SCHOOLS_20250320</x:v>
      </x:c>
      <x:c r="P299" s="12"/>
      <x:c r="Q299" s="12" t="n">
        <x:v>103.7555</x:v>
      </x:c>
      <x:c r="R299" s="12" t="n">
        <x:v>1.53241</x:v>
      </x:c>
      <x:c r="S299" s="12" t="str">
        <x:v>YES</x:v>
      </x:c>
      <x:c r="T299" s="12" t="str">
        <x:v>PLOT</x:v>
      </x:c>
      <x:c r="U299" s="12"/>
      <x:c r="V299" s="12" t="str">
        <x:v>FACILITY_POINT/POLYGON_OPEN</x:v>
      </x:c>
      <x:c r="W299" s="12" t="str">
        <x:v>https://www.bernama.com/bm/news.php?id=2404303</x:v>
      </x:c>
      <x:c r="X299" s="12" t="str">
        <x:v>School fully inundated; operations stopped.</x:v>
      </x:c>
    </x:row>
    <x:row r="300">
      <x:c r="A300" s="12" t="str">
        <x:v>FLOC-0166</x:v>
      </x:c>
      <x:c r="B300" s="12" t="str">
        <x:v>SK Kampung Maju Jaya</x:v>
      </x:c>
      <x:c r="C300" s="12" t="str">
        <x:v>YES</x:v>
      </x:c>
      <x:c r="D300" s="12" t="n">
        <x:v>2025</x:v>
      </x:c>
      <x:c r="E300" s="12" t="str">
        <x:v>EVT-JB-2025-023</x:v>
      </x:c>
      <x:c r="F300" s="18" t="n">
        <x:v>45736</x:v>
      </x:c>
      <x:c r="G300" s="12" t="str">
        <x:v>DG-JB-20250319-20250324</x:v>
      </x:c>
      <x:c r="H300" s="12" t="str">
        <x:v>JBLOC-0179</x:v>
      </x:c>
      <x:c r="I300" s="12" t="str">
        <x:v>S2025-019</x:v>
      </x:c>
      <x:c r="J300" s="12" t="str">
        <x:v>SK Kampung Maju Jaya</x:v>
      </x:c>
      <x:c r="K300" s="12" t="str">
        <x:v>SK Kampung Maju Jaya</x:v>
      </x:c>
      <x:c r="L300" s="12" t="str">
        <x:v>CRITICAL FACILITY</x:v>
      </x:c>
      <x:c r="M300" s="12" t="str">
        <x:v>Flood-related critical-facility impact</x:v>
      </x:c>
      <x:c r="N300" s="12" t="str">
        <x:v>A/B</x:v>
      </x:c>
      <x:c r="O300" s="12" t="str">
        <x:v>SRC_R2025_BERNAMA_SCHOOLS_20250320</x:v>
      </x:c>
      <x:c r="P300" s="12"/>
      <x:c r="Q300" s="12" t="n">
        <x:v>103.718275204555</x:v>
      </x:c>
      <x:c r="R300" s="12" t="n">
        <x:v>1.5804887</x:v>
      </x:c>
      <x:c r="S300" s="12" t="str">
        <x:v>YES</x:v>
      </x:c>
      <x:c r="T300" s="12" t="str">
        <x:v>PLOT</x:v>
      </x:c>
      <x:c r="U300" s="12"/>
      <x:c r="V300" s="12" t="str">
        <x:v>POINT_READY; FACILITY_POLYGON_OPEN</x:v>
      </x:c>
      <x:c r="W300" s="12" t="str">
        <x:v>https://www.bernama.com/bm/news.php?id=2404303</x:v>
      </x:c>
      <x:c r="X300" s="12" t="str">
        <x:v>School fully inundated; operations stopped.</x:v>
      </x:c>
    </x:row>
    <x:row r="301">
      <x:c r="A301" s="12" t="str">
        <x:v>FLOC-0168</x:v>
      </x:c>
      <x:c r="B301" s="12" t="str">
        <x:v>SK Taman Tampoi Utama</x:v>
      </x:c>
      <x:c r="C301" s="12" t="str">
        <x:v>YES</x:v>
      </x:c>
      <x:c r="D301" s="12" t="n">
        <x:v>2025</x:v>
      </x:c>
      <x:c r="E301" s="12" t="str">
        <x:v>EVT-JB-2025-024</x:v>
      </x:c>
      <x:c r="F301" s="18" t="n">
        <x:v>45736</x:v>
      </x:c>
      <x:c r="G301" s="12" t="str">
        <x:v>DG-JB-20250319-20250324</x:v>
      </x:c>
      <x:c r="H301" s="12" t="str">
        <x:v>JBLOC-0182</x:v>
      </x:c>
      <x:c r="I301" s="12" t="str">
        <x:v>S2025-020</x:v>
      </x:c>
      <x:c r="J301" s="12" t="str">
        <x:v>SK Taman Tampoi Utama</x:v>
      </x:c>
      <x:c r="K301" s="12" t="str">
        <x:v>SK Taman Tampoi Utama</x:v>
      </x:c>
      <x:c r="L301" s="12" t="str">
        <x:v>CRITICAL FACILITY</x:v>
      </x:c>
      <x:c r="M301" s="12" t="str">
        <x:v>Flood-related critical-facility impact</x:v>
      </x:c>
      <x:c r="N301" s="12" t="str">
        <x:v>A/B</x:v>
      </x:c>
      <x:c r="O301" s="12" t="str">
        <x:v>SRC_R2025_RTM_TAMPOI_20250321</x:v>
      </x:c>
      <x:c r="P301" s="12"/>
      <x:c r="Q301" s="12" t="n">
        <x:v>103.680172562599</x:v>
      </x:c>
      <x:c r="R301" s="12" t="n">
        <x:v>1.51604363425928</x:v>
      </x:c>
      <x:c r="S301" s="12" t="str">
        <x:v>YES</x:v>
      </x:c>
      <x:c r="T301" s="12" t="str">
        <x:v>PLOT</x:v>
      </x:c>
      <x:c r="U301" s="12"/>
      <x:c r="V301" s="12" t="str">
        <x:v>FACILITY_POINT/POLYGON_OPEN</x:v>
      </x:c>
      <x:c r="W301" s="12" t="str">
        <x:v>https://www.apac.com.my/jba1123-sk-taman-tampoi-utama.html</x:v>
      </x:c>
      <x:c r="X301" s="12" t="str">
        <x:v>Teachers and pupils trapped after school compound/building was inundated.</x:v>
      </x:c>
    </x:row>
    <x:row r="302">
      <x:c r="A302" s="12" t="str">
        <x:v>FLOC-0140</x:v>
      </x:c>
      <x:c r="B302" s="12" t="str">
        <x:v>Klinik Desa Kangkar Tebrau</x:v>
      </x:c>
      <x:c r="C302" s="12" t="str">
        <x:v>YES</x:v>
      </x:c>
      <x:c r="D302" s="12" t="n">
        <x:v>2025</x:v>
      </x:c>
      <x:c r="E302" s="12" t="str">
        <x:v>EVT-JB-2025-025</x:v>
      </x:c>
      <x:c r="F302" s="18" t="n">
        <x:v>45737</x:v>
      </x:c>
      <x:c r="G302" s="12" t="str">
        <x:v>DG-JB-20250319-20250324</x:v>
      </x:c>
      <x:c r="H302" s="12" t="str">
        <x:v>JBLOC-0156</x:v>
      </x:c>
      <x:c r="I302" s="12" t="str">
        <x:v>S2025-021</x:v>
      </x:c>
      <x:c r="J302" s="12" t="str">
        <x:v>KD Kangkar Tebrau</x:v>
      </x:c>
      <x:c r="K302" s="12" t="str">
        <x:v>Klinik Desa Kangkar Tebrau</x:v>
      </x:c>
      <x:c r="L302" s="12" t="str">
        <x:v>CRITICAL FACILITY</x:v>
      </x:c>
      <x:c r="M302" s="12" t="str">
        <x:v>Flood-related critical-facility impact</x:v>
      </x:c>
      <x:c r="N302" s="12" t="str">
        <x:v>A/B</x:v>
      </x:c>
      <x:c r="O302" s="12" t="str">
        <x:v>SRC_R2025_NADMA_SITREP_20250322</x:v>
      </x:c>
      <x:c r="P302" s="12"/>
      <x:c r="Q302" s="12" t="n">
        <x:v>103.75802</x:v>
      </x:c>
      <x:c r="R302" s="12" t="n">
        <x:v>1.53597</x:v>
      </x:c>
      <x:c r="S302" s="12" t="str">
        <x:v>YES</x:v>
      </x:c>
      <x:c r="T302" s="12" t="str">
        <x:v>PLOT</x:v>
      </x:c>
      <x:c r="U302" s="12"/>
      <x:c r="V302" s="12" t="str">
        <x:v>FACILITY_POINT/POLYGON_OPEN</x:v>
      </x:c>
      <x:c r="W302" s="12" t="str">
        <x:v>https://www.nadma.gov.my/images/2025/SITREP/SITREP_19_-_22_Mac_2025.pdf</x:v>
      </x:c>
      <x:c r="X302" s="12" t="str">
        <x:v>Flood-affected health facility; operations moved to KK Majidee.</x:v>
      </x:c>
    </x:row>
    <x:row r="303">
      <x:c r="A303" s="12" t="str">
        <x:v>FLOC-0128</x:v>
      </x:c>
      <x:c r="B303" s="12" t="str">
        <x:v>KD Maju Jaya</x:v>
      </x:c>
      <x:c r="C303" s="12" t="str">
        <x:v>YES</x:v>
      </x:c>
      <x:c r="D303" s="12" t="n">
        <x:v>2025</x:v>
      </x:c>
      <x:c r="E303" s="12" t="str">
        <x:v>EVT-JB-2025-026</x:v>
      </x:c>
      <x:c r="F303" s="18" t="n">
        <x:v>45737</x:v>
      </x:c>
      <x:c r="G303" s="12" t="str">
        <x:v>DG-JB-20250319-20250324</x:v>
      </x:c>
      <x:c r="H303" s="12" t="str">
        <x:v>JBLOC-0151</x:v>
      </x:c>
      <x:c r="I303" s="12" t="str">
        <x:v>S2025-022</x:v>
      </x:c>
      <x:c r="J303" s="12" t="str">
        <x:v>KD Maju Jaya</x:v>
      </x:c>
      <x:c r="K303" s="12" t="str">
        <x:v>KD Maju Jaya</x:v>
      </x:c>
      <x:c r="L303" s="12" t="str">
        <x:v>CRITICAL FACILITY</x:v>
      </x:c>
      <x:c r="M303" s="12" t="str">
        <x:v>Flood-related critical-facility impact</x:v>
      </x:c>
      <x:c r="N303" s="12" t="str">
        <x:v>A/B</x:v>
      </x:c>
      <x:c r="O303" s="12" t="str">
        <x:v>SRC_R2025_NADMA_SITREP_20250322</x:v>
      </x:c>
      <x:c r="P303" s="12"/>
      <x:c r="Q303" s="12"/>
      <x:c r="R303" s="12"/>
      <x:c r="S303" s="12" t="str">
        <x:v>NO</x:v>
      </x:c>
      <x:c r="T303" s="12" t="str">
        <x:v>DO NOT PLOT</x:v>
      </x:c>
      <x:c r="U303" s="12"/>
      <x:c r="V303" s="12" t="str">
        <x:v>FACILITY_POINT/POLYGON_OPEN</x:v>
      </x:c>
      <x:c r="W303" s="12" t="str">
        <x:v>https://www.nadma.gov.my/images/2025/SITREP/SITREP_19_-_22_Mac_2025.pdf</x:v>
      </x:c>
      <x:c r="X303" s="12" t="str">
        <x:v>Flood-affected health facility; remained operational.</x:v>
      </x:c>
    </x:row>
    <x:row r="304">
      <x:c r="A304" s="12" t="str">
        <x:v>FLOC-0141</x:v>
      </x:c>
      <x:c r="B304" s="12" t="str">
        <x:v>Klinik Desa Plentong</x:v>
      </x:c>
      <x:c r="C304" s="12" t="str">
        <x:v>YES</x:v>
      </x:c>
      <x:c r="D304" s="12" t="n">
        <x:v>2025</x:v>
      </x:c>
      <x:c r="E304" s="12" t="str">
        <x:v>EVT-JB-2025-027</x:v>
      </x:c>
      <x:c r="F304" s="18" t="n">
        <x:v>45737</x:v>
      </x:c>
      <x:c r="G304" s="12" t="str">
        <x:v>DG-JB-20250319-20250324</x:v>
      </x:c>
      <x:c r="H304" s="12" t="str">
        <x:v>JBLOC-0157</x:v>
      </x:c>
      <x:c r="I304" s="12" t="str">
        <x:v>S2025-023</x:v>
      </x:c>
      <x:c r="J304" s="12" t="str">
        <x:v>KD Plentong</x:v>
      </x:c>
      <x:c r="K304" s="12" t="str">
        <x:v>Klinik Desa Plentong</x:v>
      </x:c>
      <x:c r="L304" s="12" t="str">
        <x:v>CRITICAL FACILITY</x:v>
      </x:c>
      <x:c r="M304" s="12" t="str">
        <x:v>Flood-related critical-facility impact</x:v>
      </x:c>
      <x:c r="N304" s="12" t="str">
        <x:v>A/B</x:v>
      </x:c>
      <x:c r="O304" s="12" t="str">
        <x:v>SRC_R2025_NADMA_SITREP_20250322</x:v>
      </x:c>
      <x:c r="P304" s="12"/>
      <x:c r="Q304" s="12" t="n">
        <x:v>103.82057</x:v>
      </x:c>
      <x:c r="R304" s="12" t="n">
        <x:v>1.5225</x:v>
      </x:c>
      <x:c r="S304" s="12" t="str">
        <x:v>YES</x:v>
      </x:c>
      <x:c r="T304" s="12" t="str">
        <x:v>PLOT</x:v>
      </x:c>
      <x:c r="U304" s="12"/>
      <x:c r="V304" s="12" t="str">
        <x:v>FACILITY_POINT/POLYGON_OPEN</x:v>
      </x:c>
      <x:c r="W304" s="12" t="str">
        <x:v>https://www.nadma.gov.my/images/2025/SITREP/SITREP_19_-_22_Mac_2025.pdf</x:v>
      </x:c>
      <x:c r="X304" s="12" t="str">
        <x:v>Flood-affected health facility; remained operational.</x:v>
      </x:c>
    </x:row>
    <x:row r="305">
      <x:c r="A305" s="12" t="str">
        <x:v>FLOC-0009</x:v>
      </x:c>
      <x:c r="B305" s="12" t="str">
        <x:v>FT003 Johor Bahru–Endau Sec 21.0–21.8</x:v>
      </x:c>
      <x:c r="C305" s="12" t="str">
        <x:v>YES</x:v>
      </x:c>
      <x:c r="D305" s="12" t="n">
        <x:v>2025</x:v>
      </x:c>
      <x:c r="E305" s="12" t="str">
        <x:v>EVT-JB-2025-028</x:v>
      </x:c>
      <x:c r="F305" s="18" t="n">
        <x:v>45736</x:v>
      </x:c>
      <x:c r="G305" s="12" t="str">
        <x:v>DG-JB-20250319-20250324</x:v>
      </x:c>
      <x:c r="H305" s="12" t="str">
        <x:v>JBLOC-0011</x:v>
      </x:c>
      <x:c r="I305" s="12" t="str">
        <x:v>S2025-024</x:v>
      </x:c>
      <x:c r="J305" s="12" t="str">
        <x:v>FT003 Johor Bahru–Endau, Sec 21.0–21.8 (PS Tebrau)</x:v>
      </x:c>
      <x:c r="K305" s="12" t="str">
        <x:v>FT003 Johor Bahru–Endau Sec 21.0–21.8</x:v>
      </x:c>
      <x:c r="L305" s="12" t="str">
        <x:v>ROAD/ROAD SEGMENT</x:v>
      </x:c>
      <x:c r="M305" s="12" t="str">
        <x:v>Flash-flood road disruption</x:v>
      </x:c>
      <x:c r="N305" s="12" t="str">
        <x:v>A</x:v>
      </x:c>
      <x:c r="O305" s="12" t="str">
        <x:v>SRC_R2025_NADMA_SITREP_20250322</x:v>
      </x:c>
      <x:c r="P305" s="12"/>
      <x:c r="Q305" s="12"/>
      <x:c r="R305" s="12"/>
      <x:c r="S305" s="12" t="str">
        <x:v>NO</x:v>
      </x:c>
      <x:c r="T305" s="12" t="str">
        <x:v>DO NOT PLOT</x:v>
      </x:c>
      <x:c r="U305" s="12"/>
      <x:c r="V305" s="12" t="str">
        <x:v>JKR_SECTION_READY; WKT_PENDING</x:v>
      </x:c>
      <x:c r="W305" s="12" t="str">
        <x:v>https://www.nadma.gov.my/images/2025/SITREP/SITREP_19_-_22_Mac_2025.pdf</x:v>
      </x:c>
      <x:c r="X305" s="12" t="str">
        <x:v>JKR SITREP provides route/section geometry reference; lane status: One lane open.</x:v>
      </x:c>
    </x:row>
    <x:row r="306">
      <x:c r="A306" s="12" t="str">
        <x:v>FLOC-0008</x:v>
      </x:c>
      <x:c r="B306" s="12" t="str">
        <x:v>FT003 Jalan Johor Bahru–Kota Tinggi Sec 9.1–10.0</x:v>
      </x:c>
      <x:c r="C306" s="12" t="str">
        <x:v>YES</x:v>
      </x:c>
      <x:c r="D306" s="12" t="n">
        <x:v>2025</x:v>
      </x:c>
      <x:c r="E306" s="12" t="str">
        <x:v>EVT-JB-2025-029</x:v>
      </x:c>
      <x:c r="F306" s="18" t="n">
        <x:v>45736</x:v>
      </x:c>
      <x:c r="G306" s="12" t="str">
        <x:v>DG-JB-20250319-20250324</x:v>
      </x:c>
      <x:c r="H306" s="12" t="str">
        <x:v>JBLOC-0010</x:v>
      </x:c>
      <x:c r="I306" s="12" t="str">
        <x:v>S2025-025</x:v>
      </x:c>
      <x:c r="J306" s="12" t="str">
        <x:v>FT003 Jalan Johor Bahru–Kota Tinggi, Sec 9.1–10.0 (Pasar Borong Pandan)</x:v>
      </x:c>
      <x:c r="K306" s="12" t="str">
        <x:v>FT003 Jalan Johor Bahru–Kota Tinggi Sec 9.1–10.0</x:v>
      </x:c>
      <x:c r="L306" s="12" t="str">
        <x:v>ROAD/ROAD SEGMENT</x:v>
      </x:c>
      <x:c r="M306" s="12" t="str">
        <x:v>Flash-flood road disruption</x:v>
      </x:c>
      <x:c r="N306" s="12" t="str">
        <x:v>A</x:v>
      </x:c>
      <x:c r="O306" s="12" t="str">
        <x:v>SRC_R2025_NADMA_SITREP_20250322</x:v>
      </x:c>
      <x:c r="P306" s="12"/>
      <x:c r="Q306" s="12"/>
      <x:c r="R306" s="12"/>
      <x:c r="S306" s="12" t="str">
        <x:v>NO</x:v>
      </x:c>
      <x:c r="T306" s="12" t="str">
        <x:v>DO NOT PLOT</x:v>
      </x:c>
      <x:c r="U306" s="12"/>
      <x:c r="V306" s="12" t="str">
        <x:v>JKR_SECTION_READY; WKT_PENDING</x:v>
      </x:c>
      <x:c r="W306" s="12" t="str">
        <x:v>https://www.nadma.gov.my/images/2025/SITREP/SITREP_19_-_22_Mac_2025.pdf</x:v>
      </x:c>
      <x:c r="X306" s="12" t="str">
        <x:v>JKR SITREP provides route/section geometry reference; lane status: Closed.</x:v>
      </x:c>
    </x:row>
    <x:row r="307">
      <x:c r="A307" s="12" t="str">
        <x:v>FLOC-0010</x:v>
      </x:c>
      <x:c r="B307" s="12" t="str">
        <x:v>FT01 Jalan Johor Bahru–Senai Sec 19.6–20.0</x:v>
      </x:c>
      <x:c r="C307" s="12" t="str">
        <x:v>YES</x:v>
      </x:c>
      <x:c r="D307" s="12" t="n">
        <x:v>2025</x:v>
      </x:c>
      <x:c r="E307" s="12" t="str">
        <x:v>EVT-JB-2025-030</x:v>
      </x:c>
      <x:c r="F307" s="18" t="n">
        <x:v>45736</x:v>
      </x:c>
      <x:c r="G307" s="12" t="str">
        <x:v>DG-JB-20250319-20250324</x:v>
      </x:c>
      <x:c r="H307" s="12" t="str">
        <x:v>JBLOC-0012</x:v>
      </x:c>
      <x:c r="I307" s="12" t="str">
        <x:v>S2025-026</x:v>
      </x:c>
      <x:c r="J307" s="12" t="str">
        <x:v>FT01 Jalan Johor Bahru–Senai, Sec 19.6–20.0 (U-turn MBIP / Pintu Masuk UTM)</x:v>
      </x:c>
      <x:c r="K307" s="12" t="str">
        <x:v>FT01 Jalan Johor Bahru–Senai Sec 19.6–20.0</x:v>
      </x:c>
      <x:c r="L307" s="12" t="str">
        <x:v>ROAD/ROAD SEGMENT</x:v>
      </x:c>
      <x:c r="M307" s="12" t="str">
        <x:v>Flash-flood road disruption</x:v>
      </x:c>
      <x:c r="N307" s="12" t="str">
        <x:v>A</x:v>
      </x:c>
      <x:c r="O307" s="12" t="str">
        <x:v>SRC_R2025_NADMA_SITREP_20250322</x:v>
      </x:c>
      <x:c r="P307" s="12"/>
      <x:c r="Q307" s="12"/>
      <x:c r="R307" s="12"/>
      <x:c r="S307" s="12" t="str">
        <x:v>NO</x:v>
      </x:c>
      <x:c r="T307" s="12" t="str">
        <x:v>DO NOT PLOT</x:v>
      </x:c>
      <x:c r="U307" s="12"/>
      <x:c r="V307" s="12" t="str">
        <x:v>JKR_SECTION_READY; WKT_PENDING</x:v>
      </x:c>
      <x:c r="W307" s="12" t="str">
        <x:v>https://www.nadma.gov.my/images/2025/SITREP/SITREP_19_-_22_Mac_2025.pdf</x:v>
      </x:c>
      <x:c r="X307" s="12" t="str">
        <x:v>JKR SITREP provides route/section geometry reference; lane status: Closed.</x:v>
      </x:c>
    </x:row>
    <x:row r="308">
      <x:c r="A308" s="12" t="str">
        <x:v>FLOC-0011</x:v>
      </x:c>
      <x:c r="B308" s="12" t="str">
        <x:v>FT017 Lebuhraya Pasir Gudang Sec 10.20–10.70</x:v>
      </x:c>
      <x:c r="C308" s="12" t="str">
        <x:v>YES</x:v>
      </x:c>
      <x:c r="D308" s="12" t="n">
        <x:v>2025</x:v>
      </x:c>
      <x:c r="E308" s="12" t="str">
        <x:v>EVT-JB-2025-031</x:v>
      </x:c>
      <x:c r="F308" s="18" t="n">
        <x:v>45736</x:v>
      </x:c>
      <x:c r="G308" s="12" t="str">
        <x:v>DG-JB-20250319-20250324</x:v>
      </x:c>
      <x:c r="H308" s="12" t="str">
        <x:v>JBLOC-0013</x:v>
      </x:c>
      <x:c r="I308" s="12" t="str">
        <x:v>S2025-027</x:v>
      </x:c>
      <x:c r="J308" s="12" t="str">
        <x:v>FT017 Lebuhraya Pasir Gudang, Sec 10.20–10.70</x:v>
      </x:c>
      <x:c r="K308" s="12" t="str">
        <x:v>FT017 Lebuhraya Pasir Gudang Sec 10.20–10.70</x:v>
      </x:c>
      <x:c r="L308" s="12" t="str">
        <x:v>ROAD/ROAD SEGMENT</x:v>
      </x:c>
      <x:c r="M308" s="12" t="str">
        <x:v>Flash-flood road disruption</x:v>
      </x:c>
      <x:c r="N308" s="12" t="str">
        <x:v>A</x:v>
      </x:c>
      <x:c r="O308" s="12" t="str">
        <x:v>SRC_R2025_NADMA_SITREP_20250322</x:v>
      </x:c>
      <x:c r="P308" s="12"/>
      <x:c r="Q308" s="12"/>
      <x:c r="R308" s="12"/>
      <x:c r="S308" s="12" t="str">
        <x:v>NO</x:v>
      </x:c>
      <x:c r="T308" s="12" t="str">
        <x:v>DO NOT PLOT</x:v>
      </x:c>
      <x:c r="U308" s="12"/>
      <x:c r="V308" s="12" t="str">
        <x:v>JKR_SECTION_READY; WKT_PENDING</x:v>
      </x:c>
      <x:c r="W308" s="12" t="str">
        <x:v>https://www.nadma.gov.my/images/2025/SITREP/SITREP_19_-_22_Mac_2025.pdf</x:v>
      </x:c>
      <x:c r="X308" s="12" t="str">
        <x:v>JKR SITREP provides route/section geometry reference; lane status: One lane open.</x:v>
      </x:c>
    </x:row>
    <x:row r="309">
      <x:c r="A309" s="12" t="str">
        <x:v>FLOC-0012</x:v>
      </x:c>
      <x:c r="B309" s="12" t="str">
        <x:v>FT017 Lebuhraya Pasir Gudang Sec 21.0–21.3</x:v>
      </x:c>
      <x:c r="C309" s="12" t="str">
        <x:v>YES</x:v>
      </x:c>
      <x:c r="D309" s="12" t="n">
        <x:v>2025</x:v>
      </x:c>
      <x:c r="E309" s="12" t="str">
        <x:v>EVT-JB-2025-032</x:v>
      </x:c>
      <x:c r="F309" s="18" t="n">
        <x:v>45736</x:v>
      </x:c>
      <x:c r="G309" s="12" t="str">
        <x:v>DG-JB-20250319-20250324</x:v>
      </x:c>
      <x:c r="H309" s="12" t="str">
        <x:v>JBLOC-0014</x:v>
      </x:c>
      <x:c r="I309" s="12" t="str">
        <x:v>S2025-028</x:v>
      </x:c>
      <x:c r="J309" s="12" t="str">
        <x:v>FT017 Lebuhraya Pasir Gudang, Sec 21.0–21.3 (Bawah Jambatan Seri Alam)</x:v>
      </x:c>
      <x:c r="K309" s="12" t="str">
        <x:v>FT017 Lebuhraya Pasir Gudang Sec 21.0–21.3</x:v>
      </x:c>
      <x:c r="L309" s="12" t="str">
        <x:v>ROAD/ROAD SEGMENT</x:v>
      </x:c>
      <x:c r="M309" s="12" t="str">
        <x:v>Flash-flood road disruption</x:v>
      </x:c>
      <x:c r="N309" s="12" t="str">
        <x:v>A</x:v>
      </x:c>
      <x:c r="O309" s="12" t="str">
        <x:v>SRC_R2025_NADMA_SITREP_20250322</x:v>
      </x:c>
      <x:c r="P309" s="12"/>
      <x:c r="Q309" s="12"/>
      <x:c r="R309" s="12"/>
      <x:c r="S309" s="12" t="str">
        <x:v>NO</x:v>
      </x:c>
      <x:c r="T309" s="12" t="str">
        <x:v>DO NOT PLOT</x:v>
      </x:c>
      <x:c r="U309" s="12"/>
      <x:c r="V309" s="12" t="str">
        <x:v>JKR_SECTION_READY; WKT_PENDING</x:v>
      </x:c>
      <x:c r="W309" s="12" t="str">
        <x:v>https://www.nadma.gov.my/images/2025/SITREP/SITREP_19_-_22_Mac_2025.pdf</x:v>
      </x:c>
      <x:c r="X309" s="12" t="str">
        <x:v>JKR SITREP provides route/section geometry reference; lane status: One lane open.</x:v>
      </x:c>
    </x:row>
    <x:row r="310">
      <x:c r="A310" s="12" t="str">
        <x:v>FLOC-0016</x:v>
      </x:c>
      <x:c r="B310" s="12" t="str">
        <x:v>J105 Jalan Maju Jaya–Seelong Sec 5.0–5.5</x:v>
      </x:c>
      <x:c r="C310" s="12" t="str">
        <x:v>YES</x:v>
      </x:c>
      <x:c r="D310" s="12" t="n">
        <x:v>2025</x:v>
      </x:c>
      <x:c r="E310" s="12" t="str">
        <x:v>EVT-JB-2025-033</x:v>
      </x:c>
      <x:c r="F310" s="18" t="n">
        <x:v>45736</x:v>
      </x:c>
      <x:c r="G310" s="12" t="str">
        <x:v>DG-JB-20250319-20250324</x:v>
      </x:c>
      <x:c r="H310" s="12" t="str">
        <x:v>JBLOC-0018</x:v>
      </x:c>
      <x:c r="I310" s="12" t="str">
        <x:v>S2025-029</x:v>
      </x:c>
      <x:c r="J310" s="12" t="str">
        <x:v>J105 Jalan Maju Jaya–Seelong, Sec 5.0–5.5 (Shell Tiong Nam)</x:v>
      </x:c>
      <x:c r="K310" s="12" t="str">
        <x:v>J105 Jalan Maju Jaya–Seelong Sec 5.0–5.5</x:v>
      </x:c>
      <x:c r="L310" s="12" t="str">
        <x:v>ROAD/ROAD SEGMENT</x:v>
      </x:c>
      <x:c r="M310" s="12" t="str">
        <x:v>Flash-flood road disruption</x:v>
      </x:c>
      <x:c r="N310" s="12" t="str">
        <x:v>A</x:v>
      </x:c>
      <x:c r="O310" s="12" t="str">
        <x:v>SRC_R2025_NADMA_SITREP_20250322</x:v>
      </x:c>
      <x:c r="P310" s="12"/>
      <x:c r="Q310" s="12"/>
      <x:c r="R310" s="12"/>
      <x:c r="S310" s="12" t="str">
        <x:v>NO</x:v>
      </x:c>
      <x:c r="T310" s="12" t="str">
        <x:v>DO NOT PLOT</x:v>
      </x:c>
      <x:c r="U310" s="12"/>
      <x:c r="V310" s="12" t="str">
        <x:v>JKR_SECTION_READY; WKT_PENDING</x:v>
      </x:c>
      <x:c r="W310" s="12" t="str">
        <x:v>https://www.nadma.gov.my/images/2025/SITREP/SITREP_19_-_22_Mac_2025.pdf</x:v>
      </x:c>
      <x:c r="X310" s="12" t="str">
        <x:v>JKR SITREP provides route/section geometry reference; lane status: One lane open.</x:v>
      </x:c>
    </x:row>
    <x:row r="311">
      <x:c r="A311" s="12" t="str">
        <x:v>FLOC-0017</x:v>
      </x:c>
      <x:c r="B311" s="12" t="str">
        <x:v>J105 Jalan Maju Jaya–Seelong Sec 7.0–7.5</x:v>
      </x:c>
      <x:c r="C311" s="12" t="str">
        <x:v>YES</x:v>
      </x:c>
      <x:c r="D311" s="12" t="n">
        <x:v>2025</x:v>
      </x:c>
      <x:c r="E311" s="12" t="str">
        <x:v>EVT-JB-2025-034</x:v>
      </x:c>
      <x:c r="F311" s="18" t="n">
        <x:v>45736</x:v>
      </x:c>
      <x:c r="G311" s="12" t="str">
        <x:v>DG-JB-20250319-20250324</x:v>
      </x:c>
      <x:c r="H311" s="12" t="str">
        <x:v>JBLOC-0019</x:v>
      </x:c>
      <x:c r="I311" s="12" t="str">
        <x:v>S2025-030</x:v>
      </x:c>
      <x:c r="J311" s="12" t="str">
        <x:v>J105 Jalan Maju Jaya–Seelong, Sec 7.0–7.5 (Madrasah Tahfiz/Tok Wan Catering)</x:v>
      </x:c>
      <x:c r="K311" s="12" t="str">
        <x:v>J105 Jalan Maju Jaya–Seelong Sec 7.0–7.5</x:v>
      </x:c>
      <x:c r="L311" s="12" t="str">
        <x:v>ROAD/ROAD SEGMENT</x:v>
      </x:c>
      <x:c r="M311" s="12" t="str">
        <x:v>Flash-flood road disruption</x:v>
      </x:c>
      <x:c r="N311" s="12" t="str">
        <x:v>A</x:v>
      </x:c>
      <x:c r="O311" s="12" t="str">
        <x:v>SRC_R2025_NADMA_SITREP_20250322</x:v>
      </x:c>
      <x:c r="P311" s="12"/>
      <x:c r="Q311" s="12"/>
      <x:c r="R311" s="12"/>
      <x:c r="S311" s="12" t="str">
        <x:v>NO</x:v>
      </x:c>
      <x:c r="T311" s="12" t="str">
        <x:v>DO NOT PLOT</x:v>
      </x:c>
      <x:c r="U311" s="12"/>
      <x:c r="V311" s="12" t="str">
        <x:v>JKR_SECTION_READY; WKT_PENDING</x:v>
      </x:c>
      <x:c r="W311" s="12" t="str">
        <x:v>https://www.nadma.gov.my/images/2025/SITREP/SITREP_19_-_22_Mac_2025.pdf</x:v>
      </x:c>
      <x:c r="X311" s="12" t="str">
        <x:v>JKR SITREP provides route/section geometry reference; lane status: Heavy vehicles only.</x:v>
      </x:c>
    </x:row>
    <x:row r="312">
      <x:c r="A312" s="12" t="str">
        <x:v>FLOC-0018</x:v>
      </x:c>
      <x:c r="B312" s="12" t="str">
        <x:v>J46 Jalan Ulu Pulai Sec 2.0–2.3</x:v>
      </x:c>
      <x:c r="C312" s="12" t="str">
        <x:v>YES</x:v>
      </x:c>
      <x:c r="D312" s="12" t="n">
        <x:v>2025</x:v>
      </x:c>
      <x:c r="E312" s="12" t="str">
        <x:v>EVT-JB-2025-035</x:v>
      </x:c>
      <x:c r="F312" s="18" t="n">
        <x:v>45737</x:v>
      </x:c>
      <x:c r="G312" s="12" t="str">
        <x:v>DG-JB-20250319-20250324</x:v>
      </x:c>
      <x:c r="H312" s="12" t="str">
        <x:v>JBLOC-0020</x:v>
      </x:c>
      <x:c r="I312" s="12" t="str">
        <x:v>S2025-031</x:v>
      </x:c>
      <x:c r="J312" s="12" t="str">
        <x:v>J46 Jalan Ulu Pulai, Sec 2.0–2.3 (Warung Abah/Gerai Durian)</x:v>
      </x:c>
      <x:c r="K312" s="12" t="str">
        <x:v>J46 Jalan Ulu Pulai Sec 2.0–2.3</x:v>
      </x:c>
      <x:c r="L312" s="12" t="str">
        <x:v>ROAD/ROAD SEGMENT</x:v>
      </x:c>
      <x:c r="M312" s="12" t="str">
        <x:v>Flash-flood road disruption</x:v>
      </x:c>
      <x:c r="N312" s="12" t="str">
        <x:v>A</x:v>
      </x:c>
      <x:c r="O312" s="12" t="str">
        <x:v>SRC_R2025_NADMA_SITREP_20250322</x:v>
      </x:c>
      <x:c r="P312" s="12"/>
      <x:c r="Q312" s="12"/>
      <x:c r="R312" s="12"/>
      <x:c r="S312" s="12" t="str">
        <x:v>NO</x:v>
      </x:c>
      <x:c r="T312" s="12" t="str">
        <x:v>DO NOT PLOT</x:v>
      </x:c>
      <x:c r="U312" s="12"/>
      <x:c r="V312" s="12" t="str">
        <x:v>JKR_SECTION_READY; WKT_PENDING</x:v>
      </x:c>
      <x:c r="W312" s="12" t="str">
        <x:v>https://www.nadma.gov.my/images/2025/SITREP/SITREP_19_-_22_Mac_2025.pdf</x:v>
      </x:c>
      <x:c r="X312" s="12" t="str">
        <x:v>JKR SITREP provides route/section geometry reference; lane status: Heavy vehicles only.</x:v>
      </x:c>
    </x:row>
    <x:row r="313">
      <x:c r="A313" s="12" t="str">
        <x:v>FLOC-0146</x:v>
      </x:c>
      <x:c r="B313" s="12" t="str">
        <x:v>Lebuhraya Pasir Gudang near Taman Rinting interchange</x:v>
      </x:c>
      <x:c r="C313" s="12" t="str">
        <x:v>YES</x:v>
      </x:c>
      <x:c r="D313" s="12" t="n">
        <x:v>2025</x:v>
      </x:c>
      <x:c r="E313" s="12" t="str">
        <x:v>EVT-JB-2025-036</x:v>
      </x:c>
      <x:c r="F313" s="18" t="n">
        <x:v>45763</x:v>
      </x:c>
      <x:c r="G313" s="12" t="str">
        <x:v>DG-JB-20250416</x:v>
      </x:c>
      <x:c r="H313" s="12" t="str">
        <x:v>JBLOC-0162</x:v>
      </x:c>
      <x:c r="I313" s="12" t="str">
        <x:v>S2025-032</x:v>
      </x:c>
      <x:c r="J313" s="12" t="str">
        <x:v>Lebuhraya Pasir Gudang near Taman Rinting interchange</x:v>
      </x:c>
      <x:c r="K313" s="12" t="str">
        <x:v>Lebuhraya Pasir Gudang near Taman Rinting interchange</x:v>
      </x:c>
      <x:c r="L313" s="12" t="str">
        <x:v>ROAD/ROAD SEGMENT</x:v>
      </x:c>
      <x:c r="M313" s="12" t="str">
        <x:v>Flash-flood road disruption</x:v>
      </x:c>
      <x:c r="N313" s="12" t="str">
        <x:v>A/B</x:v>
      </x:c>
      <x:c r="O313" s="12" t="str">
        <x:v>SRC_R2025_NADMA_20250416</x:v>
      </x:c>
      <x:c r="P313" s="12"/>
      <x:c r="Q313" s="12"/>
      <x:c r="R313" s="12"/>
      <x:c r="S313" s="12" t="str">
        <x:v>NO</x:v>
      </x:c>
      <x:c r="T313" s="12" t="str">
        <x:v>DO NOT PLOT</x:v>
      </x:c>
      <x:c r="U313" s="12"/>
      <x:c r="V313" s="12" t="str">
        <x:v>ROAD_SEGMENT_OPEN</x:v>
      </x:c>
      <x:c r="W313" s="12" t="str">
        <x:v>https://www.nadma.gov.my/bm/media-2/berita/3928-banjir-kilat-sebabkan-lebuhraya-pasir-gudang-sesak</x:v>
      </x:c>
      <x:c r="X313" s="12" t="str">
        <x:v>About 0.5 m floodwater; traffic toward Permas Jaya congested for nearly 1 km.</x:v>
      </x:c>
    </x:row>
    <x:row r="314">
      <x:c r="A314" s="12" t="str">
        <x:v>FLOC-0001</x:v>
      </x:c>
      <x:c r="B314" s="12" t="str">
        <x:v>Bangunan Lily, Hospital Sultanah Aminah</x:v>
      </x:c>
      <x:c r="C314" s="12" t="str">
        <x:v>YES</x:v>
      </x:c>
      <x:c r="D314" s="12" t="n">
        <x:v>2025</x:v>
      </x:c>
      <x:c r="E314" s="12" t="str">
        <x:v>EVT-JB-2025-037</x:v>
      </x:c>
      <x:c r="F314" s="18" t="n">
        <x:v>45911</x:v>
      </x:c>
      <x:c r="G314" s="12" t="str">
        <x:v>DG-JB-20250911</x:v>
      </x:c>
      <x:c r="H314" s="12" t="str">
        <x:v>JBLOC-0001</x:v>
      </x:c>
      <x:c r="I314" s="12" t="str">
        <x:v>S2025-033</x:v>
      </x:c>
      <x:c r="J314" s="12" t="str">
        <x:v>Bangunan Lily, Hospital Sultanah Aminah</x:v>
      </x:c>
      <x:c r="K314" s="12" t="str">
        <x:v>Bangunan Lily, Hospital Sultanah Aminah</x:v>
      </x:c>
      <x:c r="L314" s="12" t="str">
        <x:v>CRITICAL FACILITY</x:v>
      </x:c>
      <x:c r="M314" s="12" t="str">
        <x:v>Flash flood / critical-facility inundation</x:v>
      </x:c>
      <x:c r="N314" s="12" t="str">
        <x:v>A/B</x:v>
      </x:c>
      <x:c r="O314" s="12" t="str">
        <x:v>SRC_R2025_BERNAMA_20250911</x:v>
      </x:c>
      <x:c r="P314" s="12" t="str">
        <x:v>SRC_R2025_SINAR_20250911</x:v>
      </x:c>
      <x:c r="Q314" s="12"/>
      <x:c r="R314" s="12"/>
      <x:c r="S314" s="12" t="str">
        <x:v>NO</x:v>
      </x:c>
      <x:c r="T314" s="12" t="str">
        <x:v>DO NOT PLOT</x:v>
      </x:c>
      <x:c r="U314" s="12"/>
      <x:c r="V314" s="12" t="str">
        <x:v>BUILDING_SPECIFIC; PARENT_HSA_REFERENCE_ONLY; POLYGON_OPEN</x:v>
      </x:c>
      <x:c r="W314" s="12" t="str">
        <x:v>https://bernama.com/bm/news.php?id=2466592
https://www.sinarharian.com.my/article/747616/edisi/johor/banjir-kilat-landa-bangunan-lili-hospital-sultanah-aminah</x:v>
      </x:c>
      <x:c r="X314" s="12" t="str">
        <x:v>Building-specific HSA event; do not substitute the whole HSA campus polygon as flood footprint.</x:v>
      </x:c>
    </x:row>
    <x:row r="315">
      <x:c r="A315" s="12" t="str">
        <x:v>FLOC-0035</x:v>
      </x:c>
      <x:c r="B315" s="12" t="str">
        <x:v>Jalan Kolam Ayer</x:v>
      </x:c>
      <x:c r="C315" s="12" t="str">
        <x:v>YES</x:v>
      </x:c>
      <x:c r="D315" s="12" t="n">
        <x:v>2025</x:v>
      </x:c>
      <x:c r="E315" s="12" t="str">
        <x:v>EVT-JB-2025-038</x:v>
      </x:c>
      <x:c r="F315" s="18" t="n">
        <x:v>46003</x:v>
      </x:c>
      <x:c r="G315" s="12" t="str">
        <x:v>DG-JB-20251212</x:v>
      </x:c>
      <x:c r="H315" s="12" t="str">
        <x:v>JBLOC-0037</x:v>
      </x:c>
      <x:c r="I315" s="12" t="str">
        <x:v>S2025-034</x:v>
      </x:c>
      <x:c r="J315" s="12" t="str">
        <x:v>Jalan Kolam Air</x:v>
      </x:c>
      <x:c r="K315" s="12" t="str">
        <x:v>Jalan Kolam Ayer</x:v>
      </x:c>
      <x:c r="L315" s="12" t="str">
        <x:v>ROAD/ROAD SEGMENT</x:v>
      </x:c>
      <x:c r="M315" s="12" t="str">
        <x:v>Flash flood / urban inundation</x:v>
      </x:c>
      <x:c r="N315" s="12" t="str">
        <x:v>B</x:v>
      </x:c>
      <x:c r="O315" s="12" t="str">
        <x:v>SRC_R2025_SINAR_20251212</x:v>
      </x:c>
      <x:c r="P315" s="12" t="str">
        <x:v>SRC_R2025_KOSMO_20251212</x:v>
      </x:c>
      <x:c r="Q315" s="12" t="n">
        <x:v>103.7220526</x:v>
      </x:c>
      <x:c r="R315" s="12" t="n">
        <x:v>1.4823854</x:v>
      </x:c>
      <x:c r="S315" s="12" t="str">
        <x:v>YES</x:v>
      </x:c>
      <x:c r="T315" s="12" t="str">
        <x:v>PLOT</x:v>
      </x:c>
      <x:c r="U315" s="12"/>
      <x:c r="V315" s="12" t="str">
        <x:v>POINT_REFERENCE; ROAD_SEGMENT_OPEN</x:v>
      </x:c>
      <x:c r="W315" s="12" t="str">
        <x:v>https://www.sinarharian.com.my/article/760321/edisi/johor/banjir-kilat-bumbung-pentas-runtuh-pokok-tumbang-di-johor-bahru
https://www.kosmo.com.my/2025/12/12/video-hujan-lebat-lebih-2-jam-johor-bahru-dilanda-banjir-kilat/</x:v>
      </x:c>
      <x:c r="X315" s="12" t="str">
        <x:v>Direct road flooding.</x:v>
      </x:c>
    </x:row>
    <x:row r="316">
      <x:c r="A316" s="12" t="str">
        <x:v>FLOC-0183</x:v>
      </x:c>
      <x:c r="B316" s="12" t="str">
        <x:v>Taman Nong Chik</x:v>
      </x:c>
      <x:c r="C316" s="12" t="str">
        <x:v>YES</x:v>
      </x:c>
      <x:c r="D316" s="12" t="n">
        <x:v>2025</x:v>
      </x:c>
      <x:c r="E316" s="12" t="str">
        <x:v>EVT-JB-2025-039</x:v>
      </x:c>
      <x:c r="F316" s="18" t="n">
        <x:v>46003</x:v>
      </x:c>
      <x:c r="G316" s="12" t="str">
        <x:v>DG-JB-20251212</x:v>
      </x:c>
      <x:c r="H316" s="12" t="str">
        <x:v>JBLOC-0198</x:v>
      </x:c>
      <x:c r="I316" s="12" t="str">
        <x:v>S2025-035</x:v>
      </x:c>
      <x:c r="J316" s="12" t="str">
        <x:v>Nong Chik</x:v>
      </x:c>
      <x:c r="K316" s="12" t="str">
        <x:v>Taman Nong Chik</x:v>
      </x:c>
      <x:c r="L316" s="12" t="str">
        <x:v>AREA/RESIDENTIAL</x:v>
      </x:c>
      <x:c r="M316" s="12" t="str">
        <x:v>Flash flood / urban inundation</x:v>
      </x:c>
      <x:c r="N316" s="12" t="str">
        <x:v>B</x:v>
      </x:c>
      <x:c r="O316" s="12" t="str">
        <x:v>SRC_R2025_SINAR_20251212</x:v>
      </x:c>
      <x:c r="P316" s="12"/>
      <x:c r="Q316" s="12" t="n">
        <x:v>103.7395647</x:v>
      </x:c>
      <x:c r="R316" s="12" t="n">
        <x:v>1.4765564</x:v>
      </x:c>
      <x:c r="S316" s="12" t="str">
        <x:v>YES</x:v>
      </x:c>
      <x:c r="T316" s="12" t="str">
        <x:v>PLOT</x:v>
      </x:c>
      <x:c r="U316" s="12"/>
      <x:c r="V316" s="12" t="str">
        <x:v>POINT_READY; POLYGON_OPEN</x:v>
      </x:c>
      <x:c r="W316" s="12" t="str">
        <x:v>https://www.sinarharian.com.my/article/760321/edisi/johor/banjir-kilat-bumbung-pentas-runtuh-pokok-tumbang-di-johor-bahru</x:v>
      </x:c>
      <x:c r="X316" s="12" t="str">
        <x:v>Flooding reported around Nong Chik.</x:v>
      </x:c>
    </x:row>
    <x:row r="317">
      <x:c r="A317" s="12" t="str">
        <x:v>FLOC-0062</x:v>
      </x:c>
      <x:c r="B317" s="12" t="str">
        <x:v>Jalan Sungai Chat</x:v>
      </x:c>
      <x:c r="C317" s="12" t="str">
        <x:v>YES</x:v>
      </x:c>
      <x:c r="D317" s="12" t="n">
        <x:v>2025</x:v>
      </x:c>
      <x:c r="E317" s="12" t="str">
        <x:v>EVT-JB-2025-040</x:v>
      </x:c>
      <x:c r="F317" s="18" t="n">
        <x:v>46003</x:v>
      </x:c>
      <x:c r="G317" s="12" t="str">
        <x:v>DG-JB-20251212</x:v>
      </x:c>
      <x:c r="H317" s="12" t="str">
        <x:v>JBLOC-0064</x:v>
      </x:c>
      <x:c r="I317" s="12" t="str">
        <x:v>S2025-036</x:v>
      </x:c>
      <x:c r="J317" s="12" t="str">
        <x:v>Jalan Sungai Chat</x:v>
      </x:c>
      <x:c r="K317" s="12" t="str">
        <x:v>Jalan Sungai Chat</x:v>
      </x:c>
      <x:c r="L317" s="12" t="str">
        <x:v>ROAD/ROAD SEGMENT</x:v>
      </x:c>
      <x:c r="M317" s="12" t="str">
        <x:v>Flash flood / urban inundation</x:v>
      </x:c>
      <x:c r="N317" s="12" t="str">
        <x:v>B</x:v>
      </x:c>
      <x:c r="O317" s="12" t="str">
        <x:v>SRC_R2025_SINAR_20251212</x:v>
      </x:c>
      <x:c r="P317" s="12"/>
      <x:c r="Q317" s="12" t="n">
        <x:v>103.7385575</x:v>
      </x:c>
      <x:c r="R317" s="12" t="n">
        <x:v>1.4609922</x:v>
      </x:c>
      <x:c r="S317" s="12" t="str">
        <x:v>YES</x:v>
      </x:c>
      <x:c r="T317" s="12" t="str">
        <x:v>PLOT</x:v>
      </x:c>
      <x:c r="U317" s="12"/>
      <x:c r="V317" s="12" t="str">
        <x:v>POINT_REFERENCE; ROAD_SEGMENT_OPEN</x:v>
      </x:c>
      <x:c r="W317" s="12" t="str">
        <x:v>https://www.sinarharian.com.my/article/760321/edisi/johor/banjir-kilat-bumbung-pentas-runtuh-pokok-tumbang-di-johor-bahru</x:v>
      </x:c>
      <x:c r="X317" s="12" t="str">
        <x:v>Direct road flooding.</x:v>
      </x:c>
    </x:row>
    <x:row r="318">
      <x:c r="A318" s="12" t="str">
        <x:v>FLOC-0195</x:v>
      </x:c>
      <x:c r="B318" s="12" t="str">
        <x:v>Taman Tasik / Taman Merdeka</x:v>
      </x:c>
      <x:c r="C318" s="12" t="str">
        <x:v>YES</x:v>
      </x:c>
      <x:c r="D318" s="12" t="n">
        <x:v>2025</x:v>
      </x:c>
      <x:c r="E318" s="12" t="str">
        <x:v>EVT-JB-2025-041</x:v>
      </x:c>
      <x:c r="F318" s="18" t="n">
        <x:v>46003</x:v>
      </x:c>
      <x:c r="G318" s="12" t="str">
        <x:v>DG-JB-20251212</x:v>
      </x:c>
      <x:c r="H318" s="12" t="str">
        <x:v>JBLOC-0210</x:v>
      </x:c>
      <x:c r="I318" s="12" t="str">
        <x:v>S2025-037</x:v>
      </x:c>
      <x:c r="J318" s="12" t="str">
        <x:v>Tasik Merdeka</x:v>
      </x:c>
      <x:c r="K318" s="12" t="str">
        <x:v>Taman Tasik / Taman Merdeka</x:v>
      </x:c>
      <x:c r="L318" s="12" t="str">
        <x:v>AREA/RESIDENTIAL</x:v>
      </x:c>
      <x:c r="M318" s="12" t="str">
        <x:v>Flash flood / urban inundation</x:v>
      </x:c>
      <x:c r="N318" s="12" t="str">
        <x:v>B</x:v>
      </x:c>
      <x:c r="O318" s="12" t="str">
        <x:v>SRC_R2025_SINAR_20251212</x:v>
      </x:c>
      <x:c r="P318" s="12"/>
      <x:c r="Q318" s="12" t="n">
        <x:v>103.7359187</x:v>
      </x:c>
      <x:c r="R318" s="12" t="n">
        <x:v>1.4794199</x:v>
      </x:c>
      <x:c r="S318" s="12" t="str">
        <x:v>YES</x:v>
      </x:c>
      <x:c r="T318" s="12" t="str">
        <x:v>PLOT</x:v>
      </x:c>
      <x:c r="U318" s="12"/>
      <x:c r="V318" s="12" t="str">
        <x:v>POINT_OPEN; POLYGON_OPEN</x:v>
      </x:c>
      <x:c r="W318" s="12" t="str">
        <x:v>https://www.sinarharian.com.my/article/760321/edisi/johor/banjir-kilat-bumbung-pentas-runtuh-pokok-tumbang-di-johor-bahru</x:v>
      </x:c>
      <x:c r="X318" s="12" t="str">
        <x:v>Flooded low-lying area.</x:v>
      </x:c>
    </x:row>
    <x:row r="319">
      <x:c r="A319" s="12" t="str">
        <x:v>FLOC-0094</x:v>
      </x:c>
      <x:c r="B319" s="12" t="str">
        <x:v>Kampung Mohd Amin, Kolam Air</x:v>
      </x:c>
      <x:c r="C319" s="12" t="str">
        <x:v>YES</x:v>
      </x:c>
      <x:c r="D319" s="12" t="n">
        <x:v>2025</x:v>
      </x:c>
      <x:c r="E319" s="12" t="str">
        <x:v>EVT-JB-2025-042</x:v>
      </x:c>
      <x:c r="F319" s="18" t="n">
        <x:v>46003</x:v>
      </x:c>
      <x:c r="G319" s="12" t="str">
        <x:v>DG-JB-20251212</x:v>
      </x:c>
      <x:c r="H319" s="12" t="str">
        <x:v>JBLOC-0101</x:v>
      </x:c>
      <x:c r="I319" s="12" t="str">
        <x:v>S2025-038</x:v>
      </x:c>
      <x:c r="J319" s="12" t="str">
        <x:v>Kampung Mohd Amin / Jalan Md Amin</x:v>
      </x:c>
      <x:c r="K319" s="12" t="str">
        <x:v>Kampung Mohd Amin / Jalan Md Amin context</x:v>
      </x:c>
      <x:c r="L319" s="12" t="str">
        <x:v>COMMUNITY/AREA</x:v>
      </x:c>
      <x:c r="M319" s="12" t="str">
        <x:v>Flash flood / urban inundation</x:v>
      </x:c>
      <x:c r="N319" s="12" t="str">
        <x:v>B</x:v>
      </x:c>
      <x:c r="O319" s="12" t="str">
        <x:v>SRC_R2025_STAR_RESCUE_20251212</x:v>
      </x:c>
      <x:c r="P319" s="12" t="str">
        <x:v>SRC_R2025_MALAYSIAAKTIF_20251213</x:v>
      </x:c>
      <x:c r="Q319" s="12" t="n">
        <x:v>103.7354126</x:v>
      </x:c>
      <x:c r="R319" s="12" t="n">
        <x:v>1.4673637</x:v>
      </x:c>
      <x:c r="S319" s="12" t="str">
        <x:v>YES</x:v>
      </x:c>
      <x:c r="T319" s="12" t="str">
        <x:v>PLOT</x:v>
      </x:c>
      <x:c r="U319" s="12"/>
      <x:c r="V319" s="12" t="str">
        <x:v>POINT_READY; POLYGON_OPEN</x:v>
      </x:c>
      <x:c r="W319" s="12" t="str">
        <x:v>https://www.thestar.com.my/news/nation/2025/12/12/jb-floods-34-rescued-from-private-kindergarten-in-larkin
https://malaysiaaktif.my/2025/12/banjir-kilat-landa-kampung-mohd-amin/</x:v>
      </x:c>
      <x:c r="X319" s="12" t="str">
        <x:v>Kindergarten and homes inundated; 34 rescued.</x:v>
      </x:c>
    </x:row>
    <x:row r="320">
      <x:c r="A320" s="12" t="str">
        <x:v>FLOC-0096</x:v>
      </x:c>
      <x:c r="B320" s="12" t="str">
        <x:v>Kampung Pasir, Tampoi/Skudai</x:v>
      </x:c>
      <x:c r="C320" s="12" t="str">
        <x:v>YES</x:v>
      </x:c>
      <x:c r="D320" s="12" t="n">
        <x:v>2025</x:v>
      </x:c>
      <x:c r="E320" s="12" t="str">
        <x:v>EVT-JB-2025-043</x:v>
      </x:c>
      <x:c r="F320" s="18" t="n">
        <x:v>46003</x:v>
      </x:c>
      <x:c r="G320" s="12" t="str">
        <x:v>DG-JB-20251212</x:v>
      </x:c>
      <x:c r="H320" s="12" t="str">
        <x:v>JBLOC-0104</x:v>
      </x:c>
      <x:c r="I320" s="12" t="str">
        <x:v>S2025-005</x:v>
      </x:c>
      <x:c r="J320" s="12" t="str">
        <x:v>Kampung Pasir</x:v>
      </x:c>
      <x:c r="K320" s="12" t="str">
        <x:v>Kampung Pasir</x:v>
      </x:c>
      <x:c r="L320" s="12" t="str">
        <x:v>COMMUNITY/AREA</x:v>
      </x:c>
      <x:c r="M320" s="12" t="str">
        <x:v>Flash flood / urban inundation</x:v>
      </x:c>
      <x:c r="N320" s="12" t="str">
        <x:v>B</x:v>
      </x:c>
      <x:c r="O320" s="12" t="str">
        <x:v>SRC_R2025_AWANI_20251213</x:v>
      </x:c>
      <x:c r="P320" s="12"/>
      <x:c r="Q320" s="12" t="n">
        <x:v>103.6969651</x:v>
      </x:c>
      <x:c r="R320" s="12" t="n">
        <x:v>1.4955303</x:v>
      </x:c>
      <x:c r="S320" s="12" t="str">
        <x:v>YES</x:v>
      </x:c>
      <x:c r="T320" s="12" t="str">
        <x:v>PLOT</x:v>
      </x:c>
      <x:c r="U320" s="12"/>
      <x:c r="V320" s="12" t="str">
        <x:v>POINT_READY; POLYGON_OPEN</x:v>
      </x:c>
      <x:c r="W320" s="12" t="str">
        <x:v>https://www.astroawani.com/berita-malaysia/banjir-19-bayi-antara-35-mangsa-diselamatkan-bomba-551556/</x:v>
      </x:c>
      <x:c r="X320" s="12" t="str">
        <x:v>Separate baby rescue from flooded caregiver's house; incident occurred 12 Dec.</x:v>
      </x:c>
    </x:row>
    <x:row r="321">
      <x:c r="A321" s="12" t="str">
        <x:v>FLOC-0069</x:v>
      </x:c>
      <x:c r="B321" s="12" t="str">
        <x:v>Jalan Wong Ah Fook</x:v>
      </x:c>
      <x:c r="C321" s="12" t="str">
        <x:v>YES</x:v>
      </x:c>
      <x:c r="D321" s="12" t="n">
        <x:v>2025</x:v>
      </x:c>
      <x:c r="E321" s="12" t="str">
        <x:v>EVT-JB-2025-044</x:v>
      </x:c>
      <x:c r="F321" s="18" t="n">
        <x:v>46003</x:v>
      </x:c>
      <x:c r="G321" s="12" t="str">
        <x:v>DG-JB-20251212</x:v>
      </x:c>
      <x:c r="H321" s="12" t="str">
        <x:v>JBLOC-0071</x:v>
      </x:c>
      <x:c r="I321" s="12" t="str">
        <x:v>S2025-039</x:v>
      </x:c>
      <x:c r="J321" s="12" t="str">
        <x:v>Jalan Wong Ah Fook</x:v>
      </x:c>
      <x:c r="K321" s="12" t="str">
        <x:v>Jalan Wong Ah Fook</x:v>
      </x:c>
      <x:c r="L321" s="12" t="str">
        <x:v>ROAD/ROAD SEGMENT</x:v>
      </x:c>
      <x:c r="M321" s="12" t="str">
        <x:v>Flash flood / urban inundation</x:v>
      </x:c>
      <x:c r="N321" s="12" t="str">
        <x:v>B</x:v>
      </x:c>
      <x:c r="O321" s="12" t="str">
        <x:v>SRC_R2025_KOSMO_20251212</x:v>
      </x:c>
      <x:c r="P321" s="12"/>
      <x:c r="Q321" s="12" t="n">
        <x:v>103.7656178</x:v>
      </x:c>
      <x:c r="R321" s="12" t="n">
        <x:v>1.4576093</x:v>
      </x:c>
      <x:c r="S321" s="12" t="str">
        <x:v>YES</x:v>
      </x:c>
      <x:c r="T321" s="12" t="str">
        <x:v>PLOT</x:v>
      </x:c>
      <x:c r="U321" s="12"/>
      <x:c r="V321" s="12" t="str">
        <x:v>POINT_REFERENCE; ROAD_SEGMENT_OPEN</x:v>
      </x:c>
      <x:c r="W321" s="12" t="str">
        <x:v>https://www.kosmo.com.my/2025/12/12/video-hujan-lebat-lebih-2-jam-johor-bahru-dilanda-banjir-kilat/</x:v>
      </x:c>
      <x:c r="X321" s="12" t="str">
        <x:v>Directly named among flooded/affected city roads.</x:v>
      </x:c>
    </x:row>
    <x:row r="322">
      <x:c r="A322" s="12" t="str">
        <x:v>FLOC-0068</x:v>
      </x:c>
      <x:c r="B322" s="12" t="str">
        <x:v>Jalan Tun Abdul Razak</x:v>
      </x:c>
      <x:c r="C322" s="12" t="str">
        <x:v>YES</x:v>
      </x:c>
      <x:c r="D322" s="12" t="n">
        <x:v>2025</x:v>
      </x:c>
      <x:c r="E322" s="12" t="str">
        <x:v>EVT-JB-2025-045</x:v>
      </x:c>
      <x:c r="F322" s="18" t="n">
        <x:v>46003</x:v>
      </x:c>
      <x:c r="G322" s="12" t="str">
        <x:v>DG-JB-20251212</x:v>
      </x:c>
      <x:c r="H322" s="12" t="str">
        <x:v>JBLOC-0070</x:v>
      </x:c>
      <x:c r="I322" s="12" t="str">
        <x:v>S2025-040</x:v>
      </x:c>
      <x:c r="J322" s="12" t="str">
        <x:v>Jalan Tun Abdul Razak</x:v>
      </x:c>
      <x:c r="K322" s="12" t="str">
        <x:v>Jalan Tun Abdul Razak</x:v>
      </x:c>
      <x:c r="L322" s="12" t="str">
        <x:v>ROAD/ROAD SEGMENT</x:v>
      </x:c>
      <x:c r="M322" s="12" t="str">
        <x:v>Flash flood / urban inundation</x:v>
      </x:c>
      <x:c r="N322" s="12" t="str">
        <x:v>B</x:v>
      </x:c>
      <x:c r="O322" s="12" t="str">
        <x:v>SRC_R2025_KOSMO_20251212</x:v>
      </x:c>
      <x:c r="P322" s="12"/>
      <x:c r="Q322" s="12" t="n">
        <x:v>103.7527329</x:v>
      </x:c>
      <x:c r="R322" s="12" t="n">
        <x:v>1.4803791</x:v>
      </x:c>
      <x:c r="S322" s="12" t="str">
        <x:v>YES</x:v>
      </x:c>
      <x:c r="T322" s="12" t="str">
        <x:v>PLOT</x:v>
      </x:c>
      <x:c r="U322" s="12"/>
      <x:c r="V322" s="12" t="str">
        <x:v>POINT_REFERENCE; ROAD_SEGMENT_OPEN</x:v>
      </x:c>
      <x:c r="W322" s="12" t="str">
        <x:v>https://www.kosmo.com.my/2025/12/12/video-hujan-lebat-lebih-2-jam-johor-bahru-dilanda-banjir-kilat/</x:v>
      </x:c>
      <x:c r="X322" s="12" t="str">
        <x:v>Directly named among flooded/affected city roads.</x:v>
      </x:c>
    </x:row>
    <x:row r="323">
      <x:c r="A323" s="12" t="str">
        <x:v>FLOC-0187</x:v>
      </x:c>
      <x:c r="B323" s="12" t="str">
        <x:v>Taman Pelangi</x:v>
      </x:c>
      <x:c r="C323" s="12" t="str">
        <x:v>YES</x:v>
      </x:c>
      <x:c r="D323" s="12" t="n">
        <x:v>2025</x:v>
      </x:c>
      <x:c r="E323" s="12" t="str">
        <x:v>EVT-JB-2025-046</x:v>
      </x:c>
      <x:c r="F323" s="18" t="n">
        <x:v>46003</x:v>
      </x:c>
      <x:c r="G323" s="12" t="str">
        <x:v>DG-JB-20251212</x:v>
      </x:c>
      <x:c r="H323" s="12" t="str">
        <x:v>JBLOC-0202</x:v>
      </x:c>
      <x:c r="I323" s="12" t="str">
        <x:v>S2025-041</x:v>
      </x:c>
      <x:c r="J323" s="12" t="str">
        <x:v>Taman Pelangi</x:v>
      </x:c>
      <x:c r="K323" s="12" t="str">
        <x:v>Taman Pelangi</x:v>
      </x:c>
      <x:c r="L323" s="12" t="str">
        <x:v>AREA/RESIDENTIAL</x:v>
      </x:c>
      <x:c r="M323" s="12" t="str">
        <x:v>Flash flood / urban inundation</x:v>
      </x:c>
      <x:c r="N323" s="12" t="str">
        <x:v>B</x:v>
      </x:c>
      <x:c r="O323" s="12" t="str">
        <x:v>SRC_R2025_KOSMO_20251212</x:v>
      </x:c>
      <x:c r="P323" s="12"/>
      <x:c r="Q323" s="12" t="n">
        <x:v>103.7738869</x:v>
      </x:c>
      <x:c r="R323" s="12" t="n">
        <x:v>1.478838</x:v>
      </x:c>
      <x:c r="S323" s="12" t="str">
        <x:v>YES</x:v>
      </x:c>
      <x:c r="T323" s="12" t="str">
        <x:v>PLOT</x:v>
      </x:c>
      <x:c r="U323" s="12"/>
      <x:c r="V323" s="12" t="str">
        <x:v>POINT_OPEN; POLYGON_OPEN</x:v>
      </x:c>
      <x:c r="W323" s="12" t="str">
        <x:v>https://www.kosmo.com.my/2025/12/12/video-hujan-lebat-lebih-2-jam-johor-bahru-dilanda-banjir-kilat/</x:v>
      </x:c>
      <x:c r="X323" s="12" t="str">
        <x:v>Directly named among affected areas.</x:v>
      </x:c>
    </x:row>
    <x:row r="324">
      <x:c r="A324" s="12" t="str">
        <x:v>FLOC-0094</x:v>
      </x:c>
      <x:c r="B324" s="12" t="str">
        <x:v>Kampung Mohd Amin, Kolam Air</x:v>
      </x:c>
      <x:c r="C324" s="12" t="str">
        <x:v>YES</x:v>
      </x:c>
      <x:c r="D324" s="12" t="n">
        <x:v>2025</x:v>
      </x:c>
      <x:c r="E324" s="12" t="str">
        <x:v>EVT-JB-2025-047</x:v>
      </x:c>
      <x:c r="F324" s="18" t="n">
        <x:v>46004</x:v>
      </x:c>
      <x:c r="G324" s="12" t="str">
        <x:v>DG-JB-20251213</x:v>
      </x:c>
      <x:c r="H324" s="12" t="str">
        <x:v>JBLOC-0101</x:v>
      </x:c>
      <x:c r="I324" s="12" t="str">
        <x:v>S2025-038</x:v>
      </x:c>
      <x:c r="J324" s="12" t="str">
        <x:v>Kampung Mohd Amin</x:v>
      </x:c>
      <x:c r="K324" s="12" t="str">
        <x:v>Kampung Mohd Amin / Jalan Md Amin context</x:v>
      </x:c>
      <x:c r="L324" s="12" t="str">
        <x:v>COMMUNITY/AREA</x:v>
      </x:c>
      <x:c r="M324" s="12" t="str">
        <x:v>Flash-flood recurrence</x:v>
      </x:c>
      <x:c r="N324" s="12" t="str">
        <x:v>B</x:v>
      </x:c>
      <x:c r="O324" s="12" t="str">
        <x:v>SRC_R2025_BERNAMA_IMAGE_20251213</x:v>
      </x:c>
      <x:c r="P324" s="12"/>
      <x:c r="Q324" s="12" t="n">
        <x:v>103.7354126</x:v>
      </x:c>
      <x:c r="R324" s="12" t="n">
        <x:v>1.4673637</x:v>
      </x:c>
      <x:c r="S324" s="12" t="str">
        <x:v>YES</x:v>
      </x:c>
      <x:c r="T324" s="12" t="str">
        <x:v>PLOT</x:v>
      </x:c>
      <x:c r="U324" s="12"/>
      <x:c r="V324" s="12" t="str">
        <x:v>POINT_READY; POLYGON_OPEN</x:v>
      </x:c>
      <x:c r="W324" s="12" t="str">
        <x:v>https://imagesapps.bernama.com/images/2322/jb11-13122025-banjir-kilat</x:v>
      </x:c>
      <x:c r="X324" s="12" t="str">
        <x:v>Bernama describes Kampung Mohd Amin flooding on 13 Dec and notes flash flooding for two consecutive days; counted as a separate recurrence after 12 Dec event.</x:v>
      </x:c>
    </x:row>
    <x:row r="325">
      <x:c r="A325" s="12" t="str">
        <x:v>FLOC-0035</x:v>
      </x:c>
      <x:c r="B325" s="12" t="str">
        <x:v>Jalan Kolam Ayer</x:v>
      </x:c>
      <x:c r="C325" s="12" t="str">
        <x:v>YES</x:v>
      </x:c>
      <x:c r="D325" s="12" t="n">
        <x:v>2026</x:v>
      </x:c>
      <x:c r="E325" s="12" t="str">
        <x:v>EVT-JB-2026-001</x:v>
      </x:c>
      <x:c r="F325" s="18" t="n">
        <x:v>46295</x:v>
      </x:c>
      <x:c r="G325" s="12" t="str">
        <x:v>DG-JB-20260930</x:v>
      </x:c>
      <x:c r="H325" s="12" t="str">
        <x:v>JBLOC-0038</x:v>
      </x:c>
      <x:c r="I325" s="12" t="str">
        <x:v>S2026-001</x:v>
      </x:c>
      <x:c r="J325" s="12" t="str">
        <x:v>Jalan Kolam Air, Nong Chik</x:v>
      </x:c>
      <x:c r="K325" s="12" t="str">
        <x:v>Jalan Kolam Ayer / Nong Chik context</x:v>
      </x:c>
      <x:c r="L325" s="12" t="str">
        <x:v>ROAD/ROAD CONTEXT</x:v>
      </x:c>
      <x:c r="M325" s="12" t="str">
        <x:v>Urban flash flood / inundation</x:v>
      </x:c>
      <x:c r="N325" s="12" t="str">
        <x:v>A/B</x:v>
      </x:c>
      <x:c r="O325" s="12" t="str">
        <x:v>SRC_R2026_SINAR_20260930</x:v>
      </x:c>
      <x:c r="P325" s="12" t="str">
        <x:v>SRC_R2026_MM_20260930</x:v>
      </x:c>
      <x:c r="Q325" s="12" t="n">
        <x:v>103.7220526</x:v>
      </x:c>
      <x:c r="R325" s="12" t="n">
        <x:v>1.4823854</x:v>
      </x:c>
      <x:c r="S325" s="12" t="str">
        <x:v>YES</x:v>
      </x:c>
      <x:c r="T325" s="12" t="str">
        <x:v>PLOT</x:v>
      </x:c>
      <x:c r="U325" s="12"/>
      <x:c r="V325" s="12" t="str">
        <x:v>POINT_REFERENCE; ROAD_SEGMENT_OPEN</x:v>
      </x:c>
      <x:c r="W325" s="12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  <x:c r="X325" s="12" t="str">
        <x:v>Source phrase retained as one road/neighbourhood context object to avoid double-counting an ambiguous comma-separated label.</x:v>
      </x:c>
    </x:row>
    <x:row r="326">
      <x:c r="A326" s="12" t="str">
        <x:v>FLOC-0019</x:v>
      </x:c>
      <x:c r="B326" s="12" t="str">
        <x:v>Jalan Ayer Molek</x:v>
      </x:c>
      <x:c r="C326" s="12" t="str">
        <x:v>YES</x:v>
      </x:c>
      <x:c r="D326" s="12" t="n">
        <x:v>2026</x:v>
      </x:c>
      <x:c r="E326" s="12" t="str">
        <x:v>EVT-JB-2026-002</x:v>
      </x:c>
      <x:c r="F326" s="18" t="n">
        <x:v>46295</x:v>
      </x:c>
      <x:c r="G326" s="12" t="str">
        <x:v>DG-JB-20260930</x:v>
      </x:c>
      <x:c r="H326" s="12" t="str">
        <x:v>JBLOC-0021</x:v>
      </x:c>
      <x:c r="I326" s="12" t="str">
        <x:v>S2026-002</x:v>
      </x:c>
      <x:c r="J326" s="12" t="str">
        <x:v>Jalan Ayer Molek</x:v>
      </x:c>
      <x:c r="K326" s="12" t="str">
        <x:v>Jalan Ayer Molek</x:v>
      </x:c>
      <x:c r="L326" s="12" t="str">
        <x:v>ROAD/ROAD CONTEXT</x:v>
      </x:c>
      <x:c r="M326" s="12" t="str">
        <x:v>Urban flash flood / inundation</x:v>
      </x:c>
      <x:c r="N326" s="12" t="str">
        <x:v>A/B</x:v>
      </x:c>
      <x:c r="O326" s="12" t="str">
        <x:v>SRC_R2026_SINAR_20260930</x:v>
      </x:c>
      <x:c r="P326" s="12" t="str">
        <x:v>SRC_R2026_UTUSAN_20260930</x:v>
      </x:c>
      <x:c r="Q326" s="12" t="n">
        <x:v>103.7587117</x:v>
      </x:c>
      <x:c r="R326" s="12" t="n">
        <x:v>1.4594963</x:v>
      </x:c>
      <x:c r="S326" s="12" t="str">
        <x:v>YES</x:v>
      </x:c>
      <x:c r="T326" s="12" t="str">
        <x:v>PLOT</x:v>
      </x:c>
      <x:c r="U326" s="12"/>
      <x:c r="V326" s="12" t="str">
        <x:v>POINT_REFERENCE; ROAD_SEGMENT_OPEN</x:v>
      </x:c>
      <x:c r="W326" s="12" t="str">
        <x:v>https://www.sinarharian.com.my/article/798490/edisi/johor/banjir-kilat-landa-johor-bahru-trafik-sesak
https://www.utusan.com.my/terkini/2026/09/beberapa-kawasan-di-johor-bahru-dinaiki-air-susulan-hujan-lebat/</x:v>
      </x:c>
      <x:c r="X326" s="12"/>
    </x:row>
    <x:row r="327">
      <x:c r="A327" s="12" t="str">
        <x:v>FLOC-0071</x:v>
      </x:c>
      <x:c r="B327" s="12" t="str">
        <x:v>Jalan Yahya Awal</x:v>
      </x:c>
      <x:c r="C327" s="12" t="str">
        <x:v>YES</x:v>
      </x:c>
      <x:c r="D327" s="12" t="n">
        <x:v>2026</x:v>
      </x:c>
      <x:c r="E327" s="12" t="str">
        <x:v>EVT-JB-2026-003</x:v>
      </x:c>
      <x:c r="F327" s="18" t="n">
        <x:v>46295</x:v>
      </x:c>
      <x:c r="G327" s="12" t="str">
        <x:v>DG-JB-20260930</x:v>
      </x:c>
      <x:c r="H327" s="12" t="str">
        <x:v>JBLOC-0073</x:v>
      </x:c>
      <x:c r="I327" s="12" t="str">
        <x:v>S2026-003</x:v>
      </x:c>
      <x:c r="J327" s="12" t="str">
        <x:v>Jalan Yahya / Jalan Yahya Awal</x:v>
      </x:c>
      <x:c r="K327" s="12" t="str">
        <x:v>Jalan Yahya Awal</x:v>
      </x:c>
      <x:c r="L327" s="12" t="str">
        <x:v>ROAD/ROAD CONTEXT</x:v>
      </x:c>
      <x:c r="M327" s="12" t="str">
        <x:v>Urban flash flood / inundation</x:v>
      </x:c>
      <x:c r="N327" s="12" t="str">
        <x:v>A/B</x:v>
      </x:c>
      <x:c r="O327" s="12" t="str">
        <x:v>SRC_R2026_SINAR_20260930</x:v>
      </x:c>
      <x:c r="P327" s="12" t="str">
        <x:v>SRC_R2026_MM_20260930</x:v>
      </x:c>
      <x:c r="Q327" s="12" t="n">
        <x:v>103.7553464</x:v>
      </x:c>
      <x:c r="R327" s="12" t="n">
        <x:v>1.4633725</x:v>
      </x:c>
      <x:c r="S327" s="12" t="str">
        <x:v>YES</x:v>
      </x:c>
      <x:c r="T327" s="12" t="str">
        <x:v>PLOT</x:v>
      </x:c>
      <x:c r="U327" s="12"/>
      <x:c r="V327" s="12" t="str">
        <x:v>POINT_REFERENCE; ROAD_SEGMENT_OPEN</x:v>
      </x:c>
      <x:c r="W327" s="12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  <x:c r="X327" s="12" t="str">
        <x:v>Source abbreviation normalized to frozen Jalan Yahya Awal object.</x:v>
      </x:c>
    </x:row>
    <x:row r="328">
      <x:c r="A328" s="12" t="str">
        <x:v>FLOC-0046</x:v>
      </x:c>
      <x:c r="B328" s="12" t="str">
        <x:v>Jalan Pantai</x:v>
      </x:c>
      <x:c r="C328" s="12" t="str">
        <x:v>YES</x:v>
      </x:c>
      <x:c r="D328" s="12" t="n">
        <x:v>2026</x:v>
      </x:c>
      <x:c r="E328" s="12" t="str">
        <x:v>EVT-JB-2026-004</x:v>
      </x:c>
      <x:c r="F328" s="18" t="n">
        <x:v>46295</x:v>
      </x:c>
      <x:c r="G328" s="12" t="str">
        <x:v>DG-JB-20260930</x:v>
      </x:c>
      <x:c r="H328" s="12" t="str">
        <x:v>JBLOC-0048</x:v>
      </x:c>
      <x:c r="I328" s="12" t="str">
        <x:v>S2026-004</x:v>
      </x:c>
      <x:c r="J328" s="12" t="str">
        <x:v>Jalan Pantai</x:v>
      </x:c>
      <x:c r="K328" s="12" t="str">
        <x:v>Jalan Pantai</x:v>
      </x:c>
      <x:c r="L328" s="12" t="str">
        <x:v>ROAD/ROAD CONTEXT</x:v>
      </x:c>
      <x:c r="M328" s="12" t="str">
        <x:v>Urban flash flood / inundation</x:v>
      </x:c>
      <x:c r="N328" s="12" t="str">
        <x:v>A/B</x:v>
      </x:c>
      <x:c r="O328" s="12" t="str">
        <x:v>SRC_R2026_SINAR_20260930</x:v>
      </x:c>
      <x:c r="P328" s="12" t="str">
        <x:v>SRC_R2026_MM_20260930</x:v>
      </x:c>
      <x:c r="Q328" s="12"/>
      <x:c r="R328" s="12"/>
      <x:c r="S328" s="12" t="str">
        <x:v>NO</x:v>
      </x:c>
      <x:c r="T328" s="12" t="str">
        <x:v>DO NOT PLOT</x:v>
      </x:c>
      <x:c r="U328" s="12"/>
      <x:c r="V328" s="12" t="str">
        <x:v>ROAD_SEGMENT_OPEN</x:v>
      </x:c>
      <x:c r="W328" s="12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  <x:c r="X328" s="12" t="str">
        <x:v>Later synthesis places this road in Kampung Bakar Batu context; exact segment remains open.</x:v>
      </x:c>
    </x:row>
    <x:row r="329">
      <x:c r="A329" s="12" t="str">
        <x:v>FLOC-0069</x:v>
      </x:c>
      <x:c r="B329" s="12" t="str">
        <x:v>Jalan Wong Ah Fook</x:v>
      </x:c>
      <x:c r="C329" s="12" t="str">
        <x:v>YES</x:v>
      </x:c>
      <x:c r="D329" s="12" t="n">
        <x:v>2026</x:v>
      </x:c>
      <x:c r="E329" s="12" t="str">
        <x:v>EVT-JB-2026-005</x:v>
      </x:c>
      <x:c r="F329" s="18" t="n">
        <x:v>46295</x:v>
      </x:c>
      <x:c r="G329" s="12" t="str">
        <x:v>DG-JB-20260930</x:v>
      </x:c>
      <x:c r="H329" s="12" t="str">
        <x:v>JBLOC-0071</x:v>
      </x:c>
      <x:c r="I329" s="12" t="str">
        <x:v>S2026-005</x:v>
      </x:c>
      <x:c r="J329" s="12" t="str">
        <x:v>Jalan Wong Ah Fook</x:v>
      </x:c>
      <x:c r="K329" s="12" t="str">
        <x:v>Jalan Wong Ah Fook</x:v>
      </x:c>
      <x:c r="L329" s="12" t="str">
        <x:v>ROAD/ROAD CONTEXT</x:v>
      </x:c>
      <x:c r="M329" s="12" t="str">
        <x:v>Urban flash flood / inundation</x:v>
      </x:c>
      <x:c r="N329" s="12" t="str">
        <x:v>A/B</x:v>
      </x:c>
      <x:c r="O329" s="12" t="str">
        <x:v>SRC_R2026_SINAR_20260930</x:v>
      </x:c>
      <x:c r="P329" s="12" t="str">
        <x:v>SRC_R2026_MM_20260930</x:v>
      </x:c>
      <x:c r="Q329" s="12" t="n">
        <x:v>103.7656178</x:v>
      </x:c>
      <x:c r="R329" s="12" t="n">
        <x:v>1.4576093</x:v>
      </x:c>
      <x:c r="S329" s="12" t="str">
        <x:v>YES</x:v>
      </x:c>
      <x:c r="T329" s="12" t="str">
        <x:v>PLOT</x:v>
      </x:c>
      <x:c r="U329" s="12"/>
      <x:c r="V329" s="12" t="str">
        <x:v>POINT_REFERENCE; ROAD_SEGMENT_OPEN</x:v>
      </x:c>
      <x:c r="W329" s="12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  <x:c r="X329" s="12"/>
    </x:row>
    <x:row r="330">
      <x:c r="A330" s="12" t="str">
        <x:v>FLOC-0096</x:v>
      </x:c>
      <x:c r="B330" s="12" t="str">
        <x:v>Kampung Pasir, Tampoi/Skudai</x:v>
      </x:c>
      <x:c r="C330" s="12" t="str">
        <x:v>YES</x:v>
      </x:c>
      <x:c r="D330" s="12" t="n">
        <x:v>2026</x:v>
      </x:c>
      <x:c r="E330" s="12" t="str">
        <x:v>EVT-JB-2026-006</x:v>
      </x:c>
      <x:c r="F330" s="18" t="n">
        <x:v>46295</x:v>
      </x:c>
      <x:c r="G330" s="12" t="str">
        <x:v>DG-JB-20260930</x:v>
      </x:c>
      <x:c r="H330" s="12" t="str">
        <x:v>JBLOC-0104</x:v>
      </x:c>
      <x:c r="I330" s="12" t="str">
        <x:v>S2026-006</x:v>
      </x:c>
      <x:c r="J330" s="12" t="str">
        <x:v>Kampung Pasir, Tampoi</x:v>
      </x:c>
      <x:c r="K330" s="12" t="str">
        <x:v>Kampung Pasir</x:v>
      </x:c>
      <x:c r="L330" s="12" t="str">
        <x:v>COMMUNITY/AREA</x:v>
      </x:c>
      <x:c r="M330" s="12" t="str">
        <x:v>Urban flash flood / inundation</x:v>
      </x:c>
      <x:c r="N330" s="12" t="str">
        <x:v>A/B</x:v>
      </x:c>
      <x:c r="O330" s="12" t="str">
        <x:v>SRC_R2026_UTUSAN_20260930</x:v>
      </x:c>
      <x:c r="P330" s="12" t="str">
        <x:v>SRC_R2026_SINAR_20260930</x:v>
      </x:c>
      <x:c r="Q330" s="12" t="n">
        <x:v>103.6969651</x:v>
      </x:c>
      <x:c r="R330" s="12" t="n">
        <x:v>1.4955303</x:v>
      </x:c>
      <x:c r="S330" s="12" t="str">
        <x:v>YES</x:v>
      </x:c>
      <x:c r="T330" s="12" t="str">
        <x:v>PLOT</x:v>
      </x:c>
      <x:c r="U330" s="12"/>
      <x:c r="V330" s="12" t="str">
        <x:v>POINT_READY; POLYGON_OPEN</x:v>
      </x:c>
      <x:c r="W330" s="12" t="str">
        <x:v>https://www.utusan.com.my/terkini/2026/09/beberapa-kawasan-di-johor-bahru-dinaiki-air-susulan-hujan-lebat/
https://www.sinarharian.com.my/article/798490/edisi/johor/banjir-kilat-landa-johor-bahru-trafik-sesak</x:v>
      </x:c>
      <x:c r="X330" s="12" t="str">
        <x:v>More than 200 houses reported inundated.</x:v>
      </x:c>
    </x:row>
    <x:row r="331">
      <x:c r="A331" s="12" t="str">
        <x:v>FLOC-0123</x:v>
      </x:c>
      <x:c r="B331" s="12" t="str">
        <x:v>Kampung Tuah Jaya</x:v>
      </x:c>
      <x:c r="C331" s="12" t="str">
        <x:v>YES</x:v>
      </x:c>
      <x:c r="D331" s="12" t="n">
        <x:v>2026</x:v>
      </x:c>
      <x:c r="E331" s="12" t="str">
        <x:v>EVT-JB-2026-007</x:v>
      </x:c>
      <x:c r="F331" s="18" t="n">
        <x:v>46295</x:v>
      </x:c>
      <x:c r="G331" s="12" t="str">
        <x:v>DG-JB-20260930</x:v>
      </x:c>
      <x:c r="H331" s="12" t="str">
        <x:v>JBLOC-0145</x:v>
      </x:c>
      <x:c r="I331" s="12" t="str">
        <x:v>S2026-007</x:v>
      </x:c>
      <x:c r="J331" s="12" t="str">
        <x:v>Kampung Tuah Jaya</x:v>
      </x:c>
      <x:c r="K331" s="12" t="str">
        <x:v>Kampung Tuah Jaya</x:v>
      </x:c>
      <x:c r="L331" s="12" t="str">
        <x:v>COMMUNITY/AREA</x:v>
      </x:c>
      <x:c r="M331" s="12" t="str">
        <x:v>Urban flash flood / inundation</x:v>
      </x:c>
      <x:c r="N331" s="12" t="str">
        <x:v>A/B</x:v>
      </x:c>
      <x:c r="O331" s="12" t="str">
        <x:v>SRC_R2026_UTUSAN_20260930</x:v>
      </x:c>
      <x:c r="P331" s="12"/>
      <x:c r="Q331" s="12" t="n">
        <x:v>103.676291505005</x:v>
      </x:c>
      <x:c r="R331" s="12" t="n">
        <x:v>1.47868675</x:v>
      </x:c>
      <x:c r="S331" s="12" t="str">
        <x:v>YES</x:v>
      </x:c>
      <x:c r="T331" s="12" t="str">
        <x:v>PLOT</x:v>
      </x:c>
      <x:c r="U331" s="12" t="str">
        <x:v>PG2017-TUAH-JAYA</x:v>
      </x:c>
      <x:c r="V331" s="12" t="str">
        <x:v>REUSED_CLOSED</x:v>
      </x:c>
      <x:c r="W331" s="12" t="str">
        <x:v>https://www.utusan.com.my/terkini/2026/09/beberapa-kawasan-di-johor-bahru-dinaiki-air-susulan-hujan-lebat/</x:v>
      </x:c>
      <x:c r="X331" s="12" t="str">
        <x:v>Exact named community.</x:v>
      </x:c>
    </x:row>
    <x:row r="332">
      <x:c r="A332" s="12" t="str">
        <x:v>FLOC-0188</x:v>
      </x:c>
      <x:c r="B332" s="12" t="str">
        <x:v>Taman Perling</x:v>
      </x:c>
      <x:c r="C332" s="12" t="str">
        <x:v>YES</x:v>
      </x:c>
      <x:c r="D332" s="12" t="n">
        <x:v>2026</x:v>
      </x:c>
      <x:c r="E332" s="12" t="str">
        <x:v>EVT-JB-2026-008</x:v>
      </x:c>
      <x:c r="F332" s="18" t="n">
        <x:v>46295</x:v>
      </x:c>
      <x:c r="G332" s="12" t="str">
        <x:v>DG-JB-20260930</x:v>
      </x:c>
      <x:c r="H332" s="12" t="str">
        <x:v>JBLOC-0203</x:v>
      </x:c>
      <x:c r="I332" s="12" t="str">
        <x:v>S2026-008</x:v>
      </x:c>
      <x:c r="J332" s="12" t="str">
        <x:v>Taman Perling</x:v>
      </x:c>
      <x:c r="K332" s="12" t="str">
        <x:v>Taman Perling</x:v>
      </x:c>
      <x:c r="L332" s="12" t="str">
        <x:v>AREA/RESIDENTIAL</x:v>
      </x:c>
      <x:c r="M332" s="12" t="str">
        <x:v>Urban flash flood / inundation</x:v>
      </x:c>
      <x:c r="N332" s="12" t="str">
        <x:v>A/B</x:v>
      </x:c>
      <x:c r="O332" s="12" t="str">
        <x:v>SRC_R2026_UTUSAN_20260930</x:v>
      </x:c>
      <x:c r="P332" s="12" t="str">
        <x:v>SRC_R2026_MM_20260930</x:v>
      </x:c>
      <x:c r="Q332" s="12" t="n">
        <x:v>103.6827079</x:v>
      </x:c>
      <x:c r="R332" s="12" t="n">
        <x:v>1.481217</x:v>
      </x:c>
      <x:c r="S332" s="12" t="str">
        <x:v>YES</x:v>
      </x:c>
      <x:c r="T332" s="12" t="str">
        <x:v>PLOT</x:v>
      </x:c>
      <x:c r="U332" s="12"/>
      <x:c r="V332" s="12" t="str">
        <x:v>POINT_OPEN; POLYGON_OPEN</x:v>
      </x:c>
      <x:c r="W332" s="12" t="str">
        <x:v>https://www.utusan.com.my/terkini/2026/09/beberapa-kawasan-di-johor-bahru-dinaiki-air-susulan-hujan-lebat/
https://www.malaymail.com/news/malaysia/2026/09/30/several-areas-in-johor-bahru-hit-by-flash-floods-following-heavy-rain-video/237172</x:v>
      </x:c>
      <x:c r="X332" s="12"/>
    </x:row>
    <x:row r="333">
      <x:c r="A333" s="12" t="str">
        <x:v>FLOC-0115</x:v>
      </x:c>
      <x:c r="B333" s="12" t="str">
        <x:v>Kampung Sri Serdang</x:v>
      </x:c>
      <x:c r="C333" s="12" t="str">
        <x:v>YES</x:v>
      </x:c>
      <x:c r="D333" s="12" t="n">
        <x:v>2026</x:v>
      </x:c>
      <x:c r="E333" s="12" t="str">
        <x:v>EVT-JB-2026-009</x:v>
      </x:c>
      <x:c r="F333" s="18" t="n">
        <x:v>46295</x:v>
      </x:c>
      <x:c r="G333" s="12" t="str">
        <x:v>DG-JB-20260930</x:v>
      </x:c>
      <x:c r="H333" s="12" t="str">
        <x:v>JBLOC-0129</x:v>
      </x:c>
      <x:c r="I333" s="12" t="str">
        <x:v>S2026-009</x:v>
      </x:c>
      <x:c r="J333" s="12" t="str">
        <x:v>Kampung Sri Serdang / Seri Serdang</x:v>
      </x:c>
      <x:c r="K333" s="12" t="str">
        <x:v>Kampung Seri Serdang</x:v>
      </x:c>
      <x:c r="L333" s="12" t="str">
        <x:v>COMMUNITY/AREA</x:v>
      </x:c>
      <x:c r="M333" s="12" t="str">
        <x:v>Urban flash flood / inundation</x:v>
      </x:c>
      <x:c r="N333" s="12" t="str">
        <x:v>A/B</x:v>
      </x:c>
      <x:c r="O333" s="12" t="str">
        <x:v>SRC_R2026_UTUSAN_20260930</x:v>
      </x:c>
      <x:c r="P333" s="12" t="str">
        <x:v>SRC_R2026_JPS_20260930</x:v>
      </x:c>
      <x:c r="Q333" s="12" t="n">
        <x:v>103.6919335</x:v>
      </x:c>
      <x:c r="R333" s="12" t="n">
        <x:v>1.5017487</x:v>
      </x:c>
      <x:c r="S333" s="12" t="str">
        <x:v>YES</x:v>
      </x:c>
      <x:c r="T333" s="12" t="str">
        <x:v>PLOT</x:v>
      </x:c>
      <x:c r="U333" s="12"/>
      <x:c r="V333" s="12" t="str">
        <x:v>POINT_READY; POLYGON_OPEN</x:v>
      </x:c>
      <x:c r="W333" s="12" t="str">
        <x:v>https://www.utusan.com.my/terkini/2026/09/beberapa-kawasan-di-johor-bahru-dinaiki-air-susulan-hujan-lebat/
https://jps.johor.gov.my/%F0%9D%90%93%F0%9D%90%88%F0%9D%90%8D%F0%9D%90%89%F0%9D%90%80%F0%9D%90%94%F0%9D%90%80%F0%9D%90%8D-%F0%9D%90%8F%F0%9D%90%84%F0%9D%90%8D%F0%9D%90%86%F0%9D%90%80%F0%9D%90%91%F0%9D%90%80%F0%9D%90%87/</x:v>
      </x:c>
      <x:c r="X333" s="12" t="str">
        <x:v>Spelling variant normalized to one canonical community object.</x:v>
      </x:c>
    </x:row>
    <x:row r="334">
      <x:c r="A334" s="12" t="str">
        <x:v>FLOC-0132</x:v>
      </x:c>
      <x:c r="B334" s="12" t="str">
        <x:v>Kg. Dato Hajah Hasnah</x:v>
      </x:c>
      <x:c r="C334" s="12" t="str">
        <x:v>YES</x:v>
      </x:c>
      <x:c r="D334" s="12" t="n">
        <x:v>2026</x:v>
      </x:c>
      <x:c r="E334" s="12" t="str">
        <x:v>EVT-JB-2026-010</x:v>
      </x:c>
      <x:c r="F334" s="18" t="n">
        <x:v>46295</x:v>
      </x:c>
      <x:c r="G334" s="12" t="str">
        <x:v>DG-JB-20260930</x:v>
      </x:c>
      <x:c r="H334" s="12" t="str">
        <x:v>JBLOC-0085</x:v>
      </x:c>
      <x:c r="I334" s="12" t="str">
        <x:v>S2026-010</x:v>
      </x:c>
      <x:c r="J334" s="12" t="str">
        <x:v>Kampung Hajah Hasnah</x:v>
      </x:c>
      <x:c r="K334" s="12" t="str">
        <x:v>Kg. Dato Hajah Hasnah</x:v>
      </x:c>
      <x:c r="L334" s="12" t="str">
        <x:v>COMMUNITY/AREA</x:v>
      </x:c>
      <x:c r="M334" s="12" t="str">
        <x:v>Urban flash flood / inundation</x:v>
      </x:c>
      <x:c r="N334" s="12" t="str">
        <x:v>A/B</x:v>
      </x:c>
      <x:c r="O334" s="12" t="str">
        <x:v>SRC_R2026_UTUSAN_20260930</x:v>
      </x:c>
      <x:c r="P334" s="12"/>
      <x:c r="Q334" s="12" t="n">
        <x:v>103.76977282</x:v>
      </x:c>
      <x:c r="R334" s="12" t="n">
        <x:v>1.50468654</x:v>
      </x:c>
      <x:c r="S334" s="12" t="str">
        <x:v>YES</x:v>
      </x:c>
      <x:c r="T334" s="12" t="str">
        <x:v>PLOT</x:v>
      </x:c>
      <x:c r="U334" s="12"/>
      <x:c r="V334" s="12" t="str">
        <x:v>IDENTITY_VALID; LINK_PENDING; POINT/POLYGON_OPEN</x:v>
      </x:c>
      <x:c r="W334" s="12" t="str">
        <x:v>https://www.utusan.com.my/terkini/2026/09/beberapa-kawasan-di-johor-bahru-dinaiki-air-susulan-hujan-lebat/</x:v>
      </x:c>
      <x:c r="X334" s="12" t="str">
        <x:v>Do not silently merge to 2023 Kampung Dato Hajah Hasnah Majidee without direct identity evidence.</x:v>
      </x:c>
    </x:row>
    <x:row r="335">
      <x:c r="A335" s="12" t="str">
        <x:v>FLOC-0062</x:v>
      </x:c>
      <x:c r="B335" s="12" t="str">
        <x:v>Jalan Sungai Chat</x:v>
      </x:c>
      <x:c r="C335" s="12" t="str">
        <x:v>YES</x:v>
      </x:c>
      <x:c r="D335" s="12" t="n">
        <x:v>2026</x:v>
      </x:c>
      <x:c r="E335" s="12" t="str">
        <x:v>EVT-JB-2026-011</x:v>
      </x:c>
      <x:c r="F335" s="18" t="n">
        <x:v>46295</x:v>
      </x:c>
      <x:c r="G335" s="12" t="str">
        <x:v>DG-JB-20260930</x:v>
      </x:c>
      <x:c r="H335" s="12" t="str">
        <x:v>JBLOC-0064</x:v>
      </x:c>
      <x:c r="I335" s="12" t="str">
        <x:v>S2026-011</x:v>
      </x:c>
      <x:c r="J335" s="12" t="str">
        <x:v>Jalan Sungai Chat near SMK Maktab Sultan Abu Bakar</x:v>
      </x:c>
      <x:c r="K335" s="12" t="str">
        <x:v>Jalan Sungai Chat</x:v>
      </x:c>
      <x:c r="L335" s="12" t="str">
        <x:v>ROAD/ROAD CONTEXT</x:v>
      </x:c>
      <x:c r="M335" s="12" t="str">
        <x:v>Urban flash flood / inundation</x:v>
      </x:c>
      <x:c r="N335" s="12" t="str">
        <x:v>A/B</x:v>
      </x:c>
      <x:c r="O335" s="12" t="str">
        <x:v>SRC_R2026_UTUSAN_20260930</x:v>
      </x:c>
      <x:c r="P335" s="12" t="str">
        <x:v>SRC_R2026_JPS_20260930</x:v>
      </x:c>
      <x:c r="Q335" s="12" t="n">
        <x:v>103.7385575</x:v>
      </x:c>
      <x:c r="R335" s="12" t="n">
        <x:v>1.4609922</x:v>
      </x:c>
      <x:c r="S335" s="12" t="str">
        <x:v>YES</x:v>
      </x:c>
      <x:c r="T335" s="12" t="str">
        <x:v>PLOT</x:v>
      </x:c>
      <x:c r="U335" s="12"/>
      <x:c r="V335" s="12" t="str">
        <x:v>POINT_REFERENCE; ROAD_SEGMENT_OPEN</x:v>
      </x:c>
      <x:c r="W335" s="12" t="str">
        <x:v>https://www.utusan.com.my/terkini/2026/09/beberapa-kawasan-di-johor-bahru-dinaiki-air-susulan-hujan-lebat/
https://jps.johor.gov.my/%F0%9D%90%93%F0%9D%90%88%F0%9D%90%8D%F0%9D%90%89%F0%9D%90%80%F0%9D%90%94%F0%9D%90%80%F0%9D%90%8D-%F0%9D%90%8F%F0%9D%90%84%F0%9D%90%8D%F0%9D%90%86%F0%9D%90%80%F0%9D%90%91%F0%9D%90%80%F0%9D%90%87/</x:v>
      </x:c>
      <x:c r="X335" s="12" t="str">
        <x:v>Road event retained separately from Maktab Sultan Abu Bakar facility event.</x:v>
      </x:c>
    </x:row>
    <x:row r="336">
      <x:c r="A336" s="12" t="str">
        <x:v>FLOC-0196</x:v>
      </x:c>
      <x:c r="B336" s="12" t="str">
        <x:v>Wisma Persekutuan Johor Bahru</x:v>
      </x:c>
      <x:c r="C336" s="12" t="str">
        <x:v>YES</x:v>
      </x:c>
      <x:c r="D336" s="12" t="n">
        <x:v>2026</x:v>
      </x:c>
      <x:c r="E336" s="12" t="str">
        <x:v>EVT-JB-2026-012</x:v>
      </x:c>
      <x:c r="F336" s="18" t="n">
        <x:v>46295</x:v>
      </x:c>
      <x:c r="G336" s="12" t="str">
        <x:v>DG-JB-20260930</x:v>
      </x:c>
      <x:c r="H336" s="12" t="str">
        <x:v>JBLOC-0211</x:v>
      </x:c>
      <x:c r="I336" s="12" t="str">
        <x:v>S2026-012</x:v>
      </x:c>
      <x:c r="J336" s="12" t="str">
        <x:v>Wisma Persekutuan Johor Bahru</x:v>
      </x:c>
      <x:c r="K336" s="12" t="str">
        <x:v>Wisma Persekutuan Johor Bahru</x:v>
      </x:c>
      <x:c r="L336" s="12" t="str">
        <x:v>FACILITY/POI</x:v>
      </x:c>
      <x:c r="M336" s="12" t="str">
        <x:v>Urban flash flood / inundation</x:v>
      </x:c>
      <x:c r="N336" s="12" t="str">
        <x:v>A/B</x:v>
      </x:c>
      <x:c r="O336" s="12" t="str">
        <x:v>SRC_R2026_UTUSAN_20260930</x:v>
      </x:c>
      <x:c r="P336" s="12" t="str">
        <x:v>SRC_R2026_SINAR_20260930</x:v>
      </x:c>
      <x:c r="Q336" s="12" t="n">
        <x:v>103.75878</x:v>
      </x:c>
      <x:c r="R336" s="12" t="n">
        <x:v>1.46036</x:v>
      </x:c>
      <x:c r="S336" s="12" t="str">
        <x:v>YES</x:v>
      </x:c>
      <x:c r="T336" s="12" t="str">
        <x:v>PLOT</x:v>
      </x:c>
      <x:c r="U336" s="12"/>
      <x:c r="V336" s="12" t="str">
        <x:v>FACILITY/AREA_EVENT_VALID; POINT/POLYGON_OPEN</x:v>
      </x:c>
      <x:c r="W336" s="12" t="str">
        <x:v>https://www.utusan.com.my/terkini/2026/09/beberapa-kawasan-di-johor-bahru-dinaiki-air-susulan-hujan-lebat/
https://www.sinarharian.com.my/article/798490/edisi/johor/banjir-kilat-landa-johor-bahru-trafik-sesak</x:v>
      </x:c>
      <x:c r="X336" s="12" t="str">
        <x:v>Vehicles reported inundated in the area / car park.</x:v>
      </x:c>
    </x:row>
    <x:row r="337">
      <x:c r="A337" s="12" t="str">
        <x:v>FLOC-0114</x:v>
      </x:c>
      <x:c r="B337" s="12" t="str">
        <x:v>Kampung Sri Jaya, Skudai</x:v>
      </x:c>
      <x:c r="C337" s="12" t="str">
        <x:v>YES</x:v>
      </x:c>
      <x:c r="D337" s="12" t="n">
        <x:v>2026</x:v>
      </x:c>
      <x:c r="E337" s="12" t="str">
        <x:v>EVT-JB-2026-013</x:v>
      </x:c>
      <x:c r="F337" s="18" t="n">
        <x:v>46295</x:v>
      </x:c>
      <x:c r="G337" s="12" t="str">
        <x:v>DG-JB-20260930</x:v>
      </x:c>
      <x:c r="H337" s="12" t="str">
        <x:v>JBLOC-0133</x:v>
      </x:c>
      <x:c r="I337" s="12" t="str">
        <x:v>S2026-013</x:v>
      </x:c>
      <x:c r="J337" s="12" t="str">
        <x:v>Kampung Sri Jaya</x:v>
      </x:c>
      <x:c r="K337" s="12" t="str">
        <x:v>Kampung Sri Jaya</x:v>
      </x:c>
      <x:c r="L337" s="12" t="str">
        <x:v>COMMUNITY/AREA</x:v>
      </x:c>
      <x:c r="M337" s="12" t="str">
        <x:v>Urban flash flood / inundation</x:v>
      </x:c>
      <x:c r="N337" s="12" t="str">
        <x:v>A/B</x:v>
      </x:c>
      <x:c r="O337" s="12" t="str">
        <x:v>SRC_R2026_JPS_20260930</x:v>
      </x:c>
      <x:c r="P337" s="12"/>
      <x:c r="Q337" s="12" t="n">
        <x:v>103.68912</x:v>
      </x:c>
      <x:c r="R337" s="12" t="n">
        <x:v>1.49933</x:v>
      </x:c>
      <x:c r="S337" s="12" t="str">
        <x:v>YES</x:v>
      </x:c>
      <x:c r="T337" s="12" t="str">
        <x:v>PLOT</x:v>
      </x:c>
      <x:c r="U337" s="12"/>
      <x:c r="V337" s="12" t="str">
        <x:v>OFFICIAL_EVENT_VALID; POINT/POLYGON_OPEN</x:v>
      </x:c>
      <x:c r="W337" s="12" t="str">
        <x:v>https://jps.johor.gov.my/%F0%9D%90%93%F0%9D%90%88%F0%9D%90%8D%F0%9D%90%89%F0%9D%90%80%F0%9D%90%94%F0%9D%90%80%F0%9D%90%8D-%F0%9D%90%8F%F0%9D%90%84%F0%9D%90%8D%F0%9D%90%86%F0%9D%90%80%F0%9D%90%91%F0%9D%90%80%F0%9D%90%87/</x:v>
      </x:c>
      <x:c r="X337" s="12" t="str">
        <x:v>Official JPS site inspection explicitly describes area as flood-affected.</x:v>
      </x:c>
    </x:row>
    <x:row r="338">
      <x:c r="A338" s="12" t="str">
        <x:v>FLOC-0171</x:v>
      </x:c>
      <x:c r="B338" s="12" t="str">
        <x:v>Tadika &amp; Taska Umiku Sayang, Jalan Mohd Amin</x:v>
      </x:c>
      <x:c r="C338" s="12" t="str">
        <x:v>YES</x:v>
      </x:c>
      <x:c r="D338" s="12" t="n">
        <x:v>2026</x:v>
      </x:c>
      <x:c r="E338" s="12" t="str">
        <x:v>EVT-JB-2026-014</x:v>
      </x:c>
      <x:c r="F338" s="18" t="n">
        <x:v>46295</x:v>
      </x:c>
      <x:c r="G338" s="12" t="str">
        <x:v>DG-JB-20260930</x:v>
      </x:c>
      <x:c r="H338" s="12" t="str">
        <x:v>JBLOC-0187</x:v>
      </x:c>
      <x:c r="I338" s="12" t="str">
        <x:v>S2026-014</x:v>
      </x:c>
      <x:c r="J338" s="12" t="str">
        <x:v>Tadika &amp; Taska Umiku Sayang, Jalan Mohd Amin</x:v>
      </x:c>
      <x:c r="K338" s="12" t="str">
        <x:v>Tadika &amp; Taska Umiku Sayang, Jalan Mohd Amin</x:v>
      </x:c>
      <x:c r="L338" s="12" t="str">
        <x:v>FACILITY/POI</x:v>
      </x:c>
      <x:c r="M338" s="12" t="str">
        <x:v>Urban flash flood / inundation</x:v>
      </x:c>
      <x:c r="N338" s="12" t="str">
        <x:v>A/B</x:v>
      </x:c>
      <x:c r="O338" s="12" t="str">
        <x:v>SRC_R2026_SINAR_RESCUE_20260930</x:v>
      </x:c>
      <x:c r="P338" s="12" t="str">
        <x:v>SRC_R2026_MM_RESCUE_20260930</x:v>
      </x:c>
      <x:c r="Q338" s="12"/>
      <x:c r="R338" s="12"/>
      <x:c r="S338" s="12" t="str">
        <x:v>NO</x:v>
      </x:c>
      <x:c r="T338" s="12" t="str">
        <x:v>DO NOT PLOT</x:v>
      </x:c>
      <x:c r="U338" s="12"/>
      <x:c r="V338" s="12" t="str">
        <x:v>FACILITY_EVENT_VALID; POINT/POLYGON_OPEN</x:v>
      </x:c>
      <x:c r="W338" s="12" t="str">
        <x:v>https://www.sinarharian.com.my/article/798515/edisi/johor/37-kanak-kanak-7-guru-tadika-terperangkap-banjir-kilat
https://www.malaymail.com/news/malaysia/2026/09/30/in-johor-bahru-firemen-rescue-44-pupils-and-teachers-in-kindergarten-trapped-by-flash-flood-probably-press-release/237174</x:v>
      </x:c>
      <x:c r="X338" s="12" t="str">
        <x:v>37 children and 7 teachers rescued by boat.</x:v>
      </x:c>
    </x:row>
    <x:row r="339">
      <x:c r="A339" s="12" t="str">
        <x:v>FLOC-0094</x:v>
      </x:c>
      <x:c r="B339" s="12" t="str">
        <x:v>Kampung Mohd Amin, Kolam Air</x:v>
      </x:c>
      <x:c r="C339" s="12" t="str">
        <x:v>YES</x:v>
      </x:c>
      <x:c r="D339" s="12" t="n">
        <x:v>2026</x:v>
      </x:c>
      <x:c r="E339" s="12" t="str">
        <x:v>EVT-JB-2026-015</x:v>
      </x:c>
      <x:c r="F339" s="18" t="n">
        <x:v>46295</x:v>
      </x:c>
      <x:c r="G339" s="12" t="str">
        <x:v>DG-JB-20260930</x:v>
      </x:c>
      <x:c r="H339" s="12" t="str">
        <x:v>JBLOC-0100</x:v>
      </x:c>
      <x:c r="I339" s="12" t="str">
        <x:v>S2026-015</x:v>
      </x:c>
      <x:c r="J339" s="12" t="str">
        <x:v>Kampung Mohd Amin</x:v>
      </x:c>
      <x:c r="K339" s="12" t="str">
        <x:v>Kampung Mohd Amin</x:v>
      </x:c>
      <x:c r="L339" s="12" t="str">
        <x:v>COMMUNITY/AREA</x:v>
      </x:c>
      <x:c r="M339" s="12" t="str">
        <x:v>Urban flash flood / inundation</x:v>
      </x:c>
      <x:c r="N339" s="12" t="str">
        <x:v>A/B</x:v>
      </x:c>
      <x:c r="O339" s="12" t="str">
        <x:v>SRC_R2026_RTM_20261001</x:v>
      </x:c>
      <x:c r="P339" s="12"/>
      <x:c r="Q339" s="12" t="n">
        <x:v>103.7354126</x:v>
      </x:c>
      <x:c r="R339" s="12" t="n">
        <x:v>1.4673637</x:v>
      </x:c>
      <x:c r="S339" s="12" t="str">
        <x:v>YES</x:v>
      </x:c>
      <x:c r="T339" s="12" t="str">
        <x:v>PLOT</x:v>
      </x:c>
      <x:c r="U339" s="12"/>
      <x:c r="V339" s="12" t="str">
        <x:v>POINT_READY; POLYGON_OPEN</x:v>
      </x:c>
      <x:c r="W339" s="12" t="str">
        <x:v>https://berita.rtm.gov.my/nasional/senarai-berita-nasional/senarai-artikel/usaha-mitigasi-banjir-mbjb-kurangkan-jumlah-rumah-terjejas/</x:v>
      </x:c>
      <x:c r="X339" s="12" t="str">
        <x:v>RTM follow-up states four houses in Kampung Amin were affected in the recent flash flood.</x:v>
      </x:c>
    </x:row>
    <x:row r="340">
      <x:c r="A340" s="12" t="str">
        <x:v>FLOC-0013</x:v>
      </x:c>
      <x:c r="B340" s="12" t="str">
        <x:v>Holiday Villa Johor Bahru City Centre</x:v>
      </x:c>
      <x:c r="C340" s="12" t="str">
        <x:v>YES</x:v>
      </x:c>
      <x:c r="D340" s="12" t="n">
        <x:v>2026</x:v>
      </x:c>
      <x:c r="E340" s="12" t="str">
        <x:v>EVT-JB-2026-016</x:v>
      </x:c>
      <x:c r="F340" s="18" t="n">
        <x:v>46295</x:v>
      </x:c>
      <x:c r="G340" s="12" t="str">
        <x:v>DG-JB-20260930</x:v>
      </x:c>
      <x:c r="H340" s="12" t="str">
        <x:v>JBLOC-0015</x:v>
      </x:c>
      <x:c r="I340" s="12" t="str">
        <x:v>S2026-016</x:v>
      </x:c>
      <x:c r="J340" s="12" t="str">
        <x:v>Holiday Villa Hotel area</x:v>
      </x:c>
      <x:c r="K340" s="12" t="str">
        <x:v>Holiday Villa Johor Bahru City Centre</x:v>
      </x:c>
      <x:c r="L340" s="12" t="str">
        <x:v>FACILITY/POI</x:v>
      </x:c>
      <x:c r="M340" s="12" t="str">
        <x:v>Urban flash flood / inundation</x:v>
      </x:c>
      <x:c r="N340" s="12" t="str">
        <x:v>A/B</x:v>
      </x:c>
      <x:c r="O340" s="12" t="str">
        <x:v>SRC_R2026_MG_CITY_20260930</x:v>
      </x:c>
      <x:c r="P340" s="12"/>
      <x:c r="Q340" s="12" t="n">
        <x:v>103.76168</x:v>
      </x:c>
      <x:c r="R340" s="12" t="n">
        <x:v>1.48698</x:v>
      </x:c>
      <x:c r="S340" s="12" t="str">
        <x:v>YES</x:v>
      </x:c>
      <x:c r="T340" s="12" t="str">
        <x:v>PLOT</x:v>
      </x:c>
      <x:c r="U340" s="12"/>
      <x:c r="V340" s="12" t="str">
        <x:v>POINT_OPEN; POLYGON_OPEN</x:v>
      </x:c>
      <x:c r="W340" s="12" t="str">
        <x:v>https://malaysiagazette.com/2026/09/30/bandaraya-jb-dilanda-banjir-kilat/</x:v>
      </x:c>
      <x:c r="X340" s="12" t="str">
        <x:v>Event location from same-day media documentation; exact inundated parcel not frozen.</x:v>
      </x:c>
    </x:row>
    <x:row r="341">
      <x:c r="A341" s="12" t="str">
        <x:v>FLOC-0142</x:v>
      </x:c>
      <x:c r="B341" s="12" t="str">
        <x:v>KSL City Mall</x:v>
      </x:c>
      <x:c r="C341" s="12" t="str">
        <x:v>YES</x:v>
      </x:c>
      <x:c r="D341" s="12" t="n">
        <x:v>2026</x:v>
      </x:c>
      <x:c r="E341" s="12" t="str">
        <x:v>EVT-JB-2026-017</x:v>
      </x:c>
      <x:c r="F341" s="18" t="n">
        <x:v>46295</x:v>
      </x:c>
      <x:c r="G341" s="12" t="str">
        <x:v>DG-JB-20260930</x:v>
      </x:c>
      <x:c r="H341" s="12" t="str">
        <x:v>JBLOC-0158</x:v>
      </x:c>
      <x:c r="I341" s="12" t="str">
        <x:v>S2026-017</x:v>
      </x:c>
      <x:c r="J341" s="12" t="str">
        <x:v>KSL City Mall area</x:v>
      </x:c>
      <x:c r="K341" s="12" t="str">
        <x:v>KSL City Mall</x:v>
      </x:c>
      <x:c r="L341" s="12" t="str">
        <x:v>FACILITY/POI</x:v>
      </x:c>
      <x:c r="M341" s="12" t="str">
        <x:v>Urban flash flood / inundation</x:v>
      </x:c>
      <x:c r="N341" s="12" t="str">
        <x:v>A/B</x:v>
      </x:c>
      <x:c r="O341" s="12" t="str">
        <x:v>SRC_R2026_MG_CITY_20260930</x:v>
      </x:c>
      <x:c r="P341" s="12"/>
      <x:c r="Q341" s="12" t="n">
        <x:v>103.76228</x:v>
      </x:c>
      <x:c r="R341" s="12" t="n">
        <x:v>1.48537</x:v>
      </x:c>
      <x:c r="S341" s="12" t="str">
        <x:v>YES</x:v>
      </x:c>
      <x:c r="T341" s="12" t="str">
        <x:v>PLOT</x:v>
      </x:c>
      <x:c r="U341" s="12"/>
      <x:c r="V341" s="12" t="str">
        <x:v>POINT_OPEN; POLYGON_OPEN</x:v>
      </x:c>
      <x:c r="W341" s="12" t="str">
        <x:v>https://malaysiagazette.com/2026/09/30/bandaraya-jb-dilanda-banjir-kilat/</x:v>
      </x:c>
      <x:c r="X341" s="12" t="str">
        <x:v>Event location from same-day media documentation.</x:v>
      </x:c>
    </x:row>
    <x:row r="342">
      <x:c r="A342" s="12" t="str">
        <x:v>FLOC-0004</x:v>
      </x:c>
      <x:c r="B342" s="12" t="str">
        <x:v>Century Garden / Taman Century</x:v>
      </x:c>
      <x:c r="C342" s="12" t="str">
        <x:v>YES</x:v>
      </x:c>
      <x:c r="D342" s="12" t="n">
        <x:v>2026</x:v>
      </x:c>
      <x:c r="E342" s="12" t="str">
        <x:v>EVT-JB-2026-018</x:v>
      </x:c>
      <x:c r="F342" s="18" t="n">
        <x:v>46295</x:v>
      </x:c>
      <x:c r="G342" s="12" t="str">
        <x:v>DG-JB-20260930</x:v>
      </x:c>
      <x:c r="H342" s="12" t="str">
        <x:v>JBLOC-0006</x:v>
      </x:c>
      <x:c r="I342" s="12" t="str">
        <x:v>S2026-018</x:v>
      </x:c>
      <x:c r="J342" s="12" t="str">
        <x:v>Century Garden</x:v>
      </x:c>
      <x:c r="K342" s="12" t="str">
        <x:v>Century Garden / Taman Century</x:v>
      </x:c>
      <x:c r="L342" s="12" t="str">
        <x:v>AREA/RESIDENTIAL</x:v>
      </x:c>
      <x:c r="M342" s="12" t="str">
        <x:v>Urban flash flood / inundation</x:v>
      </x:c>
      <x:c r="N342" s="12" t="str">
        <x:v>A/B</x:v>
      </x:c>
      <x:c r="O342" s="12" t="str">
        <x:v>SRC_R2026_MG_CITY_20260930</x:v>
      </x:c>
      <x:c r="P342" s="12"/>
      <x:c r="Q342" s="12" t="n">
        <x:v>103.76237</x:v>
      </x:c>
      <x:c r="R342" s="12" t="n">
        <x:v>1.4831</x:v>
      </x:c>
      <x:c r="S342" s="12" t="str">
        <x:v>YES</x:v>
      </x:c>
      <x:c r="T342" s="12" t="str">
        <x:v>PLOT</x:v>
      </x:c>
      <x:c r="U342" s="12"/>
      <x:c r="V342" s="12" t="str">
        <x:v>IDENTITY_ALIAS_CANDIDATE; POINT/POLYGON_OPEN</x:v>
      </x:c>
      <x:c r="W342" s="12" t="str">
        <x:v>https://malaysiagazette.com/2026/09/30/bandaraya-jb-dilanda-banjir-kilat/</x:v>
      </x:c>
      <x:c r="X342" s="12" t="str">
        <x:v>Common-name relation to Taman Abad is not forced in the spatial key.</x:v>
      </x:c>
    </x:row>
    <x:row r="343">
      <x:c r="A343" s="12" t="str">
        <x:v>FLOC-0005</x:v>
      </x:c>
      <x:c r="B343" s="12" t="str">
        <x:v>Danga Bay</x:v>
      </x:c>
      <x:c r="C343" s="12" t="str">
        <x:v>YES</x:v>
      </x:c>
      <x:c r="D343" s="12" t="n">
        <x:v>2026</x:v>
      </x:c>
      <x:c r="E343" s="12" t="str">
        <x:v>EVT-JB-2026-019</x:v>
      </x:c>
      <x:c r="F343" s="18" t="n">
        <x:v>46295</x:v>
      </x:c>
      <x:c r="G343" s="12" t="str">
        <x:v>DG-JB-20260930</x:v>
      </x:c>
      <x:c r="H343" s="12" t="str">
        <x:v>JBLOC-0007</x:v>
      </x:c>
      <x:c r="I343" s="12" t="str">
        <x:v>S2026-019</x:v>
      </x:c>
      <x:c r="J343" s="12" t="str">
        <x:v>Danga Bay</x:v>
      </x:c>
      <x:c r="K343" s="12" t="str">
        <x:v>Danga Bay</x:v>
      </x:c>
      <x:c r="L343" s="12" t="str">
        <x:v>AREA/RESIDENTIAL</x:v>
      </x:c>
      <x:c r="M343" s="12" t="str">
        <x:v>Urban flash flood / inundation</x:v>
      </x:c>
      <x:c r="N343" s="12" t="str">
        <x:v>A/B</x:v>
      </x:c>
      <x:c r="O343" s="12" t="str">
        <x:v>SRC_R2026_MG_CITY_20260930</x:v>
      </x:c>
      <x:c r="P343" s="12"/>
      <x:c r="Q343" s="12" t="n">
        <x:v>103.71846</x:v>
      </x:c>
      <x:c r="R343" s="12" t="n">
        <x:v>1.48118</x:v>
      </x:c>
      <x:c r="S343" s="12" t="str">
        <x:v>YES</x:v>
      </x:c>
      <x:c r="T343" s="12" t="str">
        <x:v>PLOT</x:v>
      </x:c>
      <x:c r="U343" s="12"/>
      <x:c r="V343" s="12" t="str">
        <x:v>POINT_OPEN; POLYGON_OPEN</x:v>
      </x:c>
      <x:c r="W343" s="12" t="str">
        <x:v>https://malaysiagazette.com/2026/09/30/bandaraya-jb-dilanda-banjir-kilat/</x:v>
      </x:c>
      <x:c r="X343" s="12" t="str">
        <x:v>Event location from same-day media documentation.</x:v>
      </x:c>
    </x:row>
    <x:row r="344">
      <x:c r="A344" s="12" t="str">
        <x:v>FLOC-0124</x:v>
      </x:c>
      <x:c r="B344" s="12" t="str">
        <x:v>Kampung Ubi Baru</x:v>
      </x:c>
      <x:c r="C344" s="12" t="str">
        <x:v>YES</x:v>
      </x:c>
      <x:c r="D344" s="12" t="n">
        <x:v>2026</x:v>
      </x:c>
      <x:c r="E344" s="12" t="str">
        <x:v>EVT-JB-2026-020</x:v>
      </x:c>
      <x:c r="F344" s="18" t="n">
        <x:v>46295</x:v>
      </x:c>
      <x:c r="G344" s="12" t="str">
        <x:v>DG-JB-20260930</x:v>
      </x:c>
      <x:c r="H344" s="12" t="str">
        <x:v>JBLOC-0147</x:v>
      </x:c>
      <x:c r="I344" s="12" t="str">
        <x:v>S2026-020</x:v>
      </x:c>
      <x:c r="J344" s="12" t="str">
        <x:v>Kampung Ubi Bahru</x:v>
      </x:c>
      <x:c r="K344" s="12" t="str">
        <x:v>Kampung Ubi Baru</x:v>
      </x:c>
      <x:c r="L344" s="12" t="str">
        <x:v>COMMUNITY/AREA</x:v>
      </x:c>
      <x:c r="M344" s="12" t="str">
        <x:v>Urban flash flood / inundation</x:v>
      </x:c>
      <x:c r="N344" s="12" t="str">
        <x:v>A/B</x:v>
      </x:c>
      <x:c r="O344" s="12" t="str">
        <x:v>SRC_R2026_MG_CITY_20260930</x:v>
      </x:c>
      <x:c r="P344" s="12"/>
      <x:c r="Q344" s="12" t="n">
        <x:v>103.75707329</x:v>
      </x:c>
      <x:c r="R344" s="12" t="n">
        <x:v>1.5191611</x:v>
      </x:c>
      <x:c r="S344" s="12" t="str">
        <x:v>YES</x:v>
      </x:c>
      <x:c r="T344" s="12" t="str">
        <x:v>PLOT</x:v>
      </x:c>
      <x:c r="U344" s="12"/>
      <x:c r="V344" s="12" t="str">
        <x:v>POINT_READY; POLYGON_OPEN</x:v>
      </x:c>
      <x:c r="W344" s="12" t="str">
        <x:v>https://malaysiagazette.com/2026/09/30/bandaraya-jb-dilanda-banjir-kilat/</x:v>
      </x:c>
      <x:c r="X344" s="12" t="str">
        <x:v>Source spelling normalized to official/frozen Kampung Ubi Baru identity.</x:v>
      </x:c>
    </x:row>
    <x:row r="345">
      <x:c r="A345" s="12" t="str">
        <x:v>FLOC-0180</x:v>
      </x:c>
      <x:c r="B345" s="12" t="str">
        <x:v>Taman Kolam Air</x:v>
      </x:c>
      <x:c r="C345" s="12" t="str">
        <x:v>YES</x:v>
      </x:c>
      <x:c r="D345" s="12" t="n">
        <x:v>2026</x:v>
      </x:c>
      <x:c r="E345" s="12" t="str">
        <x:v>EVT-JB-2026-021</x:v>
      </x:c>
      <x:c r="F345" s="18" t="n">
        <x:v>46295</x:v>
      </x:c>
      <x:c r="G345" s="12" t="str">
        <x:v>DG-JB-20260930</x:v>
      </x:c>
      <x:c r="H345" s="12" t="str">
        <x:v>JBLOC-0195</x:v>
      </x:c>
      <x:c r="I345" s="12" t="str">
        <x:v>S2026-021</x:v>
      </x:c>
      <x:c r="J345" s="12" t="str">
        <x:v>Taman Kolam Air</x:v>
      </x:c>
      <x:c r="K345" s="12" t="str">
        <x:v>Taman Kolam Air</x:v>
      </x:c>
      <x:c r="L345" s="12" t="str">
        <x:v>AREA/RESIDENTIAL</x:v>
      </x:c>
      <x:c r="M345" s="12" t="str">
        <x:v>Urban flash flood / inundation</x:v>
      </x:c>
      <x:c r="N345" s="12" t="str">
        <x:v>A/B</x:v>
      </x:c>
      <x:c r="O345" s="12" t="str">
        <x:v>SRC_R2026_MG_CITY_20260930</x:v>
      </x:c>
      <x:c r="P345" s="12"/>
      <x:c r="Q345" s="12" t="n">
        <x:v>103.736444</x:v>
      </x:c>
      <x:c r="R345" s="12" t="n">
        <x:v>1.473837</x:v>
      </x:c>
      <x:c r="S345" s="12" t="str">
        <x:v>YES</x:v>
      </x:c>
      <x:c r="T345" s="12" t="str">
        <x:v>PLOT</x:v>
      </x:c>
      <x:c r="U345" s="12"/>
      <x:c r="V345" s="12" t="str">
        <x:v>POINT_OPEN; POLYGON_OPEN</x:v>
      </x:c>
      <x:c r="W345" s="12" t="str">
        <x:v>https://malaysiagazette.com/2026/09/30/bandaraya-jb-dilanda-banjir-kilat/</x:v>
      </x:c>
      <x:c r="X345" s="12" t="str">
        <x:v>Retained separately from Jalan Kolam Ayer road-context object.</x:v>
      </x:c>
    </x:row>
    <x:row r="346">
      <x:c r="A346" s="12" t="str">
        <x:v>FLOC-0151</x:v>
      </x:c>
      <x:c r="B346" s="12" t="str">
        <x:v>Maktab Sultan Abu Bakar / English College</x:v>
      </x:c>
      <x:c r="C346" s="12" t="str">
        <x:v>YES</x:v>
      </x:c>
      <x:c r="D346" s="12" t="n">
        <x:v>2026</x:v>
      </x:c>
      <x:c r="E346" s="12" t="str">
        <x:v>EVT-JB-2026-022</x:v>
      </x:c>
      <x:c r="F346" s="18" t="n">
        <x:v>46295</x:v>
      </x:c>
      <x:c r="G346" s="12" t="str">
        <x:v>DG-JB-20260930</x:v>
      </x:c>
      <x:c r="H346" s="12" t="str">
        <x:v>JBLOC-0167</x:v>
      </x:c>
      <x:c r="I346" s="12" t="str">
        <x:v>S2026-022</x:v>
      </x:c>
      <x:c r="J346" s="12" t="str">
        <x:v>Maktab Sultan Abu Bakar, Jalan Ayer Molek</x:v>
      </x:c>
      <x:c r="K346" s="12" t="str">
        <x:v>Maktab Sultan Abu Bakar / English College</x:v>
      </x:c>
      <x:c r="L346" s="12" t="str">
        <x:v>FACILITY/POI</x:v>
      </x:c>
      <x:c r="M346" s="12" t="str">
        <x:v>Urban flash flood / inundation</x:v>
      </x:c>
      <x:c r="N346" s="12" t="str">
        <x:v>A/B</x:v>
      </x:c>
      <x:c r="O346" s="12" t="str">
        <x:v>SRC_R2026_MG_CITY_20260930</x:v>
      </x:c>
      <x:c r="P346" s="12" t="str">
        <x:v>SRC_R2026_UTUSAN_20260930</x:v>
      </x:c>
      <x:c r="Q346" s="12" t="n">
        <x:v>103.73922</x:v>
      </x:c>
      <x:c r="R346" s="12" t="n">
        <x:v>1.46358</x:v>
      </x:c>
      <x:c r="S346" s="12" t="str">
        <x:v>YES</x:v>
      </x:c>
      <x:c r="T346" s="12" t="str">
        <x:v>PLOT</x:v>
      </x:c>
      <x:c r="U346" s="12"/>
      <x:c r="V346" s="12" t="str">
        <x:v>FACILITY_EVENT_VALID; POINT/POLYGON_OPEN</x:v>
      </x:c>
      <x:c r="W346" s="12" t="str">
        <x:v>https://malaysiagazette.com/2026/09/30/bandaraya-jb-dilanda-banjir-kilat/
https://www.utusan.com.my/terkini/2026/09/beberapa-kawasan-di-johor-bahru-dinaiki-air-susulan-hujan-lebat/</x:v>
      </x:c>
      <x:c r="X346" s="12" t="str">
        <x:v>Same-day photo documentation reports deep flooding at the school.</x:v>
      </x:c>
    </x:row>
    <x:row r="347">
      <x:c r="A347" s="12" t="str">
        <x:v>FLOC-0161</x:v>
      </x:c>
      <x:c r="B347" s="12" t="str">
        <x:v>Sekolah Agama Bandar Johor Bahru</x:v>
      </x:c>
      <x:c r="C347" s="12" t="str">
        <x:v>YES</x:v>
      </x:c>
      <x:c r="D347" s="12" t="n">
        <x:v>2026</x:v>
      </x:c>
      <x:c r="E347" s="12" t="str">
        <x:v>EVT-JB-2026-023</x:v>
      </x:c>
      <x:c r="F347" s="18" t="n">
        <x:v>46295</x:v>
      </x:c>
      <x:c r="G347" s="12" t="str">
        <x:v>DG-JB-20260930</x:v>
      </x:c>
      <x:c r="H347" s="12" t="str">
        <x:v>JBLOC-0177</x:v>
      </x:c>
      <x:c r="I347" s="12" t="str">
        <x:v>S2026-023</x:v>
      </x:c>
      <x:c r="J347" s="12" t="str">
        <x:v>Sekolah Agama Bandar, Jalan Yahya Awal</x:v>
      </x:c>
      <x:c r="K347" s="12" t="str">
        <x:v>Sekolah Agama Bandar Johor Bahru</x:v>
      </x:c>
      <x:c r="L347" s="12" t="str">
        <x:v>FACILITY/POI</x:v>
      </x:c>
      <x:c r="M347" s="12" t="str">
        <x:v>Urban flash flood / inundation</x:v>
      </x:c>
      <x:c r="N347" s="12" t="str">
        <x:v>A/B</x:v>
      </x:c>
      <x:c r="O347" s="12" t="str">
        <x:v>SRC_R2026_MG_CITY_20260930</x:v>
      </x:c>
      <x:c r="P347" s="12"/>
      <x:c r="Q347" s="12" t="n">
        <x:v>103.75113</x:v>
      </x:c>
      <x:c r="R347" s="12" t="n">
        <x:v>1.46787</x:v>
      </x:c>
      <x:c r="S347" s="12" t="str">
        <x:v>YES</x:v>
      </x:c>
      <x:c r="T347" s="12" t="str">
        <x:v>PLOT</x:v>
      </x:c>
      <x:c r="U347" s="12"/>
      <x:c r="V347" s="12" t="str">
        <x:v>FACILITY_EVENT_VALID; POINT/POLYGON_OPEN</x:v>
      </x:c>
      <x:c r="W347" s="12" t="str">
        <x:v>https://malaysiagazette.com/2026/09/30/bandaraya-jb-dilanda-banjir-kilat/</x:v>
      </x:c>
      <x:c r="X347" s="12" t="str">
        <x:v>Students were sent home due to flash flood; facility object retained separately from road object.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14" hidden="0" customWidth="1"/>
    <x:col min="5" max="5" width="14" hidden="0" customWidth="1"/>
    <x:col min="6" max="6" width="9" hidden="0" customWidth="1"/>
    <x:col min="7" max="7" width="42" hidden="0" customWidth="1"/>
    <x:col min="8" max="8" width="48" hidden="0" customWidth="1"/>
    <x:col min="9" max="9" width="60" hidden="0" customWidth="1"/>
  </x:cols>
  <x:sheetData>
    <x:row r="1">
      <x:c r="A1" s="6" t="str">
        <x:v>Final_Location_ID</x:v>
      </x:c>
      <x:c r="B1" s="6" t="str">
        <x:v>Final_Standardized_Location</x:v>
      </x:c>
      <x:c r="C1" s="6" t="str">
        <x:v>Dedup_Group_ID</x:v>
      </x:c>
      <x:c r="D1" s="6" t="str">
        <x:v>Episode_Start_Date</x:v>
      </x:c>
      <x:c r="E1" s="6" t="str">
        <x:v>Episode_End_Date</x:v>
      </x:c>
      <x:c r="F1" s="6" t="str">
        <x:v>Year</x:v>
      </x:c>
      <x:c r="G1" s="6" t="str">
        <x:v>Source_Event_IDs</x:v>
      </x:c>
      <x:c r="H1" s="6" t="str">
        <x:v>Source_Location_Labels</x:v>
      </x:c>
      <x:c r="I1" s="6" t="str">
        <x:v>Evidence_URLs</x:v>
      </x:c>
    </x:row>
    <x:row r="2">
      <x:c r="A2" s="12" t="str">
        <x:v>FLOC-0001</x:v>
      </x:c>
      <x:c r="B2" s="12" t="str">
        <x:v>Bangunan Lily, Hospital Sultanah Aminah</x:v>
      </x:c>
      <x:c r="C2" s="12" t="str">
        <x:v>DG-JB-20250911</x:v>
      </x:c>
      <x:c r="D2" s="18" t="n">
        <x:v>45911</x:v>
      </x:c>
      <x:c r="E2" s="18" t="n">
        <x:v>45911</x:v>
      </x:c>
      <x:c r="F2" s="12" t="n">
        <x:v>2025</x:v>
      </x:c>
      <x:c r="G2" s="12" t="str">
        <x:v>EVT-JB-2025-037</x:v>
      </x:c>
      <x:c r="H2" s="12" t="str">
        <x:v>Bangunan Lily, Hospital Sultanah Aminah</x:v>
      </x:c>
      <x:c r="I2" s="12" t="str">
        <x:v>https://bernama.com/bm/news.php?id=2466592
https://www.sinarharian.com.my/article/747616/edisi/johor/banjir-kilat-landa-bangunan-lili-hospital-sultanah-aminah</x:v>
      </x:c>
    </x:row>
    <x:row r="3">
      <x:c r="A3" s="12" t="str">
        <x:v>FLOC-0002</x:v>
      </x:c>
      <x:c r="B3" s="12" t="str">
        <x:v>Batu 10, Sungai Tiram context</x:v>
      </x:c>
      <x:c r="C3" s="12" t="str">
        <x:v>DG-JB-20240104-20240113</x:v>
      </x:c>
      <x:c r="D3" s="18" t="n">
        <x:v>45298</x:v>
      </x:c>
      <x:c r="E3" s="18" t="n">
        <x:v>45298</x:v>
      </x:c>
      <x:c r="F3" s="12" t="n">
        <x:v>2024</x:v>
      </x:c>
      <x:c r="G3" s="12" t="str">
        <x:v>EVT-JB-2024-004</x:v>
      </x:c>
      <x:c r="H3" s="12" t="str">
        <x:v>Batu 10</x:v>
      </x:c>
      <x:c r="I3" s="12" t="str">
        <x:v>https://bernama.com/bm/news.php?id=2260257</x:v>
      </x:c>
    </x:row>
    <x:row r="4">
      <x:c r="A4" s="12" t="str">
        <x:v>FLOC-0003</x:v>
      </x:c>
      <x:c r="B4" s="12" t="str">
        <x:v>Batu 20, Jalan Sungai Tiram</x:v>
      </x:c>
      <x:c r="C4" s="12" t="str">
        <x:v>DG-JB-20191215</x:v>
      </x:c>
      <x:c r="D4" s="18" t="n">
        <x:v>43814</x:v>
      </x:c>
      <x:c r="E4" s="18" t="n">
        <x:v>43814</x:v>
      </x:c>
      <x:c r="F4" s="12" t="n">
        <x:v>2019</x:v>
      </x:c>
      <x:c r="G4" s="12" t="str">
        <x:v>EVT-JB-20191215-JALAN-BATU-20</x:v>
      </x:c>
      <x:c r="H4" s="12" t="str">
        <x:v>Jalan Batu 20</x:v>
      </x:c>
      <x:c r="I4" s="12" t="str">
        <x:v>https://www.scribd.com/document/975564939/JPS2019</x:v>
      </x:c>
    </x:row>
    <x:row r="5">
      <x:c r="A5" s="12" t="str">
        <x:v>FLOC-0003</x:v>
      </x:c>
      <x:c r="B5" s="12" t="str">
        <x:v>Batu 20, Jalan Sungai Tiram</x:v>
      </x:c>
      <x:c r="C5" s="12" t="str">
        <x:v>DG-JB-20210110</x:v>
      </x:c>
      <x:c r="D5" s="18" t="n">
        <x:v>44206</x:v>
      </x:c>
      <x:c r="E5" s="18" t="n">
        <x:v>44206</x:v>
      </x:c>
      <x:c r="F5" s="12" t="n">
        <x:v>2021</x:v>
      </x:c>
      <x:c r="G5" s="12" t="str">
        <x:v>EVT-JB-2021-015</x:v>
      </x:c>
      <x:c r="H5" s="12" t="str">
        <x:v>Batu 20 Sungai Tiram</x:v>
      </x:c>
      <x:c r="I5" s="12" t="str">
        <x:v>https://www.kosmo.com.my/2021/01/10/johor-bahru-kota-tinggi-kembali-dilanda-banjir/</x:v>
      </x:c>
    </x:row>
    <x:row r="6">
      <x:c r="A6" s="12" t="str">
        <x:v>FLOC-0003</x:v>
      </x:c>
      <x:c r="B6" s="12" t="str">
        <x:v>Batu 20, Jalan Sungai Tiram</x:v>
      </x:c>
      <x:c r="C6" s="12" t="str">
        <x:v>DG-JB-20240104-20240113</x:v>
      </x:c>
      <x:c r="D6" s="18" t="n">
        <x:v>45298</x:v>
      </x:c>
      <x:c r="E6" s="18" t="n">
        <x:v>45298</x:v>
      </x:c>
      <x:c r="F6" s="12" t="n">
        <x:v>2024</x:v>
      </x:c>
      <x:c r="G6" s="12" t="str">
        <x:v>EVT-JB-2024-008</x:v>
      </x:c>
      <x:c r="H6" s="12" t="str">
        <x:v>Kampung Batu 20</x:v>
      </x:c>
      <x:c r="I6" s="12" t="str">
        <x:v>https://bernama.com/bm/news.php?id=2260348</x:v>
      </x:c>
    </x:row>
    <x:row r="7">
      <x:c r="A7" s="12" t="str">
        <x:v>FLOC-0004</x:v>
      </x:c>
      <x:c r="B7" s="12" t="str">
        <x:v>Century Garden / Taman Century</x:v>
      </x:c>
      <x:c r="C7" s="12" t="str">
        <x:v>DG-JB-20260930</x:v>
      </x:c>
      <x:c r="D7" s="18" t="n">
        <x:v>46295</x:v>
      </x:c>
      <x:c r="E7" s="18" t="n">
        <x:v>46295</x:v>
      </x:c>
      <x:c r="F7" s="12" t="n">
        <x:v>2026</x:v>
      </x:c>
      <x:c r="G7" s="12" t="str">
        <x:v>EVT-JB-2026-018</x:v>
      </x:c>
      <x:c r="H7" s="12" t="str">
        <x:v>Century Garden</x:v>
      </x:c>
      <x:c r="I7" s="12" t="str">
        <x:v>https://malaysiagazette.com/2026/09/30/bandaraya-jb-dilanda-banjir-kilat/</x:v>
      </x:c>
    </x:row>
    <x:row r="8">
      <x:c r="A8" s="12" t="str">
        <x:v>FLOC-0005</x:v>
      </x:c>
      <x:c r="B8" s="12" t="str">
        <x:v>Danga Bay</x:v>
      </x:c>
      <x:c r="C8" s="12" t="str">
        <x:v>DG-JB-20260930</x:v>
      </x:c>
      <x:c r="D8" s="18" t="n">
        <x:v>46295</x:v>
      </x:c>
      <x:c r="E8" s="18" t="n">
        <x:v>46295</x:v>
      </x:c>
      <x:c r="F8" s="12" t="n">
        <x:v>2026</x:v>
      </x:c>
      <x:c r="G8" s="12" t="str">
        <x:v>EVT-JB-2026-019</x:v>
      </x:c>
      <x:c r="H8" s="12" t="str">
        <x:v>Danga Bay</x:v>
      </x:c>
      <x:c r="I8" s="12" t="str">
        <x:v>https://malaysiagazette.com/2026/09/30/bandaraya-jb-dilanda-banjir-kilat/</x:v>
      </x:c>
    </x:row>
    <x:row r="9">
      <x:c r="A9" s="12" t="str">
        <x:v>FLOC-0006</x:v>
      </x:c>
      <x:c r="B9" s="12" t="str">
        <x:v>Dataran Bandaraya Johor Bahru</x:v>
      </x:c>
      <x:c r="C9" s="12" t="str">
        <x:v>DG-JB-20231206</x:v>
      </x:c>
      <x:c r="D9" s="18" t="n">
        <x:v>45266</x:v>
      </x:c>
      <x:c r="E9" s="18" t="n">
        <x:v>45266</x:v>
      </x:c>
      <x:c r="F9" s="12" t="n">
        <x:v>2023</x:v>
      </x:c>
      <x:c r="G9" s="12" t="str">
        <x:v>EVT-JB-2023-024</x:v>
      </x:c>
      <x:c r="H9" s="12" t="str">
        <x:v>Dataran Bandaraya Johor Bahru</x:v>
      </x:c>
      <x:c r="I9" s="12" t="str">
        <x:v>https://www.freemalaysiatoday.com/category/bahasa/tempatan/2023/12/06/banjir-kilat-landa-25-kawasan-di-jb
https://mediadigitaljohor.gov.my/banjir-kilat-mbjb-laksana-tindakan-proaktif/</x:v>
      </x:c>
    </x:row>
    <x:row r="10">
      <x:c r="A10" s="12" t="str">
        <x:v>FLOC-0007</x:v>
      </x:c>
      <x:c r="B10" s="12" t="str">
        <x:v>FELDA / Kampung Cahaya Baru</x:v>
      </x:c>
      <x:c r="C10" s="12" t="str">
        <x:v>DG-JB-20230228-20230301</x:v>
      </x:c>
      <x:c r="D10" s="18" t="n">
        <x:v>44986</x:v>
      </x:c>
      <x:c r="E10" s="18" t="n">
        <x:v>44986</x:v>
      </x:c>
      <x:c r="F10" s="12" t="n">
        <x:v>2023</x:v>
      </x:c>
      <x:c r="G10" s="12" t="str">
        <x:v>EVT-JB-2023-006</x:v>
      </x:c>
      <x:c r="H10" s="12" t="str">
        <x:v>Kampung Cahaya Baru Masai</x:v>
      </x:c>
      <x:c r="I10" s="12" t="str">
        <x:v>https://www.kosmo.com.my/2023/03/01/banjir-johor-1591-mangsa-dipindahkan-di-21-pps/
https://mediadigitaljohor.gov.my/en/mangsa-banjir-4-daerah-dipindahkan-ke-pps/</x:v>
      </x:c>
    </x:row>
    <x:row r="11">
      <x:c r="A11" s="12" t="str">
        <x:v>FLOC-0008</x:v>
      </x:c>
      <x:c r="B11" s="12" t="str">
        <x:v>FT003 Jalan Johor Bahru–Kota Tinggi Sec 9.1–10.0</x:v>
      </x:c>
      <x:c r="C11" s="12" t="str">
        <x:v>DG-JB-20250319-20250324</x:v>
      </x:c>
      <x:c r="D11" s="18" t="n">
        <x:v>45736</x:v>
      </x:c>
      <x:c r="E11" s="18" t="n">
        <x:v>45736</x:v>
      </x:c>
      <x:c r="F11" s="12" t="n">
        <x:v>2025</x:v>
      </x:c>
      <x:c r="G11" s="12" t="str">
        <x:v>EVT-JB-2025-029</x:v>
      </x:c>
      <x:c r="H11" s="12" t="str">
        <x:v>FT003 Jalan Johor Bahru–Kota Tinggi, Sec 9.1–10.0 (Pasar Borong Pandan)</x:v>
      </x:c>
      <x:c r="I11" s="12" t="str">
        <x:v>https://www.nadma.gov.my/images/2025/SITREP/SITREP_19_-_22_Mac_2025.pdf</x:v>
      </x:c>
    </x:row>
    <x:row r="12">
      <x:c r="A12" s="12" t="str">
        <x:v>FLOC-0009</x:v>
      </x:c>
      <x:c r="B12" s="12" t="str">
        <x:v>FT003 Johor Bahru–Endau Sec 21.0–21.8</x:v>
      </x:c>
      <x:c r="C12" s="12" t="str">
        <x:v>DG-JB-20250319-20250324</x:v>
      </x:c>
      <x:c r="D12" s="18" t="n">
        <x:v>45736</x:v>
      </x:c>
      <x:c r="E12" s="18" t="n">
        <x:v>45736</x:v>
      </x:c>
      <x:c r="F12" s="12" t="n">
        <x:v>2025</x:v>
      </x:c>
      <x:c r="G12" s="12" t="str">
        <x:v>EVT-JB-2025-028</x:v>
      </x:c>
      <x:c r="H12" s="12" t="str">
        <x:v>FT003 Johor Bahru–Endau, Sec 21.0–21.8 (PS Tebrau)</x:v>
      </x:c>
      <x:c r="I12" s="12" t="str">
        <x:v>https://www.nadma.gov.my/images/2025/SITREP/SITREP_19_-_22_Mac_2025.pdf</x:v>
      </x:c>
    </x:row>
    <x:row r="13">
      <x:c r="A13" s="12" t="str">
        <x:v>FLOC-0010</x:v>
      </x:c>
      <x:c r="B13" s="12" t="str">
        <x:v>FT01 Jalan Johor Bahru–Senai Sec 19.6–20.0</x:v>
      </x:c>
      <x:c r="C13" s="12" t="str">
        <x:v>DG-JB-20250319-20250324</x:v>
      </x:c>
      <x:c r="D13" s="18" t="n">
        <x:v>45736</x:v>
      </x:c>
      <x:c r="E13" s="18" t="n">
        <x:v>45736</x:v>
      </x:c>
      <x:c r="F13" s="12" t="n">
        <x:v>2025</x:v>
      </x:c>
      <x:c r="G13" s="12" t="str">
        <x:v>EVT-JB-2025-030</x:v>
      </x:c>
      <x:c r="H13" s="12" t="str">
        <x:v>FT01 Jalan Johor Bahru–Senai, Sec 19.6–20.0 (U-turn MBIP / Pintu Masuk UTM)</x:v>
      </x:c>
      <x:c r="I13" s="12" t="str">
        <x:v>https://www.nadma.gov.my/images/2025/SITREP/SITREP_19_-_22_Mac_2025.pdf</x:v>
      </x:c>
    </x:row>
    <x:row r="14">
      <x:c r="A14" s="12" t="str">
        <x:v>FLOC-0011</x:v>
      </x:c>
      <x:c r="B14" s="12" t="str">
        <x:v>FT017 Lebuhraya Pasir Gudang Sec 10.20–10.70</x:v>
      </x:c>
      <x:c r="C14" s="12" t="str">
        <x:v>DG-JB-20250319-20250324</x:v>
      </x:c>
      <x:c r="D14" s="18" t="n">
        <x:v>45736</x:v>
      </x:c>
      <x:c r="E14" s="18" t="n">
        <x:v>45736</x:v>
      </x:c>
      <x:c r="F14" s="12" t="n">
        <x:v>2025</x:v>
      </x:c>
      <x:c r="G14" s="12" t="str">
        <x:v>EVT-JB-2025-031</x:v>
      </x:c>
      <x:c r="H14" s="12" t="str">
        <x:v>FT017 Lebuhraya Pasir Gudang, Sec 10.20–10.70</x:v>
      </x:c>
      <x:c r="I14" s="12" t="str">
        <x:v>https://www.nadma.gov.my/images/2025/SITREP/SITREP_19_-_22_Mac_2025.pdf</x:v>
      </x:c>
    </x:row>
    <x:row r="15">
      <x:c r="A15" s="12" t="str">
        <x:v>FLOC-0012</x:v>
      </x:c>
      <x:c r="B15" s="12" t="str">
        <x:v>FT017 Lebuhraya Pasir Gudang Sec 21.0–21.3</x:v>
      </x:c>
      <x:c r="C15" s="12" t="str">
        <x:v>DG-JB-20250319-20250324</x:v>
      </x:c>
      <x:c r="D15" s="18" t="n">
        <x:v>45736</x:v>
      </x:c>
      <x:c r="E15" s="18" t="n">
        <x:v>45736</x:v>
      </x:c>
      <x:c r="F15" s="12" t="n">
        <x:v>2025</x:v>
      </x:c>
      <x:c r="G15" s="12" t="str">
        <x:v>EVT-JB-2025-032</x:v>
      </x:c>
      <x:c r="H15" s="12" t="str">
        <x:v>FT017 Lebuhraya Pasir Gudang, Sec 21.0–21.3 (Bawah Jambatan Seri Alam)</x:v>
      </x:c>
      <x:c r="I15" s="12" t="str">
        <x:v>https://www.nadma.gov.my/images/2025/SITREP/SITREP_19_-_22_Mac_2025.pdf</x:v>
      </x:c>
    </x:row>
    <x:row r="16">
      <x:c r="A16" s="12" t="str">
        <x:v>FLOC-0013</x:v>
      </x:c>
      <x:c r="B16" s="12" t="str">
        <x:v>Holiday Villa Johor Bahru City Centre</x:v>
      </x:c>
      <x:c r="C16" s="12" t="str">
        <x:v>DG-JB-20260930</x:v>
      </x:c>
      <x:c r="D16" s="18" t="n">
        <x:v>46295</x:v>
      </x:c>
      <x:c r="E16" s="18" t="n">
        <x:v>46295</x:v>
      </x:c>
      <x:c r="F16" s="12" t="n">
        <x:v>2026</x:v>
      </x:c>
      <x:c r="G16" s="12" t="str">
        <x:v>EVT-JB-2026-016</x:v>
      </x:c>
      <x:c r="H16" s="12" t="str">
        <x:v>Holiday Villa Hotel area</x:v>
      </x:c>
      <x:c r="I16" s="12" t="str">
        <x:v>https://malaysiagazette.com/2026/09/30/bandaraya-jb-dilanda-banjir-kilat/</x:v>
      </x:c>
    </x:row>
    <x:row r="17">
      <x:c r="A17" s="12" t="str">
        <x:v>FLOC-0014</x:v>
      </x:c>
      <x:c r="B17" s="12" t="str">
        <x:v>Hospital Sultanah Aminah</x:v>
      </x:c>
      <x:c r="C17" s="12" t="str">
        <x:v>DG-JB-20161025</x:v>
      </x:c>
      <x:c r="D17" s="18" t="n">
        <x:v>42668</x:v>
      </x:c>
      <x:c r="E17" s="18" t="n">
        <x:v>42668</x:v>
      </x:c>
      <x:c r="F17" s="12" t="n">
        <x:v>2016</x:v>
      </x:c>
      <x:c r="G17" s="12" t="str">
        <x:v>EVT-JB-20161025-HSA</x:v>
      </x:c>
      <x:c r="H17" s="12" t="str">
        <x:v>Around Hospital Sultanah Aminah, Johor Bahru; flooding caused power outages and complicated patient evacuation.</x:v>
      </x:c>
      <x:c r="I17" s="12" t="str">
        <x:v>https://www.freemalaysiatoday.com/category/nation/2016/10/25/flash-floods-force-sultanah-aminah-hospital-evacuations</x:v>
      </x:c>
    </x:row>
    <x:row r="18">
      <x:c r="A18" s="12" t="str">
        <x:v>FLOC-0014</x:v>
      </x:c>
      <x:c r="B18" s="12" t="str">
        <x:v>Hospital Sultanah Aminah</x:v>
      </x:c>
      <x:c r="C18" s="12" t="str">
        <x:v>DG-JB-20161114</x:v>
      </x:c>
      <x:c r="D18" s="18" t="n">
        <x:v>42688</x:v>
      </x:c>
      <x:c r="E18" s="18" t="n">
        <x:v>42688</x:v>
      </x:c>
      <x:c r="F18" s="12" t="n">
        <x:v>2016</x:v>
      </x:c>
      <x:c r="G18" s="12" t="str">
        <x:v>EVT-JB-20161114-HSA-ENTRANCE</x:v>
      </x:c>
      <x:c r="H18" s="12" t="str">
        <x:v>Entrance to Hospital Sultanah Aminah along Jalan Skudai, Johor Bahru.</x:v>
      </x:c>
      <x:c r="I18" s="12" t="str">
        <x:v>https://www.mstar.com.my/lokal/semasa/2016/11/14/banjir-jb</x:v>
      </x:c>
    </x:row>
    <x:row r="19">
      <x:c r="A19" s="12" t="str">
        <x:v>FLOC-0014</x:v>
      </x:c>
      <x:c r="B19" s="12" t="str">
        <x:v>Hospital Sultanah Aminah</x:v>
      </x:c>
      <x:c r="C19" s="12" t="str">
        <x:v>DG-JB-20220802</x:v>
      </x:c>
      <x:c r="D19" s="18" t="n">
        <x:v>44775</x:v>
      </x:c>
      <x:c r="E19" s="18" t="n">
        <x:v>44775</x:v>
      </x:c>
      <x:c r="F19" s="12" t="n">
        <x:v>2022</x:v>
      </x:c>
      <x:c r="G19" s="12" t="str">
        <x:v>EVT-JB-2022-011</x:v>
      </x:c>
      <x:c r="H19" s="12" t="str">
        <x:v>Hospital Sultanah Aminah</x:v>
      </x:c>
      <x:c r="I19" s="12" t="str">
        <x:v>https://www.bernama.com/bm/news.php?id=2106629</x:v>
      </x:c>
    </x:row>
    <x:row r="20">
      <x:c r="A20" s="12" t="str">
        <x:v>FLOC-0015</x:v>
      </x:c>
      <x:c r="B20" s="12" t="str">
        <x:v>Hutan Bandar MBJB</x:v>
      </x:c>
      <x:c r="C20" s="12" t="str">
        <x:v>DG-JB-20231206</x:v>
      </x:c>
      <x:c r="D20" s="18" t="n">
        <x:v>45266</x:v>
      </x:c>
      <x:c r="E20" s="18" t="n">
        <x:v>45266</x:v>
      </x:c>
      <x:c r="F20" s="12" t="n">
        <x:v>2023</x:v>
      </x:c>
      <x:c r="G20" s="12" t="str">
        <x:v>EVT-JB-2023-042</x:v>
      </x:c>
      <x:c r="H20" s="12" t="str">
        <x:v>Hutan Bandar Johor Bahru</x:v>
      </x:c>
      <x:c r="I20" s="12" t="str">
        <x:v>https://mediadigitaljohor.gov.my/banjir-kilat-mbjb-laksana-tindakan-proaktif/</x:v>
      </x:c>
    </x:row>
    <x:row r="21">
      <x:c r="A21" s="12" t="str">
        <x:v>FLOC-0016</x:v>
      </x:c>
      <x:c r="B21" s="12" t="str">
        <x:v>J105 Jalan Maju Jaya–Seelong Sec 5.0–5.5</x:v>
      </x:c>
      <x:c r="C21" s="12" t="str">
        <x:v>DG-JB-20250319-20250324</x:v>
      </x:c>
      <x:c r="D21" s="18" t="n">
        <x:v>45736</x:v>
      </x:c>
      <x:c r="E21" s="18" t="n">
        <x:v>45736</x:v>
      </x:c>
      <x:c r="F21" s="12" t="n">
        <x:v>2025</x:v>
      </x:c>
      <x:c r="G21" s="12" t="str">
        <x:v>EVT-JB-2025-033</x:v>
      </x:c>
      <x:c r="H21" s="12" t="str">
        <x:v>J105 Jalan Maju Jaya–Seelong, Sec 5.0–5.5 (Shell Tiong Nam)</x:v>
      </x:c>
      <x:c r="I21" s="12" t="str">
        <x:v>https://www.nadma.gov.my/images/2025/SITREP/SITREP_19_-_22_Mac_2025.pdf</x:v>
      </x:c>
    </x:row>
    <x:row r="22">
      <x:c r="A22" s="12" t="str">
        <x:v>FLOC-0017</x:v>
      </x:c>
      <x:c r="B22" s="12" t="str">
        <x:v>J105 Jalan Maju Jaya–Seelong Sec 7.0–7.5</x:v>
      </x:c>
      <x:c r="C22" s="12" t="str">
        <x:v>DG-JB-20250319-20250324</x:v>
      </x:c>
      <x:c r="D22" s="18" t="n">
        <x:v>45736</x:v>
      </x:c>
      <x:c r="E22" s="18" t="n">
        <x:v>45736</x:v>
      </x:c>
      <x:c r="F22" s="12" t="n">
        <x:v>2025</x:v>
      </x:c>
      <x:c r="G22" s="12" t="str">
        <x:v>EVT-JB-2025-034</x:v>
      </x:c>
      <x:c r="H22" s="12" t="str">
        <x:v>J105 Jalan Maju Jaya–Seelong, Sec 7.0–7.5 (Madrasah Tahfiz/Tok Wan Catering)</x:v>
      </x:c>
      <x:c r="I22" s="12" t="str">
        <x:v>https://www.nadma.gov.my/images/2025/SITREP/SITREP_19_-_22_Mac_2025.pdf</x:v>
      </x:c>
    </x:row>
    <x:row r="23">
      <x:c r="A23" s="12" t="str">
        <x:v>FLOC-0018</x:v>
      </x:c>
      <x:c r="B23" s="12" t="str">
        <x:v>J46 Jalan Ulu Pulai Sec 2.0–2.3</x:v>
      </x:c>
      <x:c r="C23" s="12" t="str">
        <x:v>DG-JB-20250319-20250324</x:v>
      </x:c>
      <x:c r="D23" s="18" t="n">
        <x:v>45737</x:v>
      </x:c>
      <x:c r="E23" s="18" t="n">
        <x:v>45737</x:v>
      </x:c>
      <x:c r="F23" s="12" t="n">
        <x:v>2025</x:v>
      </x:c>
      <x:c r="G23" s="12" t="str">
        <x:v>EVT-JB-2025-035</x:v>
      </x:c>
      <x:c r="H23" s="12" t="str">
        <x:v>J46 Jalan Ulu Pulai, Sec 2.0–2.3 (Warung Abah/Gerai Durian)</x:v>
      </x:c>
      <x:c r="I23" s="12" t="str">
        <x:v>https://www.nadma.gov.my/images/2025/SITREP/SITREP_19_-_22_Mac_2025.pdf</x:v>
      </x:c>
    </x:row>
    <x:row r="24">
      <x:c r="A24" s="12" t="str">
        <x:v>FLOC-0019</x:v>
      </x:c>
      <x:c r="B24" s="12" t="str">
        <x:v>Jalan Ayer Molek</x:v>
      </x:c>
      <x:c r="C24" s="12" t="str">
        <x:v>DG-JB-20220802</x:v>
      </x:c>
      <x:c r="D24" s="18" t="n">
        <x:v>44775</x:v>
      </x:c>
      <x:c r="E24" s="18" t="n">
        <x:v>44775</x:v>
      </x:c>
      <x:c r="F24" s="12" t="n">
        <x:v>2022</x:v>
      </x:c>
      <x:c r="G24" s="12" t="str">
        <x:v>EVT-JB-2022-006</x:v>
      </x:c>
      <x:c r="H24" s="12" t="str">
        <x:v>Jalan Ayer Molek</x:v>
      </x:c>
      <x:c r="I24" s="12" t="str">
        <x:v>https://www.bernama.com/bm/news.php?id=2106629
https://www.malaymail.com/news/malaysia/2022/08/02/parts-of-johor-baru-hit-by-flash-floods-video/20634</x:v>
      </x:c>
    </x:row>
    <x:row r="25">
      <x:c r="A25" s="12" t="str">
        <x:v>FLOC-0019</x:v>
      </x:c>
      <x:c r="B25" s="12" t="str">
        <x:v>Jalan Ayer Molek</x:v>
      </x:c>
      <x:c r="C25" s="12" t="str">
        <x:v>DG-JB-20231206</x:v>
      </x:c>
      <x:c r="D25" s="18" t="n">
        <x:v>45266</x:v>
      </x:c>
      <x:c r="E25" s="18" t="n">
        <x:v>45266</x:v>
      </x:c>
      <x:c r="F25" s="12" t="n">
        <x:v>2023</x:v>
      </x:c>
      <x:c r="G25" s="12" t="str">
        <x:v>EVT-JB-2023-026</x:v>
      </x:c>
      <x:c r="H25" s="12" t="str">
        <x:v>Jalan Ayer Molek</x:v>
      </x:c>
      <x:c r="I25" s="12" t="str">
        <x:v>https://www.freemalaysiatoday.com/category/bahasa/tempatan/2023/12/06/banjir-kilat-landa-25-kawasan-di-jb
https://mediadigitaljohor.gov.my/banjir-kilat-mbjb-laksana-tindakan-proaktif/</x:v>
      </x:c>
    </x:row>
    <x:row r="26">
      <x:c r="A26" s="12" t="str">
        <x:v>FLOC-0019</x:v>
      </x:c>
      <x:c r="B26" s="12" t="str">
        <x:v>Jalan Ayer Molek</x:v>
      </x:c>
      <x:c r="C26" s="12" t="str">
        <x:v>DG-JB-20260930</x:v>
      </x:c>
      <x:c r="D26" s="18" t="n">
        <x:v>46295</x:v>
      </x:c>
      <x:c r="E26" s="18" t="n">
        <x:v>46295</x:v>
      </x:c>
      <x:c r="F26" s="12" t="n">
        <x:v>2026</x:v>
      </x:c>
      <x:c r="G26" s="12" t="str">
        <x:v>EVT-JB-2026-002</x:v>
      </x:c>
      <x:c r="H26" s="12" t="str">
        <x:v>Jalan Ayer Molek</x:v>
      </x:c>
      <x:c r="I26" s="12" t="str">
        <x:v>https://www.sinarharian.com.my/article/798490/edisi/johor/banjir-kilat-landa-johor-bahru-trafik-sesak
https://www.utusan.com.my/terkini/2026/09/beberapa-kawasan-di-johor-bahru-dinaiki-air-susulan-hujan-lebat/</x:v>
      </x:c>
    </x:row>
    <x:row r="27">
      <x:c r="A27" s="12" t="str">
        <x:v>FLOC-0020</x:v>
      </x:c>
      <x:c r="B27" s="12" t="str">
        <x:v>Jalan Bilal Mahmood</x:v>
      </x:c>
      <x:c r="C27" s="12" t="str">
        <x:v>DG-JB-20231206</x:v>
      </x:c>
      <x:c r="D27" s="18" t="n">
        <x:v>45266</x:v>
      </x:c>
      <x:c r="E27" s="18" t="n">
        <x:v>45266</x:v>
      </x:c>
      <x:c r="F27" s="12" t="n">
        <x:v>2023</x:v>
      </x:c>
      <x:c r="G27" s="12" t="str">
        <x:v>EVT-JB-2023-027</x:v>
      </x:c>
      <x:c r="H27" s="12" t="str">
        <x:v>Jalan Bilal Mahmood</x:v>
      </x:c>
      <x:c r="I27" s="12" t="str">
        <x:v>https://www.freemalaysiatoday.com/category/bahasa/tempatan/2023/12/06/banjir-kilat-landa-25-kawasan-di-jb</x:v>
      </x:c>
    </x:row>
    <x:row r="28">
      <x:c r="A28" s="12" t="str">
        <x:v>FLOC-0021</x:v>
      </x:c>
      <x:c r="B28" s="12" t="str">
        <x:v>Jalan Bukit Dagang</x:v>
      </x:c>
      <x:c r="C28" s="12" t="str">
        <x:v>DG-JB-20191215</x:v>
      </x:c>
      <x:c r="D28" s="18" t="n">
        <x:v>43814</x:v>
      </x:c>
      <x:c r="E28" s="18" t="n">
        <x:v>43814</x:v>
      </x:c>
      <x:c r="F28" s="12" t="n">
        <x:v>2019</x:v>
      </x:c>
      <x:c r="G28" s="12" t="str">
        <x:v>EVT-JB-20191215-JALAN-BUKIT-DAGANG</x:v>
      </x:c>
      <x:c r="H28" s="12" t="str">
        <x:v>Jalan Bukit Dagang</x:v>
      </x:c>
      <x:c r="I28" s="12" t="str">
        <x:v>https://www.scribd.com/document/975564939/JPS2019</x:v>
      </x:c>
    </x:row>
    <x:row r="29">
      <x:c r="A29" s="12" t="str">
        <x:v>FLOC-0022</x:v>
      </x:c>
      <x:c r="B29" s="12" t="str">
        <x:v>Jalan Datin Halimah / Taman Merdeka vicinity</x:v>
      </x:c>
      <x:c r="C29" s="12" t="str">
        <x:v>DG-JB-20231214</x:v>
      </x:c>
      <x:c r="D29" s="18" t="n">
        <x:v>45274</x:v>
      </x:c>
      <x:c r="E29" s="18" t="n">
        <x:v>45274</x:v>
      </x:c>
      <x:c r="F29" s="12" t="n">
        <x:v>2023</x:v>
      </x:c>
      <x:c r="G29" s="12" t="str">
        <x:v>EVT-JB-2023-059</x:v>
      </x:c>
      <x:c r="H29" s="12" t="str">
        <x:v>Jalan Datin Halimah near Taman Merdeka</x:v>
      </x:c>
      <x:c r="I29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</x:row>
    <x:row r="30">
      <x:c r="A30" s="12" t="str">
        <x:v>FLOC-0023</x:v>
      </x:c>
      <x:c r="B30" s="12" t="str">
        <x:v>Jalan Dato Sulaiman</x:v>
      </x:c>
      <x:c r="C30" s="12" t="str">
        <x:v>DG-JB-20181010</x:v>
      </x:c>
      <x:c r="D30" s="18" t="n">
        <x:v>43383</x:v>
      </x:c>
      <x:c r="E30" s="18" t="n">
        <x:v>43383</x:v>
      </x:c>
      <x:c r="F30" s="12" t="n">
        <x:v>2018</x:v>
      </x:c>
      <x:c r="G30" s="12" t="str">
        <x:v>EVT-JB-20181010-JALAN-DATO-SULAIMAN-JOHOR-BAHRU</x:v>
      </x:c>
      <x:c r="H30" s="12" t="str">
        <x:v>Jalan Dato' Sulaiman, Johor Bahru</x:v>
      </x:c>
      <x:c r="I30" s="12" t="str">
        <x:v>https://bangi.pulasan.my/_media/lampiran/lbt2018_2019.pdf</x:v>
      </x:c>
    </x:row>
    <x:row r="31">
      <x:c r="A31" s="12" t="str">
        <x:v>FLOC-0023</x:v>
      </x:c>
      <x:c r="B31" s="12" t="str">
        <x:v>Jalan Dato Sulaiman</x:v>
      </x:c>
      <x:c r="C31" s="12" t="str">
        <x:v>DG-JB-20231206</x:v>
      </x:c>
      <x:c r="D31" s="18" t="n">
        <x:v>45266</x:v>
      </x:c>
      <x:c r="E31" s="18" t="n">
        <x:v>45266</x:v>
      </x:c>
      <x:c r="F31" s="12" t="n">
        <x:v>2023</x:v>
      </x:c>
      <x:c r="G31" s="12" t="str">
        <x:v>EVT-JB-2023-028</x:v>
      </x:c>
      <x:c r="H31" s="12" t="str">
        <x:v>Jalan Dato Sulaiman</x:v>
      </x:c>
      <x:c r="I31" s="12" t="str">
        <x:v>https://www.freemalaysiatoday.com/category/bahasa/tempatan/2023/12/06/banjir-kilat-landa-25-kawasan-di-jb
https://mediadigitaljohor.gov.my/banjir-kilat-mbjb-laksana-tindakan-proaktif/</x:v>
      </x:c>
    </x:row>
    <x:row r="32">
      <x:c r="A32" s="12" t="str">
        <x:v>FLOC-0023</x:v>
      </x:c>
      <x:c r="B32" s="12" t="str">
        <x:v>Jalan Dato Sulaiman</x:v>
      </x:c>
      <x:c r="C32" s="12" t="str">
        <x:v>DG-JB-20231214</x:v>
      </x:c>
      <x:c r="D32" s="18" t="n">
        <x:v>45274</x:v>
      </x:c>
      <x:c r="E32" s="18" t="n">
        <x:v>45274</x:v>
      </x:c>
      <x:c r="F32" s="12" t="n">
        <x:v>2023</x:v>
      </x:c>
      <x:c r="G32" s="12" t="str">
        <x:v>EVT-JB-2023-057</x:v>
      </x:c>
      <x:c r="H32" s="12" t="str">
        <x:v>Jalan Dato Sulaiman</x:v>
      </x:c>
      <x:c r="I32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</x:row>
    <x:row r="33">
      <x:c r="A33" s="12" t="str">
        <x:v>FLOC-0024</x:v>
      </x:c>
      <x:c r="B33" s="12" t="str">
        <x:v>Jalan Denai Utama, Kempas</x:v>
      </x:c>
      <x:c r="C33" s="12" t="str">
        <x:v>DG-JB-20180419</x:v>
      </x:c>
      <x:c r="D33" s="18" t="n">
        <x:v>43209</x:v>
      </x:c>
      <x:c r="E33" s="18" t="n">
        <x:v>43209</x:v>
      </x:c>
      <x:c r="F33" s="12" t="n">
        <x:v>2018</x:v>
      </x:c>
      <x:c r="G33" s="12" t="str">
        <x:v>EVT-JB-20180419-JALAN-DENAI-UTAMA-KEMPAS</x:v>
      </x:c>
      <x:c r="H33" s="12" t="str">
        <x:v>Jalan Denai Utama, Kempas</x:v>
      </x:c>
      <x:c r="I33" s="12" t="str">
        <x:v>https://bangi.pulasan.my/_media/lampiran/lbt2018_2019.pdf</x:v>
      </x:c>
    </x:row>
    <x:row r="34">
      <x:c r="A34" s="12" t="str">
        <x:v>FLOC-0024</x:v>
      </x:c>
      <x:c r="B34" s="12" t="str">
        <x:v>Jalan Denai Utama, Kempas</x:v>
      </x:c>
      <x:c r="C34" s="12" t="str">
        <x:v>DG-JB-20180420</x:v>
      </x:c>
      <x:c r="D34" s="18" t="n">
        <x:v>43210</x:v>
      </x:c>
      <x:c r="E34" s="18" t="n">
        <x:v>43210</x:v>
      </x:c>
      <x:c r="F34" s="12" t="n">
        <x:v>2018</x:v>
      </x:c>
      <x:c r="G34" s="12" t="str">
        <x:v>EVT-JB-20180420-JALAN-DENAI-UTAMA-KEMPAS</x:v>
      </x:c>
      <x:c r="H34" s="12" t="str">
        <x:v>Jalan Denai Utama, Kempas</x:v>
      </x:c>
      <x:c r="I34" s="12" t="str">
        <x:v>https://bangi.pulasan.my/_media/lampiran/lbt2018_2019.pdf</x:v>
      </x:c>
    </x:row>
    <x:row r="35">
      <x:c r="A35" s="12" t="str">
        <x:v>FLOC-0025</x:v>
      </x:c>
      <x:c r="B35" s="12" t="str">
        <x:v>Jalan Gelang Patah–Lima Kedai</x:v>
      </x:c>
      <x:c r="C35" s="12" t="str">
        <x:v>DG-JB-20200620</x:v>
      </x:c>
      <x:c r="D35" s="18" t="n">
        <x:v>44002</x:v>
      </x:c>
      <x:c r="E35" s="18" t="n">
        <x:v>44002</x:v>
      </x:c>
      <x:c r="F35" s="12" t="n">
        <x:v>2020</x:v>
      </x:c>
      <x:c r="G35" s="12" t="str">
        <x:v>EVT-JB-20200620-JALAN-GELANG-PATAH-LIMA-KEDAI</x:v>
      </x:c>
      <x:c r="H35" s="12" t="str">
        <x:v>Jalan Gelang Patah–Lima Kedai</x:v>
      </x:c>
      <x:c r="I35" s="12" t="str">
        <x:v>https://bangi.pulasan.my/_media/lampiran/lbt2020.pdf</x:v>
      </x:c>
    </x:row>
    <x:row r="36">
      <x:c r="A36" s="12" t="str">
        <x:v>FLOC-0026</x:v>
      </x:c>
      <x:c r="B36" s="12" t="str">
        <x:v>Jalan Harmonium 24/1 area</x:v>
      </x:c>
      <x:c r="C36" s="12" t="str">
        <x:v>DG-JB-20231214</x:v>
      </x:c>
      <x:c r="D36" s="18" t="n">
        <x:v>45274</x:v>
      </x:c>
      <x:c r="E36" s="18" t="n">
        <x:v>45274</x:v>
      </x:c>
      <x:c r="F36" s="12" t="n">
        <x:v>2023</x:v>
      </x:c>
      <x:c r="G36" s="12" t="str">
        <x:v>EVT-JB-2023-058</x:v>
      </x:c>
      <x:c r="H36" s="12" t="str">
        <x:v>Jalan Harmonium 24</x:v>
      </x:c>
      <x:c r="I36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</x:row>
    <x:row r="37">
      <x:c r="A37" s="12" t="str">
        <x:v>FLOC-0027</x:v>
      </x:c>
      <x:c r="B37" s="12" t="str">
        <x:v>Jalan Ibrahim Sultan</x:v>
      </x:c>
      <x:c r="C37" s="12" t="str">
        <x:v>DG-JB-20231206</x:v>
      </x:c>
      <x:c r="D37" s="18" t="n">
        <x:v>45266</x:v>
      </x:c>
      <x:c r="E37" s="18" t="n">
        <x:v>45266</x:v>
      </x:c>
      <x:c r="F37" s="12" t="n">
        <x:v>2023</x:v>
      </x:c>
      <x:c r="G37" s="12" t="str">
        <x:v>EVT-JB-2023-029</x:v>
      </x:c>
      <x:c r="H37" s="12" t="str">
        <x:v>Jalan Ibrahim Sultan</x:v>
      </x:c>
      <x:c r="I37" s="12" t="str">
        <x:v>https://www.freemalaysiatoday.com/category/bahasa/tempatan/2023/12/06/banjir-kilat-landa-25-kawasan-di-jb
https://mediadigitaljohor.gov.my/banjir-kilat-mbjb-laksana-tindakan-proaktif/</x:v>
      </x:c>
    </x:row>
    <x:row r="38">
      <x:c r="A38" s="12" t="str">
        <x:v>FLOC-0028</x:v>
      </x:c>
      <x:c r="B38" s="12" t="str">
        <x:v>Jalan Ismail Sultan</x:v>
      </x:c>
      <x:c r="C38" s="12" t="str">
        <x:v>DG-JB-20231206</x:v>
      </x:c>
      <x:c r="D38" s="18" t="n">
        <x:v>45266</x:v>
      </x:c>
      <x:c r="E38" s="18" t="n">
        <x:v>45266</x:v>
      </x:c>
      <x:c r="F38" s="12" t="n">
        <x:v>2023</x:v>
      </x:c>
      <x:c r="G38" s="12" t="str">
        <x:v>EVT-JB-2023-030</x:v>
      </x:c>
      <x:c r="H38" s="12" t="str">
        <x:v>Jalan Ismail Sultan</x:v>
      </x:c>
      <x:c r="I38" s="12" t="str">
        <x:v>https://www.freemalaysiatoday.com/category/bahasa/tempatan/2023/12/06/banjir-kilat-landa-25-kawasan-di-jb</x:v>
      </x:c>
    </x:row>
    <x:row r="39">
      <x:c r="A39" s="12" t="str">
        <x:v>FLOC-0029</x:v>
      </x:c>
      <x:c r="B39" s="12" t="str">
        <x:v>Jalan Johor Bahru–Ulu Tiram, Desa Cemerlang</x:v>
      </x:c>
      <x:c r="C39" s="12" t="str">
        <x:v>DG-JB-20200604</x:v>
      </x:c>
      <x:c r="D39" s="18" t="n">
        <x:v>43986</x:v>
      </x:c>
      <x:c r="E39" s="18" t="n">
        <x:v>43986</x:v>
      </x:c>
      <x:c r="F39" s="12" t="n">
        <x:v>2020</x:v>
      </x:c>
      <x:c r="G39" s="12" t="str">
        <x:v>EVT-JB-20200604-JALAN-JOHOR-BAHRU-ULU-TIRAM-DESA-CEMERLANG</x:v>
      </x:c>
      <x:c r="H39" s="12" t="str">
        <x:v>Jalan Johor Bahru–Ulu Tiram, Desa Cemerlang</x:v>
      </x:c>
      <x:c r="I39" s="12" t="str">
        <x:v>https://bangi.pulasan.my/_media/lampiran/lbt2020.pdf</x:v>
      </x:c>
    </x:row>
    <x:row r="40">
      <x:c r="A40" s="12" t="str">
        <x:v>FLOC-0030</x:v>
      </x:c>
      <x:c r="B40" s="12" t="str">
        <x:v>Jalan Kampung Masjid, Masai</x:v>
      </x:c>
      <x:c r="C40" s="12" t="str">
        <x:v>DG-JB-20210902-MASAI</x:v>
      </x:c>
      <x:c r="D40" s="18" t="n">
        <x:v>44441</x:v>
      </x:c>
      <x:c r="E40" s="18" t="n">
        <x:v>44441</x:v>
      </x:c>
      <x:c r="F40" s="12" t="n">
        <x:v>2021</x:v>
      </x:c>
      <x:c r="G40" s="12" t="str">
        <x:v>EVT-JB-2021-032</x:v>
      </x:c>
      <x:c r="H40" s="12" t="str">
        <x:v>Jalan Kampung Masjid, Masai</x:v>
      </x:c>
      <x:c r="I40" s="12" t="str">
        <x:v>https://www.utusan.com.my/terkini/2021/09/100-rumah-dinaiki-air-akibat-banjir-kilat/</x:v>
      </x:c>
    </x:row>
    <x:row r="41">
      <x:c r="A41" s="12" t="str">
        <x:v>FLOC-0031</x:v>
      </x:c>
      <x:c r="B41" s="12" t="str">
        <x:v>Jalan Kampung Sentosa Damai 8</x:v>
      </x:c>
      <x:c r="C41" s="12" t="str">
        <x:v>DG-JB-20231201</x:v>
      </x:c>
      <x:c r="D41" s="18" t="n">
        <x:v>45261</x:v>
      </x:c>
      <x:c r="E41" s="18" t="n">
        <x:v>45261</x:v>
      </x:c>
      <x:c r="F41" s="12" t="n">
        <x:v>2023</x:v>
      </x:c>
      <x:c r="G41" s="12" t="str">
        <x:v>EVT-JB-2023-023</x:v>
      </x:c>
      <x:c r="H41" s="12" t="str">
        <x:v>Jalan Kampung Sentosa Damai 8</x:v>
      </x:c>
      <x:c r="I41" s="12" t="str">
        <x:v>https://www.kosmo.com.my/2023/12/01/banjir-74-termasuk-tiga-bayi-dipindahkan-ke-pps-di-johor/</x:v>
      </x:c>
    </x:row>
    <x:row r="42">
      <x:c r="A42" s="12" t="str">
        <x:v>FLOC-0032</x:v>
      </x:c>
      <x:c r="B42" s="12" t="str">
        <x:v>Jalan Kangkar Tebrau</x:v>
      </x:c>
      <x:c r="C42" s="12" t="str">
        <x:v>DG-JB-20231201</x:v>
      </x:c>
      <x:c r="D42" s="18" t="n">
        <x:v>45261</x:v>
      </x:c>
      <x:c r="E42" s="18" t="n">
        <x:v>45261</x:v>
      </x:c>
      <x:c r="F42" s="12" t="n">
        <x:v>2023</x:v>
      </x:c>
      <x:c r="G42" s="12" t="str">
        <x:v>EVT-JB-2023-021</x:v>
      </x:c>
      <x:c r="H42" s="12" t="str">
        <x:v>Jalan Kangkar Tebrau</x:v>
      </x:c>
      <x:c r="I42" s="12" t="str">
        <x:v>https://berita.rtm.gov.my/nasional/senarai-berita-nasional/senarai-artikel/banjir-di-johor-463-penduduk-terjejas-banjir-tak-sempat-kemas-barang-air-naik-mendadak/
https://www.kosmo.com.my/2023/12/01/banjir-74-termasuk-tiga-bayi-dipindahkan-ke-pps-di-johor/</x:v>
      </x:c>
    </x:row>
    <x:row r="43">
      <x:c r="A43" s="12" t="str">
        <x:v>FLOC-0032</x:v>
      </x:c>
      <x:c r="B43" s="12" t="str">
        <x:v>Jalan Kangkar Tebrau</x:v>
      </x:c>
      <x:c r="C43" s="12" t="str">
        <x:v>DG-JB-20240104-20240113</x:v>
      </x:c>
      <x:c r="D43" s="18" t="n">
        <x:v>45300</x:v>
      </x:c>
      <x:c r="E43" s="18" t="n">
        <x:v>45300</x:v>
      </x:c>
      <x:c r="F43" s="12" t="n">
        <x:v>2024</x:v>
      </x:c>
      <x:c r="G43" s="12" t="str">
        <x:v>EVT-JB-2024-013</x:v>
      </x:c>
      <x:c r="H43" s="12" t="str">
        <x:v>Jalan Kangkar Tebrau</x:v>
      </x:c>
      <x:c r="I43" s="12" t="str">
        <x:v>https://berita.rtm.gov.my/nasional/senarai-berita-nasional/senarai-artikel/banjir-lebih-7-000-terjejas-di-johor-setakat-6-pagi-ini</x:v>
      </x:c>
    </x:row>
    <x:row r="44">
      <x:c r="A44" s="12" t="str">
        <x:v>FLOC-0033</x:v>
      </x:c>
      <x:c r="B44" s="12" t="str">
        <x:v>Jalan Keris 2, Taman Sri Tebrau</x:v>
      </x:c>
      <x:c r="C44" s="12" t="str">
        <x:v>DG-JB-20221107</x:v>
      </x:c>
      <x:c r="D44" s="18" t="n">
        <x:v>44872</x:v>
      </x:c>
      <x:c r="E44" s="18" t="n">
        <x:v>44872</x:v>
      </x:c>
      <x:c r="F44" s="12" t="n">
        <x:v>2022</x:v>
      </x:c>
      <x:c r="G44" s="12" t="str">
        <x:v>EVT-JB-2022-039</x:v>
      </x:c>
      <x:c r="H44" s="12" t="str">
        <x:v>Jalan Keris Dua, Taman Sri Tebrau</x:v>
      </x:c>
      <x:c r="I44" s="12" t="str">
        <x:v>https://www.astroawani.com/berita-malaysia/banjir-kilat-landa-johor-bahru-lebih-40-rumah-dinaiki-air-390134</x:v>
      </x:c>
    </x:row>
    <x:row r="45">
      <x:c r="A45" s="12" t="str">
        <x:v>FLOC-0034</x:v>
      </x:c>
      <x:c r="B45" s="12" t="str">
        <x:v>Jalan Kijang</x:v>
      </x:c>
      <x:c r="C45" s="12" t="str">
        <x:v>DG-JB-20181010</x:v>
      </x:c>
      <x:c r="D45" s="18" t="n">
        <x:v>43383</x:v>
      </x:c>
      <x:c r="E45" s="18" t="n">
        <x:v>43383</x:v>
      </x:c>
      <x:c r="F45" s="12" t="n">
        <x:v>2018</x:v>
      </x:c>
      <x:c r="G45" s="12" t="str">
        <x:v>EVT-JB-20181010-JALAN-KIJANG</x:v>
      </x:c>
      <x:c r="H45" s="12" t="str">
        <x:v>Jalan Kijang</x:v>
      </x:c>
      <x:c r="I45" s="12" t="str">
        <x:v>https://www.malaymail.com/news/malaysia/2018/10/10/heavy-rain-flash-floods-make-life-hard-for-jbs-elderly/1681455</x:v>
      </x:c>
    </x:row>
    <x:row r="46">
      <x:c r="A46" s="12" t="str">
        <x:v>FLOC-0035</x:v>
      </x:c>
      <x:c r="B46" s="12" t="str">
        <x:v>Jalan Kolam Ayer</x:v>
      </x:c>
      <x:c r="C46" s="12" t="str">
        <x:v>DG-JB-20201001</x:v>
      </x:c>
      <x:c r="D46" s="18" t="n">
        <x:v>44105</x:v>
      </x:c>
      <x:c r="E46" s="18" t="n">
        <x:v>44105</x:v>
      </x:c>
      <x:c r="F46" s="12" t="n">
        <x:v>2020</x:v>
      </x:c>
      <x:c r="G46" s="12" t="str">
        <x:v>EVT-JB-20201001-JALAN-KOLAM-AYER</x:v>
      </x:c>
      <x:c r="H46" s="12" t="str">
        <x:v>Jalan Kolam Ayer</x:v>
      </x:c>
      <x:c r="I46" s="12" t="str">
        <x:v>https://bangi.pulasan.my/_media/lampiran/lbt2020.pdf</x:v>
      </x:c>
    </x:row>
    <x:row r="47">
      <x:c r="A47" s="12" t="str">
        <x:v>FLOC-0035</x:v>
      </x:c>
      <x:c r="B47" s="12" t="str">
        <x:v>Jalan Kolam Ayer</x:v>
      </x:c>
      <x:c r="C47" s="12" t="str">
        <x:v>DG-JB-20220802</x:v>
      </x:c>
      <x:c r="D47" s="18" t="n">
        <x:v>44775</x:v>
      </x:c>
      <x:c r="E47" s="18" t="n">
        <x:v>44775</x:v>
      </x:c>
      <x:c r="F47" s="12" t="n">
        <x:v>2022</x:v>
      </x:c>
      <x:c r="G47" s="12" t="str">
        <x:v>EVT-JB-2022-009</x:v>
      </x:c>
      <x:c r="H47" s="12" t="str">
        <x:v>Jalan Kolam Air</x:v>
      </x:c>
      <x:c r="I47" s="12" t="str">
        <x:v>https://www.bernama.com/bm/news.php?id=2106629</x:v>
      </x:c>
    </x:row>
    <x:row r="48">
      <x:c r="A48" s="12" t="str">
        <x:v>FLOC-0035</x:v>
      </x:c>
      <x:c r="B48" s="12" t="str">
        <x:v>Jalan Kolam Ayer</x:v>
      </x:c>
      <x:c r="C48" s="12" t="str">
        <x:v>DG-JB-20231206</x:v>
      </x:c>
      <x:c r="D48" s="18" t="n">
        <x:v>45266</x:v>
      </x:c>
      <x:c r="E48" s="18" t="n">
        <x:v>45266</x:v>
      </x:c>
      <x:c r="F48" s="12" t="n">
        <x:v>2023</x:v>
      </x:c>
      <x:c r="G48" s="12" t="str">
        <x:v>EVT-JB-2023-025</x:v>
      </x:c>
      <x:c r="H48" s="12" t="str">
        <x:v>Jalan Kolam Air</x:v>
      </x:c>
      <x:c r="I48" s="12" t="str">
        <x:v>https://www.freemalaysiatoday.com/category/bahasa/tempatan/2023/12/06/banjir-kilat-landa-25-kawasan-di-jb
https://mediadigitaljohor.gov.my/banjir-kilat-mbjb-laksana-tindakan-proaktif/</x:v>
      </x:c>
    </x:row>
    <x:row r="49">
      <x:c r="A49" s="12" t="str">
        <x:v>FLOC-0035</x:v>
      </x:c>
      <x:c r="B49" s="12" t="str">
        <x:v>Jalan Kolam Ayer</x:v>
      </x:c>
      <x:c r="C49" s="12" t="str">
        <x:v>DG-JB-20251212</x:v>
      </x:c>
      <x:c r="D49" s="18" t="n">
        <x:v>46003</x:v>
      </x:c>
      <x:c r="E49" s="18" t="n">
        <x:v>46003</x:v>
      </x:c>
      <x:c r="F49" s="12" t="n">
        <x:v>2025</x:v>
      </x:c>
      <x:c r="G49" s="12" t="str">
        <x:v>EVT-JB-2025-038</x:v>
      </x:c>
      <x:c r="H49" s="12" t="str">
        <x:v>Jalan Kolam Air</x:v>
      </x:c>
      <x:c r="I49" s="12" t="str">
        <x:v>https://www.sinarharian.com.my/article/760321/edisi/johor/banjir-kilat-bumbung-pentas-runtuh-pokok-tumbang-di-johor-bahru
https://www.kosmo.com.my/2025/12/12/video-hujan-lebat-lebih-2-jam-johor-bahru-dilanda-banjir-kilat/</x:v>
      </x:c>
    </x:row>
    <x:row r="50">
      <x:c r="A50" s="12" t="str">
        <x:v>FLOC-0035</x:v>
      </x:c>
      <x:c r="B50" s="12" t="str">
        <x:v>Jalan Kolam Ayer</x:v>
      </x:c>
      <x:c r="C50" s="12" t="str">
        <x:v>DG-JB-20260930</x:v>
      </x:c>
      <x:c r="D50" s="18" t="n">
        <x:v>46295</x:v>
      </x:c>
      <x:c r="E50" s="18" t="n">
        <x:v>46295</x:v>
      </x:c>
      <x:c r="F50" s="12" t="n">
        <x:v>2026</x:v>
      </x:c>
      <x:c r="G50" s="12" t="str">
        <x:v>EVT-JB-2026-001</x:v>
      </x:c>
      <x:c r="H50" s="12" t="str">
        <x:v>Jalan Kolam Air, Nong Chik</x:v>
      </x:c>
      <x:c r="I50" s="12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</x:row>
    <x:row r="51">
      <x:c r="A51" s="12" t="str">
        <x:v>FLOC-0036</x:v>
      </x:c>
      <x:c r="B51" s="12" t="str">
        <x:v>Jalan Kota Tinggi / FT003</x:v>
      </x:c>
      <x:c r="C51" s="12" t="str">
        <x:v>DG-JB-20220417</x:v>
      </x:c>
      <x:c r="D51" s="18" t="n">
        <x:v>44668</x:v>
      </x:c>
      <x:c r="E51" s="18" t="n">
        <x:v>44668</x:v>
      </x:c>
      <x:c r="F51" s="12" t="n">
        <x:v>2022</x:v>
      </x:c>
      <x:c r="G51" s="12" t="str">
        <x:v>EVT-JB-2022-004</x:v>
      </x:c>
      <x:c r="H51" s="12" t="str">
        <x:v>Jalan Kota Tinggi (FT003)</x:v>
      </x:c>
      <x:c r="I51" s="12" t="str">
        <x:v>https://www.water.gov.my/jps/resources/Anual%20Flood%20Reporting%20/LBT_2022.pdf</x:v>
      </x:c>
    </x:row>
    <x:row r="52">
      <x:c r="A52" s="12" t="str">
        <x:v>FLOC-0037</x:v>
      </x:c>
      <x:c r="B52" s="12" t="str">
        <x:v>Jalan Lingkaran Dalam, Johor Bahru</x:v>
      </x:c>
      <x:c r="C52" s="12" t="str">
        <x:v>DG-JB-20171225</x:v>
      </x:c>
      <x:c r="D52" s="18" t="n">
        <x:v>43094</x:v>
      </x:c>
      <x:c r="E52" s="18" t="n">
        <x:v>43094</x:v>
      </x:c>
      <x:c r="F52" s="12" t="n">
        <x:v>2017</x:v>
      </x:c>
      <x:c r="G52" s="12" t="str">
        <x:v>EVT-JB-20171225-JALAN-LINGKARAN-DALAM-JOHOR-BAHRU</x:v>
      </x:c>
      <x:c r="H52" s="12" t="str">
        <x:v>Jalan Lingkaran Dalam, Johor Bahru</x:v>
      </x:c>
      <x:c r="I52" s="12" t="str">
        <x:v>https://bangi.pulasan.my/_media/lampiran/lbt2017-2018.pdf</x:v>
      </x:c>
    </x:row>
    <x:row r="53">
      <x:c r="A53" s="12" t="str">
        <x:v>FLOC-0038</x:v>
      </x:c>
      <x:c r="B53" s="12" t="str">
        <x:v>Jalan Lurah 3</x:v>
      </x:c>
      <x:c r="C53" s="12" t="str">
        <x:v>DG-JB-20231206</x:v>
      </x:c>
      <x:c r="D53" s="18" t="n">
        <x:v>45266</x:v>
      </x:c>
      <x:c r="E53" s="18" t="n">
        <x:v>45266</x:v>
      </x:c>
      <x:c r="F53" s="12" t="n">
        <x:v>2023</x:v>
      </x:c>
      <x:c r="G53" s="12" t="str">
        <x:v>EVT-JB-2023-031</x:v>
      </x:c>
      <x:c r="H53" s="12" t="str">
        <x:v>Jalan Lurah 3</x:v>
      </x:c>
      <x:c r="I53" s="12" t="str">
        <x:v>https://www.freemalaysiatoday.com/category/bahasa/tempatan/2023/12/06/banjir-kilat-landa-25-kawasan-di-jb</x:v>
      </x:c>
    </x:row>
    <x:row r="54">
      <x:c r="A54" s="12" t="str">
        <x:v>FLOC-0039</x:v>
      </x:c>
      <x:c r="B54" s="12" t="str">
        <x:v>Jalan Mahmoodiah</x:v>
      </x:c>
      <x:c r="C54" s="12" t="str">
        <x:v>DG-JB-20220802</x:v>
      </x:c>
      <x:c r="D54" s="18" t="n">
        <x:v>44775</x:v>
      </x:c>
      <x:c r="E54" s="18" t="n">
        <x:v>44775</x:v>
      </x:c>
      <x:c r="F54" s="12" t="n">
        <x:v>2022</x:v>
      </x:c>
      <x:c r="G54" s="12" t="str">
        <x:v>EVT-JB-2022-015</x:v>
      </x:c>
      <x:c r="H54" s="12" t="str">
        <x:v>Jalan Mahmodiah</x:v>
      </x:c>
      <x:c r="I54" s="12" t="str">
        <x:v>https://www.malaymail.com/news/malaysia/2022/08/02/parts-of-johor-baru-hit-by-flash-floods-video/20634</x:v>
      </x:c>
    </x:row>
    <x:row r="55">
      <x:c r="A55" s="12" t="str">
        <x:v>FLOC-0039</x:v>
      </x:c>
      <x:c r="B55" s="12" t="str">
        <x:v>Jalan Mahmoodiah</x:v>
      </x:c>
      <x:c r="C55" s="12" t="str">
        <x:v>DG-JB-20231206</x:v>
      </x:c>
      <x:c r="D55" s="18" t="n">
        <x:v>45266</x:v>
      </x:c>
      <x:c r="E55" s="18" t="n">
        <x:v>45266</x:v>
      </x:c>
      <x:c r="F55" s="12" t="n">
        <x:v>2023</x:v>
      </x:c>
      <x:c r="G55" s="12" t="str">
        <x:v>EVT-JB-2023-032</x:v>
      </x:c>
      <x:c r="H55" s="12" t="str">
        <x:v>Jalan Mahmoodiah</x:v>
      </x:c>
      <x:c r="I55" s="12" t="str">
        <x:v>https://www.freemalaysiatoday.com/category/bahasa/tempatan/2023/12/06/banjir-kilat-landa-25-kawasan-di-jb
https://mediadigitaljohor.gov.my/banjir-kilat-mbjb-laksana-tindakan-proaktif/</x:v>
      </x:c>
    </x:row>
    <x:row r="56">
      <x:c r="A56" s="12" t="str">
        <x:v>FLOC-0041</x:v>
      </x:c>
      <x:c r="B56" s="12" t="str">
        <x:v>Jalan Mohd Amin 7</x:v>
      </x:c>
      <x:c r="C56" s="12" t="str">
        <x:v>DG-JB-20231214</x:v>
      </x:c>
      <x:c r="D56" s="18" t="n">
        <x:v>45274</x:v>
      </x:c>
      <x:c r="E56" s="18" t="n">
        <x:v>45274</x:v>
      </x:c>
      <x:c r="F56" s="12" t="n">
        <x:v>2023</x:v>
      </x:c>
      <x:c r="G56" s="12" t="str">
        <x:v>EVT-JB-2023-055</x:v>
      </x:c>
      <x:c r="H56" s="12" t="str">
        <x:v>Jalan Mohd Amin 7</x:v>
      </x:c>
      <x:c r="I56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</x:row>
    <x:row r="57">
      <x:c r="A57" s="12" t="str">
        <x:v>FLOC-0042</x:v>
      </x:c>
      <x:c r="B57" s="12" t="str">
        <x:v>Jalan Mutiara Emas Utama</x:v>
      </x:c>
      <x:c r="C57" s="12" t="str">
        <x:v>DG-JB-20231214</x:v>
      </x:c>
      <x:c r="D57" s="18" t="n">
        <x:v>45274</x:v>
      </x:c>
      <x:c r="E57" s="18" t="n">
        <x:v>45274</x:v>
      </x:c>
      <x:c r="F57" s="12" t="n">
        <x:v>2023</x:v>
      </x:c>
      <x:c r="G57" s="12" t="str">
        <x:v>EVT-JB-2023-054</x:v>
      </x:c>
      <x:c r="H57" s="12" t="str">
        <x:v>Jalan Mutiara Emas Utama</x:v>
      </x:c>
      <x:c r="I57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</x:row>
    <x:row r="58">
      <x:c r="A58" s="12" t="str">
        <x:v>FLOC-0043</x:v>
      </x:c>
      <x:c r="B58" s="12" t="str">
        <x:v>Jalan Padi Huma 10</x:v>
      </x:c>
      <x:c r="C58" s="12" t="str">
        <x:v>DG-JB-20231206</x:v>
      </x:c>
      <x:c r="D58" s="18" t="n">
        <x:v>45266</x:v>
      </x:c>
      <x:c r="E58" s="18" t="n">
        <x:v>45266</x:v>
      </x:c>
      <x:c r="F58" s="12" t="n">
        <x:v>2023</x:v>
      </x:c>
      <x:c r="G58" s="12" t="str">
        <x:v>EVT-JB-2023-044</x:v>
      </x:c>
      <x:c r="H58" s="12" t="str">
        <x:v>Jalan Padi Huma 10</x:v>
      </x:c>
      <x:c r="I58" s="12" t="str">
        <x:v>https://mediadigitaljohor.gov.my/banjir-kilat-mbjb-laksana-tindakan-proaktif/</x:v>
      </x:c>
    </x:row>
    <x:row r="59">
      <x:c r="A59" s="12" t="str">
        <x:v>FLOC-0044</x:v>
      </x:c>
      <x:c r="B59" s="12" t="str">
        <x:v>Jalan Padi Huma 9</x:v>
      </x:c>
      <x:c r="C59" s="12" t="str">
        <x:v>DG-JB-20231206</x:v>
      </x:c>
      <x:c r="D59" s="18" t="n">
        <x:v>45266</x:v>
      </x:c>
      <x:c r="E59" s="18" t="n">
        <x:v>45266</x:v>
      </x:c>
      <x:c r="F59" s="12" t="n">
        <x:v>2023</x:v>
      </x:c>
      <x:c r="G59" s="12" t="str">
        <x:v>EVT-JB-2023-043</x:v>
      </x:c>
      <x:c r="H59" s="12" t="str">
        <x:v>Jalan Padi Huma 9</x:v>
      </x:c>
      <x:c r="I59" s="12" t="str">
        <x:v>https://mediadigitaljohor.gov.my/banjir-kilat-mbjb-laksana-tindakan-proaktif/</x:v>
      </x:c>
    </x:row>
    <x:row r="60">
      <x:c r="A60" s="12" t="str">
        <x:v>FLOC-0045</x:v>
      </x:c>
      <x:c r="B60" s="12" t="str">
        <x:v>Jalan Padi Makmur</x:v>
      </x:c>
      <x:c r="C60" s="12" t="str">
        <x:v>DG-JB-20231206</x:v>
      </x:c>
      <x:c r="D60" s="18" t="n">
        <x:v>45266</x:v>
      </x:c>
      <x:c r="E60" s="18" t="n">
        <x:v>45266</x:v>
      </x:c>
      <x:c r="F60" s="12" t="n">
        <x:v>2023</x:v>
      </x:c>
      <x:c r="G60" s="12" t="str">
        <x:v>EVT-JB-2023-034</x:v>
      </x:c>
      <x:c r="H60" s="12" t="str">
        <x:v>Jalan Padi Makmur</x:v>
      </x:c>
      <x:c r="I60" s="12" t="str">
        <x:v>https://www.freemalaysiatoday.com/category/bahasa/tempatan/2023/12/06/banjir-kilat-landa-25-kawasan-di-jb
https://mediadigitaljohor.gov.my/banjir-kilat-mbjb-laksana-tindakan-proaktif/</x:v>
      </x:c>
    </x:row>
    <x:row r="61">
      <x:c r="A61" s="12" t="str">
        <x:v>FLOC-0046</x:v>
      </x:c>
      <x:c r="B61" s="12" t="str">
        <x:v>Jalan Pantai</x:v>
      </x:c>
      <x:c r="C61" s="12" t="str">
        <x:v>DG-JB-20260930</x:v>
      </x:c>
      <x:c r="D61" s="18" t="n">
        <x:v>46295</x:v>
      </x:c>
      <x:c r="E61" s="18" t="n">
        <x:v>46295</x:v>
      </x:c>
      <x:c r="F61" s="12" t="n">
        <x:v>2026</x:v>
      </x:c>
      <x:c r="G61" s="12" t="str">
        <x:v>EVT-JB-2026-004</x:v>
      </x:c>
      <x:c r="H61" s="12" t="str">
        <x:v>Jalan Pantai</x:v>
      </x:c>
      <x:c r="I61" s="12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</x:row>
    <x:row r="62">
      <x:c r="A62" s="12" t="str">
        <x:v>FLOC-0047</x:v>
      </x:c>
      <x:c r="B62" s="12" t="str">
        <x:v>Jalan Pantai Lido</x:v>
      </x:c>
      <x:c r="C62" s="12" t="str">
        <x:v>DG-JB-20220802</x:v>
      </x:c>
      <x:c r="D62" s="18" t="n">
        <x:v>44775</x:v>
      </x:c>
      <x:c r="E62" s="18" t="n">
        <x:v>44775</x:v>
      </x:c>
      <x:c r="F62" s="12" t="n">
        <x:v>2022</x:v>
      </x:c>
      <x:c r="G62" s="12" t="str">
        <x:v>EVT-JB-2022-014</x:v>
      </x:c>
      <x:c r="H62" s="12" t="str">
        <x:v>Jalan Pantai Lido toward city centre</x:v>
      </x:c>
      <x:c r="I62" s="12" t="str">
        <x:v>https://www.malaymail.com/news/malaysia/2022/08/02/parts-of-johor-baru-hit-by-flash-floods-video/20634</x:v>
      </x:c>
    </x:row>
    <x:row r="63">
      <x:c r="A63" s="12" t="str">
        <x:v>FLOC-0048</x:v>
      </x:c>
      <x:c r="B63" s="12" t="str">
        <x:v>Jalan Permatang 6, Kempas</x:v>
      </x:c>
      <x:c r="C63" s="12" t="str">
        <x:v>DG-JB-20200405</x:v>
      </x:c>
      <x:c r="D63" s="18" t="n">
        <x:v>43926</x:v>
      </x:c>
      <x:c r="E63" s="18" t="n">
        <x:v>43926</x:v>
      </x:c>
      <x:c r="F63" s="12" t="n">
        <x:v>2020</x:v>
      </x:c>
      <x:c r="G63" s="12" t="str">
        <x:v>EVT-JB-20200405-JALAN-PERMATANG-6-KEMPAS</x:v>
      </x:c>
      <x:c r="H63" s="12" t="str">
        <x:v>Jalan Permatang 6, Kempas</x:v>
      </x:c>
      <x:c r="I63" s="12" t="str">
        <x:v>https://www.bernama.com/en/news.php?id=1828912</x:v>
      </x:c>
    </x:row>
    <x:row r="64">
      <x:c r="A64" s="12" t="str">
        <x:v>FLOC-0049</x:v>
      </x:c>
      <x:c r="B64" s="12" t="str">
        <x:v>Jalan Permatang Utama, Kampung Kempas Baru</x:v>
      </x:c>
      <x:c r="C64" s="12" t="str">
        <x:v>DG-JB-20201119</x:v>
      </x:c>
      <x:c r="D64" s="18" t="n">
        <x:v>44154</x:v>
      </x:c>
      <x:c r="E64" s="18" t="n">
        <x:v>44154</x:v>
      </x:c>
      <x:c r="F64" s="12" t="n">
        <x:v>2020</x:v>
      </x:c>
      <x:c r="G64" s="12" t="str">
        <x:v>EVT-JB-20201119-JALAN-PERMATANG-UTAMA-KAMPUNG-KEMPAS-BARU</x:v>
      </x:c>
      <x:c r="H64" s="12" t="str">
        <x:v>Jalan Permatang Utama, Kampung Kempas Baru</x:v>
      </x:c>
      <x:c r="I64" s="12" t="str">
        <x:v>https://www.malaymail.com/news/malaysia/2020/11/19/flash-floods-hit-johor-13-victims-including-11-children-evacuated-to-relief/1924298</x:v>
      </x:c>
    </x:row>
    <x:row r="65">
      <x:c r="A65" s="12" t="str">
        <x:v>FLOC-0050</x:v>
      </x:c>
      <x:c r="B65" s="12" t="str">
        <x:v>Jalan Permatang, Kempas</x:v>
      </x:c>
      <x:c r="C65" s="12" t="str">
        <x:v>DG-JB-20180420</x:v>
      </x:c>
      <x:c r="D65" s="18" t="n">
        <x:v>43210</x:v>
      </x:c>
      <x:c r="E65" s="18" t="n">
        <x:v>43210</x:v>
      </x:c>
      <x:c r="F65" s="12" t="n">
        <x:v>2018</x:v>
      </x:c>
      <x:c r="G65" s="12" t="str">
        <x:v>EVT-JB-20180420-JALAN-PERMATANG-KEMPAS</x:v>
      </x:c>
      <x:c r="H65" s="12" t="str">
        <x:v>Jalan Permatang, Kempas</x:v>
      </x:c>
      <x:c r="I65" s="12" t="str">
        <x:v>https://bangi.pulasan.my/_media/lampiran/lbt2018_2019.pdf</x:v>
      </x:c>
    </x:row>
    <x:row r="66">
      <x:c r="A66" s="12" t="str">
        <x:v>FLOC-0051</x:v>
      </x:c>
      <x:c r="B66" s="12" t="str">
        <x:v>Jalan Persiaran Molek Utama, Taman Molek</x:v>
      </x:c>
      <x:c r="C66" s="12" t="str">
        <x:v>DG-JB-20231214</x:v>
      </x:c>
      <x:c r="D66" s="18" t="n">
        <x:v>45274</x:v>
      </x:c>
      <x:c r="E66" s="18" t="n">
        <x:v>45274</x:v>
      </x:c>
      <x:c r="F66" s="12" t="n">
        <x:v>2023</x:v>
      </x:c>
      <x:c r="G66" s="12" t="str">
        <x:v>EVT-JB-2023-063</x:v>
      </x:c>
      <x:c r="H66" s="12" t="str">
        <x:v>Jalan Persiaran Molek Utama, Taman Molek</x:v>
      </x:c>
      <x:c r="I66" s="12" t="str">
        <x:v>https://www.malaymail.com/news/malaysia/2023/12/14/jb-council-10-main-roads-one-village-inundated-by-flash-floods/107558</x:v>
      </x:c>
    </x:row>
    <x:row r="67">
      <x:c r="A67" s="12" t="str">
        <x:v>FLOC-0052</x:v>
      </x:c>
      <x:c r="B67" s="12" t="str">
        <x:v>Jalan Ros Merah</x:v>
      </x:c>
      <x:c r="C67" s="12" t="str">
        <x:v>DG-JB-20170601</x:v>
      </x:c>
      <x:c r="D67" s="18" t="n">
        <x:v>42887</x:v>
      </x:c>
      <x:c r="E67" s="18" t="n">
        <x:v>42887</x:v>
      </x:c>
      <x:c r="F67" s="12" t="n">
        <x:v>2017</x:v>
      </x:c>
      <x:c r="G67" s="12" t="str">
        <x:v>EVT-JB-20170601-JALAN-ROS-MERAH</x:v>
      </x:c>
      <x:c r="H67" s="12" t="str">
        <x:v>Jalan Ros Merah</x:v>
      </x:c>
      <x:c r="I67" s="12" t="str">
        <x:v>https://bangi.pulasan.my/_media/lampiran/lbt2017-2018.pdf</x:v>
      </x:c>
    </x:row>
    <x:row r="68">
      <x:c r="A68" s="12" t="str">
        <x:v>FLOC-0052</x:v>
      </x:c>
      <x:c r="B68" s="12" t="str">
        <x:v>Jalan Ros Merah</x:v>
      </x:c>
      <x:c r="C68" s="12" t="str">
        <x:v>DG-JB-20200604</x:v>
      </x:c>
      <x:c r="D68" s="18" t="n">
        <x:v>43986</x:v>
      </x:c>
      <x:c r="E68" s="18" t="n">
        <x:v>43986</x:v>
      </x:c>
      <x:c r="F68" s="12" t="n">
        <x:v>2020</x:v>
      </x:c>
      <x:c r="G68" s="12" t="str">
        <x:v>EVT-JB-20200604-JALAN-ROSMERAH-JOHOR-JAYA</x:v>
      </x:c>
      <x:c r="H68" s="12" t="str">
        <x:v>Jalan Rosmerah, Johor Jaya</x:v>
      </x:c>
      <x:c r="I68" s="12" t="str">
        <x:v>https://bangi.pulasan.my/_media/lampiran/lbt2020.pdf</x:v>
      </x:c>
    </x:row>
    <x:row r="69">
      <x:c r="A69" s="12" t="str">
        <x:v>FLOC-0053</x:v>
      </x:c>
      <x:c r="B69" s="12" t="str">
        <x:v>Jalan Rosmerah Utama</x:v>
      </x:c>
      <x:c r="C69" s="12" t="str">
        <x:v>DG-JB-20231214</x:v>
      </x:c>
      <x:c r="D69" s="18" t="n">
        <x:v>45274</x:v>
      </x:c>
      <x:c r="E69" s="18" t="n">
        <x:v>45274</x:v>
      </x:c>
      <x:c r="F69" s="12" t="n">
        <x:v>2023</x:v>
      </x:c>
      <x:c r="G69" s="12" t="str">
        <x:v>EVT-JB-2023-052</x:v>
      </x:c>
      <x:c r="H69" s="12" t="str">
        <x:v>Jalan Rosmerah Utama</x:v>
      </x:c>
      <x:c r="I69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</x:row>
    <x:row r="70">
      <x:c r="A70" s="12" t="str">
        <x:v>FLOC-0054</x:v>
      </x:c>
      <x:c r="B70" s="12" t="str">
        <x:v>Jalan Seelong Jaya 2</x:v>
      </x:c>
      <x:c r="C70" s="12" t="str">
        <x:v>DG-JB-20220820</x:v>
      </x:c>
      <x:c r="D70" s="18" t="n">
        <x:v>44793</x:v>
      </x:c>
      <x:c r="E70" s="18" t="n">
        <x:v>44793</x:v>
      </x:c>
      <x:c r="F70" s="12" t="n">
        <x:v>2022</x:v>
      </x:c>
      <x:c r="G70" s="12" t="str">
        <x:v>EVT-JB-2022-019</x:v>
      </x:c>
      <x:c r="H70" s="12" t="str">
        <x:v>Jalan Seelong Jaya 2</x:v>
      </x:c>
      <x:c r="I70" s="12" t="str">
        <x:v>https://www.water.gov.my/jps/resources/Anual%20Flood%20Reporting%20/LBT_2022.pdf</x:v>
      </x:c>
    </x:row>
    <x:row r="71">
      <x:c r="A71" s="12" t="str">
        <x:v>FLOC-0055</x:v>
      </x:c>
      <x:c r="B71" s="12" t="str">
        <x:v>Jalan Seri Pelangi–Stulang Laut approach</x:v>
      </x:c>
      <x:c r="C71" s="12" t="str">
        <x:v>DG-JB-20220802</x:v>
      </x:c>
      <x:c r="D71" s="18" t="n">
        <x:v>44775</x:v>
      </x:c>
      <x:c r="E71" s="18" t="n">
        <x:v>44775</x:v>
      </x:c>
      <x:c r="F71" s="12" t="n">
        <x:v>2022</x:v>
      </x:c>
      <x:c r="G71" s="12" t="str">
        <x:v>EVT-JB-2022-016</x:v>
      </x:c>
      <x:c r="H71" s="12" t="str">
        <x:v>Jalan Seri Pelangi toward Stulang Laut</x:v>
      </x:c>
      <x:c r="I71" s="12" t="str">
        <x:v>https://www.malaymail.com/news/malaysia/2022/08/02/parts-of-johor-baru-hit-by-flash-floods-video/20634</x:v>
      </x:c>
    </x:row>
    <x:row r="72">
      <x:c r="A72" s="12" t="str">
        <x:v>FLOC-0056</x:v>
      </x:c>
      <x:c r="B72" s="12" t="str">
        <x:v>Jalan Serigala</x:v>
      </x:c>
      <x:c r="C72" s="12" t="str">
        <x:v>DG-JB-20231206</x:v>
      </x:c>
      <x:c r="D72" s="18" t="n">
        <x:v>45266</x:v>
      </x:c>
      <x:c r="E72" s="18" t="n">
        <x:v>45266</x:v>
      </x:c>
      <x:c r="F72" s="12" t="n">
        <x:v>2023</x:v>
      </x:c>
      <x:c r="G72" s="12" t="str">
        <x:v>EVT-JB-2023-035</x:v>
      </x:c>
      <x:c r="H72" s="12" t="str">
        <x:v>Jalan Serigala</x:v>
      </x:c>
      <x:c r="I72" s="12" t="str">
        <x:v>https://www.freemalaysiatoday.com/category/bahasa/tempatan/2023/12/06/banjir-kilat-landa-25-kawasan-di-jb</x:v>
      </x:c>
    </x:row>
    <x:row r="73">
      <x:c r="A73" s="12" t="str">
        <x:v>FLOC-0057</x:v>
      </x:c>
      <x:c r="B73" s="12" t="str">
        <x:v>Jalan Setia 10, Setia Indah</x:v>
      </x:c>
      <x:c r="C73" s="12" t="str">
        <x:v>DG-JB-20231214</x:v>
      </x:c>
      <x:c r="D73" s="18" t="n">
        <x:v>45274</x:v>
      </x:c>
      <x:c r="E73" s="18" t="n">
        <x:v>45274</x:v>
      </x:c>
      <x:c r="F73" s="12" t="n">
        <x:v>2023</x:v>
      </x:c>
      <x:c r="G73" s="12" t="str">
        <x:v>EVT-JB-2023-053</x:v>
      </x:c>
      <x:c r="H73" s="12" t="str">
        <x:v>Jalan Setia 10, Setia Indah</x:v>
      </x:c>
      <x:c r="I73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</x:row>
    <x:row r="74">
      <x:c r="A74" s="12" t="str">
        <x:v>FLOC-0058</x:v>
      </x:c>
      <x:c r="B74" s="12" t="str">
        <x:v>Jalan Setia 11, Setia Indah</x:v>
      </x:c>
      <x:c r="C74" s="12" t="str">
        <x:v>DG-JB-20231214</x:v>
      </x:c>
      <x:c r="D74" s="18" t="n">
        <x:v>45274</x:v>
      </x:c>
      <x:c r="E74" s="18" t="n">
        <x:v>45274</x:v>
      </x:c>
      <x:c r="F74" s="12" t="n">
        <x:v>2023</x:v>
      </x:c>
      <x:c r="G74" s="12" t="str">
        <x:v>EVT-JB-2023-056</x:v>
      </x:c>
      <x:c r="H74" s="12" t="str">
        <x:v>Jalan Setia 11, Setia Indah</x:v>
      </x:c>
      <x:c r="I74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</x:row>
    <x:row r="75">
      <x:c r="A75" s="12" t="str">
        <x:v>FLOC-0059</x:v>
      </x:c>
      <x:c r="B75" s="12" t="str">
        <x:v>Jalan Skudai</x:v>
      </x:c>
      <x:c r="C75" s="12" t="str">
        <x:v>DG-JB-20231214</x:v>
      </x:c>
      <x:c r="D75" s="18" t="n">
        <x:v>45274</x:v>
      </x:c>
      <x:c r="E75" s="18" t="n">
        <x:v>45274</x:v>
      </x:c>
      <x:c r="F75" s="12" t="n">
        <x:v>2023</x:v>
      </x:c>
      <x:c r="G75" s="12" t="str">
        <x:v>EVT-JB-2023-060</x:v>
      </x:c>
      <x:c r="H75" s="12" t="str">
        <x:v>Jalan Skudai</x:v>
      </x:c>
      <x:c r="I75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</x:row>
    <x:row r="76">
      <x:c r="A76" s="12" t="str">
        <x:v>FLOC-0060</x:v>
      </x:c>
      <x:c r="B76" s="12" t="str">
        <x:v>Jalan Stulang Darat</x:v>
      </x:c>
      <x:c r="C76" s="12" t="str">
        <x:v>DG-JB-20231206</x:v>
      </x:c>
      <x:c r="D76" s="18" t="n">
        <x:v>45266</x:v>
      </x:c>
      <x:c r="E76" s="18" t="n">
        <x:v>45266</x:v>
      </x:c>
      <x:c r="F76" s="12" t="n">
        <x:v>2023</x:v>
      </x:c>
      <x:c r="G76" s="12" t="str">
        <x:v>EVT-JB-2023-036</x:v>
      </x:c>
      <x:c r="H76" s="12" t="str">
        <x:v>Jalan Stulang Darat</x:v>
      </x:c>
      <x:c r="I76" s="12" t="str">
        <x:v>https://www.freemalaysiatoday.com/category/bahasa/tempatan/2023/12/06/banjir-kilat-landa-25-kawasan-di-jb
https://mediadigitaljohor.gov.my/banjir-kilat-mbjb-laksana-tindakan-proaktif/</x:v>
      </x:c>
    </x:row>
    <x:row r="77">
      <x:c r="A77" s="12" t="str">
        <x:v>FLOC-0061</x:v>
      </x:c>
      <x:c r="B77" s="12" t="str">
        <x:v>Jalan Sukun, Kampung Pasir</x:v>
      </x:c>
      <x:c r="C77" s="12" t="str">
        <x:v>DG-JB-20181029</x:v>
      </x:c>
      <x:c r="D77" s="18" t="n">
        <x:v>43402</x:v>
      </x:c>
      <x:c r="E77" s="18" t="n">
        <x:v>43402</x:v>
      </x:c>
      <x:c r="F77" s="12" t="n">
        <x:v>2018</x:v>
      </x:c>
      <x:c r="G77" s="12" t="str">
        <x:v>EVT-JB-20181029-JALAN-SUKUN-KAMPUNG-PASIR-SKUDAI</x:v>
      </x:c>
      <x:c r="H77" s="12" t="str">
        <x:v>Jalan Sukun, Kampung Pasir, Skudai</x:v>
      </x:c>
      <x:c r="I77" s="12" t="str">
        <x:v>https://bangi.pulasan.my/_media/lampiran/lbt2018_2019.pdf</x:v>
      </x:c>
    </x:row>
    <x:row r="78">
      <x:c r="A78" s="12" t="str">
        <x:v>FLOC-0061</x:v>
      </x:c>
      <x:c r="B78" s="12" t="str">
        <x:v>Jalan Sukun, Kampung Pasir</x:v>
      </x:c>
      <x:c r="C78" s="12" t="str">
        <x:v>DG-JB-20250319-20250324</x:v>
      </x:c>
      <x:c r="D78" s="18" t="n">
        <x:v>45736</x:v>
      </x:c>
      <x:c r="E78" s="18" t="n">
        <x:v>45736</x:v>
      </x:c>
      <x:c r="F78" s="12" t="n">
        <x:v>2025</x:v>
      </x:c>
      <x:c r="G78" s="12" t="str">
        <x:v>EVT-JB-2025-021</x:v>
      </x:c>
      <x:c r="H78" s="12" t="str">
        <x:v>Jalan Sukun, Kampung Pasir</x:v>
      </x:c>
      <x:c r="I78" s="12" t="str">
        <x:v>https://www.nadma.gov.my/bi/media-en/news/3261-floods-several-locations-near-jb-report-rising-waters-amid-continuous-rainfall</x:v>
      </x:c>
    </x:row>
    <x:row r="79">
      <x:c r="A79" s="12" t="str">
        <x:v>FLOC-0062</x:v>
      </x:c>
      <x:c r="B79" s="12" t="str">
        <x:v>Jalan Sungai Chat</x:v>
      </x:c>
      <x:c r="C79" s="12" t="str">
        <x:v>DG-JB-20231206</x:v>
      </x:c>
      <x:c r="D79" s="18" t="n">
        <x:v>45266</x:v>
      </x:c>
      <x:c r="E79" s="18" t="n">
        <x:v>45266</x:v>
      </x:c>
      <x:c r="F79" s="12" t="n">
        <x:v>2023</x:v>
      </x:c>
      <x:c r="G79" s="12" t="str">
        <x:v>EVT-JB-2023-049</x:v>
      </x:c>
      <x:c r="H79" s="12" t="str">
        <x:v>Jalan Sungai Chat</x:v>
      </x:c>
      <x:c r="I79" s="12" t="str">
        <x:v>https://www.utusan.com.my/berita/2023/12/hujan-lebat-lebih-tiga-jam-sebabkan-banjir-kilat/</x:v>
      </x:c>
    </x:row>
    <x:row r="80">
      <x:c r="A80" s="12" t="str">
        <x:v>FLOC-0062</x:v>
      </x:c>
      <x:c r="B80" s="12" t="str">
        <x:v>Jalan Sungai Chat</x:v>
      </x:c>
      <x:c r="C80" s="12" t="str">
        <x:v>DG-JB-20251212</x:v>
      </x:c>
      <x:c r="D80" s="18" t="n">
        <x:v>46003</x:v>
      </x:c>
      <x:c r="E80" s="18" t="n">
        <x:v>46003</x:v>
      </x:c>
      <x:c r="F80" s="12" t="n">
        <x:v>2025</x:v>
      </x:c>
      <x:c r="G80" s="12" t="str">
        <x:v>EVT-JB-2025-040</x:v>
      </x:c>
      <x:c r="H80" s="12" t="str">
        <x:v>Jalan Sungai Chat</x:v>
      </x:c>
      <x:c r="I80" s="12" t="str">
        <x:v>https://www.sinarharian.com.my/article/760321/edisi/johor/banjir-kilat-bumbung-pentas-runtuh-pokok-tumbang-di-johor-bahru</x:v>
      </x:c>
    </x:row>
    <x:row r="81">
      <x:c r="A81" s="12" t="str">
        <x:v>FLOC-0062</x:v>
      </x:c>
      <x:c r="B81" s="12" t="str">
        <x:v>Jalan Sungai Chat</x:v>
      </x:c>
      <x:c r="C81" s="12" t="str">
        <x:v>DG-JB-20260930</x:v>
      </x:c>
      <x:c r="D81" s="18" t="n">
        <x:v>46295</x:v>
      </x:c>
      <x:c r="E81" s="18" t="n">
        <x:v>46295</x:v>
      </x:c>
      <x:c r="F81" s="12" t="n">
        <x:v>2026</x:v>
      </x:c>
      <x:c r="G81" s="12" t="str">
        <x:v>EVT-JB-2026-011</x:v>
      </x:c>
      <x:c r="H81" s="12" t="str">
        <x:v>Jalan Sungai Chat near SMK Maktab Sultan Abu Bakar</x:v>
      </x:c>
      <x:c r="I81" s="12" t="str">
        <x:v>https://www.utusan.com.my/terkini/2026/09/beberapa-kawasan-di-johor-bahru-dinaiki-air-susulan-hujan-lebat/
https://jps.johor.gov.my/%F0%9D%90%93%F0%9D%90%88%F0%9D%90%8D%F0%9D%90%89%F0%9D%90%80%F0%9D%90%94%F0%9D%90%80%F0%9D%90%8D-%F0%9D%90%8F%F0%9D%90%84%F0%9D%90%8D%F0%9D%90%86%F0%9D%90%80%F0%9D%90%91%F0%9D%90%80%F0%9D%90%87/</x:v>
      </x:c>
    </x:row>
    <x:row r="82">
      <x:c r="A82" s="12" t="str">
        <x:v>FLOC-0063</x:v>
      </x:c>
      <x:c r="B82" s="12" t="str">
        <x:v>Jalan Tampoi</x:v>
      </x:c>
      <x:c r="C82" s="12" t="str">
        <x:v>DG-JB-20231214</x:v>
      </x:c>
      <x:c r="D82" s="18" t="n">
        <x:v>45274</x:v>
      </x:c>
      <x:c r="E82" s="18" t="n">
        <x:v>45274</x:v>
      </x:c>
      <x:c r="F82" s="12" t="n">
        <x:v>2023</x:v>
      </x:c>
      <x:c r="G82" s="12" t="str">
        <x:v>EVT-JB-2023-061</x:v>
      </x:c>
      <x:c r="H82" s="12" t="str">
        <x:v>Jalan Tampoi</x:v>
      </x:c>
      <x:c r="I82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</x:row>
    <x:row r="83">
      <x:c r="A83" s="12" t="str">
        <x:v>FLOC-0064</x:v>
      </x:c>
      <x:c r="B83" s="12" t="str">
        <x:v>Jalan Tawakal, Kampung Melayu Kangkar Pulai</x:v>
      </x:c>
      <x:c r="C83" s="12" t="str">
        <x:v>DG-JB-20200513</x:v>
      </x:c>
      <x:c r="D83" s="18" t="n">
        <x:v>43964</x:v>
      </x:c>
      <x:c r="E83" s="18" t="n">
        <x:v>43964</x:v>
      </x:c>
      <x:c r="F83" s="12" t="n">
        <x:v>2020</x:v>
      </x:c>
      <x:c r="G83" s="12" t="str">
        <x:v>EVT-JB-20200513-JALAN-TAWAKAL-KAMPUNG-MELAYU-KANGKAR-PULAI</x:v>
      </x:c>
      <x:c r="H83" s="12" t="str">
        <x:v>Jalan Tawakal, Kampung Melayu Kangkar Pulai</x:v>
      </x:c>
      <x:c r="I83" s="12" t="str">
        <x:v>https://bangi.pulasan.my/_media/lampiran/lbt2020.pdf</x:v>
      </x:c>
    </x:row>
    <x:row r="84">
      <x:c r="A84" s="12" t="str">
        <x:v>FLOC-0065</x:v>
      </x:c>
      <x:c r="B84" s="12" t="str">
        <x:v>Jalan Tebrau</x:v>
      </x:c>
      <x:c r="C84" s="12" t="str">
        <x:v>DG-JB-20231206</x:v>
      </x:c>
      <x:c r="D84" s="18" t="n">
        <x:v>45266</x:v>
      </x:c>
      <x:c r="E84" s="18" t="n">
        <x:v>45266</x:v>
      </x:c>
      <x:c r="F84" s="12" t="n">
        <x:v>2023</x:v>
      </x:c>
      <x:c r="G84" s="12" t="str">
        <x:v>EVT-JB-2023-037</x:v>
      </x:c>
      <x:c r="H84" s="12" t="str">
        <x:v>Jalan Tebrau</x:v>
      </x:c>
      <x:c r="I84" s="12" t="str">
        <x:v>https://www.freemalaysiatoday.com/category/bahasa/tempatan/2023/12/06/banjir-kilat-landa-25-kawasan-di-jb
https://mediadigitaljohor.gov.my/banjir-kilat-mbjb-laksana-tindakan-proaktif/</x:v>
      </x:c>
    </x:row>
    <x:row r="85">
      <x:c r="A85" s="12" t="str">
        <x:v>FLOC-0066</x:v>
      </x:c>
      <x:c r="B85" s="12" t="str">
        <x:v>Jalan Tebrau near Wisma Daiman</x:v>
      </x:c>
      <x:c r="C85" s="12" t="str">
        <x:v>DG-JB-20170102</x:v>
      </x:c>
      <x:c r="D85" s="18" t="n">
        <x:v>42737</x:v>
      </x:c>
      <x:c r="E85" s="18" t="n">
        <x:v>42737</x:v>
      </x:c>
      <x:c r="F85" s="12" t="n">
        <x:v>2017</x:v>
      </x:c>
      <x:c r="G85" s="12" t="str">
        <x:v>EVT-JB-20170102-JALAN-TEBRAU-NEAR-WISMA-DAIMAN</x:v>
      </x:c>
      <x:c r="H85" s="12" t="str">
        <x:v>Jalan Tebrau near Wisma Daiman</x:v>
      </x:c>
      <x:c r="I85" s="12" t="str">
        <x:v>https://www.malaysiakini.com/news/367964</x:v>
      </x:c>
    </x:row>
    <x:row r="86">
      <x:c r="A86" s="12" t="str">
        <x:v>FLOC-0067</x:v>
      </x:c>
      <x:c r="B86" s="12" t="str">
        <x:v>Jalan Tebrau, Taman Sentosa</x:v>
      </x:c>
      <x:c r="C86" s="12" t="str">
        <x:v>DG-JB-20181010</x:v>
      </x:c>
      <x:c r="D86" s="18" t="n">
        <x:v>43383</x:v>
      </x:c>
      <x:c r="E86" s="18" t="n">
        <x:v>43383</x:v>
      </x:c>
      <x:c r="F86" s="12" t="n">
        <x:v>2018</x:v>
      </x:c>
      <x:c r="G86" s="12" t="str">
        <x:v>EVT-JB-20181010-JALAN-TEBRAU-TAMAN-SENTOSA</x:v>
      </x:c>
      <x:c r="H86" s="12" t="str">
        <x:v>Jalan Tebrau, Taman Sentosa</x:v>
      </x:c>
      <x:c r="I86" s="12" t="str">
        <x:v>https://www.malaymail.com/news/malaysia/2018/10/10/heavy-rain-flash-floods-make-life-hard-for-jbs-elderly/1681455</x:v>
      </x:c>
    </x:row>
    <x:row r="87">
      <x:c r="A87" s="12" t="str">
        <x:v>FLOC-0068</x:v>
      </x:c>
      <x:c r="B87" s="12" t="str">
        <x:v>Jalan Tun Abdul Razak</x:v>
      </x:c>
      <x:c r="C87" s="12" t="str">
        <x:v>DG-JB-20220802</x:v>
      </x:c>
      <x:c r="D87" s="18" t="n">
        <x:v>44775</x:v>
      </x:c>
      <x:c r="E87" s="18" t="n">
        <x:v>44775</x:v>
      </x:c>
      <x:c r="F87" s="12" t="n">
        <x:v>2022</x:v>
      </x:c>
      <x:c r="G87" s="12" t="str">
        <x:v>EVT-JB-2022-008</x:v>
      </x:c>
      <x:c r="H87" s="12" t="str">
        <x:v>Jalan Tun Abdul Razak</x:v>
      </x:c>
      <x:c r="I87" s="12" t="str">
        <x:v>https://www.bernama.com/bm/news.php?id=2106629</x:v>
      </x:c>
    </x:row>
    <x:row r="88">
      <x:c r="A88" s="12" t="str">
        <x:v>FLOC-0068</x:v>
      </x:c>
      <x:c r="B88" s="12" t="str">
        <x:v>Jalan Tun Abdul Razak</x:v>
      </x:c>
      <x:c r="C88" s="12" t="str">
        <x:v>DG-JB-20231206</x:v>
      </x:c>
      <x:c r="D88" s="18" t="n">
        <x:v>45266</x:v>
      </x:c>
      <x:c r="E88" s="18" t="n">
        <x:v>45266</x:v>
      </x:c>
      <x:c r="F88" s="12" t="n">
        <x:v>2023</x:v>
      </x:c>
      <x:c r="G88" s="12" t="str">
        <x:v>EVT-JB-2023-038; EVT-JB-2023-039; EVT-JB-2023-040</x:v>
      </x:c>
      <x:c r="H88" s="12" t="str">
        <x:v>Jalan Tun Abdul Razak | Jalan Tun Abdul Razak (Susur 2) | Jalan Tun Abdul Razak (Susur 3)</x:v>
      </x:c>
      <x:c r="I88" s="12" t="str">
        <x:v>https://www.freemalaysiatoday.com/category/bahasa/tempatan/2023/12/06/banjir-kilat-landa-25-kawasan-di-jb
https://mediadigitaljohor.gov.my/banjir-kilat-mbjb-laksana-tindakan-proaktif/
https://www.freemalaysiatoday.com/category/bahasa/tempatan/2023/12/06/banjir-kilat-landa-25-kawasan-di-jb</x:v>
      </x:c>
    </x:row>
    <x:row r="89">
      <x:c r="A89" s="12" t="str">
        <x:v>FLOC-0068</x:v>
      </x:c>
      <x:c r="B89" s="12" t="str">
        <x:v>Jalan Tun Abdul Razak</x:v>
      </x:c>
      <x:c r="C89" s="12" t="str">
        <x:v>DG-JB-20251212</x:v>
      </x:c>
      <x:c r="D89" s="18" t="n">
        <x:v>46003</x:v>
      </x:c>
      <x:c r="E89" s="18" t="n">
        <x:v>46003</x:v>
      </x:c>
      <x:c r="F89" s="12" t="n">
        <x:v>2025</x:v>
      </x:c>
      <x:c r="G89" s="12" t="str">
        <x:v>EVT-JB-2025-045</x:v>
      </x:c>
      <x:c r="H89" s="12" t="str">
        <x:v>Jalan Tun Abdul Razak</x:v>
      </x:c>
      <x:c r="I89" s="12" t="str">
        <x:v>https://www.kosmo.com.my/2025/12/12/video-hujan-lebat-lebih-2-jam-johor-bahru-dilanda-banjir-kilat/</x:v>
      </x:c>
    </x:row>
    <x:row r="90">
      <x:c r="A90" s="12" t="str">
        <x:v>FLOC-0069</x:v>
      </x:c>
      <x:c r="B90" s="12" t="str">
        <x:v>Jalan Wong Ah Fook</x:v>
      </x:c>
      <x:c r="C90" s="12" t="str">
        <x:v>DG-JB-20251212</x:v>
      </x:c>
      <x:c r="D90" s="18" t="n">
        <x:v>46003</x:v>
      </x:c>
      <x:c r="E90" s="18" t="n">
        <x:v>46003</x:v>
      </x:c>
      <x:c r="F90" s="12" t="n">
        <x:v>2025</x:v>
      </x:c>
      <x:c r="G90" s="12" t="str">
        <x:v>EVT-JB-2025-044</x:v>
      </x:c>
      <x:c r="H90" s="12" t="str">
        <x:v>Jalan Wong Ah Fook</x:v>
      </x:c>
      <x:c r="I90" s="12" t="str">
        <x:v>https://www.kosmo.com.my/2025/12/12/video-hujan-lebat-lebih-2-jam-johor-bahru-dilanda-banjir-kilat/</x:v>
      </x:c>
    </x:row>
    <x:row r="91">
      <x:c r="A91" s="12" t="str">
        <x:v>FLOC-0069</x:v>
      </x:c>
      <x:c r="B91" s="12" t="str">
        <x:v>Jalan Wong Ah Fook</x:v>
      </x:c>
      <x:c r="C91" s="12" t="str">
        <x:v>DG-JB-20260930</x:v>
      </x:c>
      <x:c r="D91" s="18" t="n">
        <x:v>46295</x:v>
      </x:c>
      <x:c r="E91" s="18" t="n">
        <x:v>46295</x:v>
      </x:c>
      <x:c r="F91" s="12" t="n">
        <x:v>2026</x:v>
      </x:c>
      <x:c r="G91" s="12" t="str">
        <x:v>EVT-JB-2026-005</x:v>
      </x:c>
      <x:c r="H91" s="12" t="str">
        <x:v>Jalan Wong Ah Fook</x:v>
      </x:c>
      <x:c r="I91" s="12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</x:row>
    <x:row r="92">
      <x:c r="A92" s="12" t="str">
        <x:v>FLOC-0070</x:v>
      </x:c>
      <x:c r="B92" s="12" t="str">
        <x:v>Jalan Wong Ah Fook / Sungai Segget Project Area</x:v>
      </x:c>
      <x:c r="C92" s="12" t="str">
        <x:v>DG-JB-20160117</x:v>
      </x:c>
      <x:c r="D92" s="18" t="n">
        <x:v>42386</x:v>
      </x:c>
      <x:c r="E92" s="18" t="n">
        <x:v>42386</x:v>
      </x:c>
      <x:c r="F92" s="12" t="n">
        <x:v>2016</x:v>
      </x:c>
      <x:c r="G92" s="12" t="str">
        <x:v>EVT-JB-20160117-WONG-AH-FOOK-SEGGET</x:v>
      </x:c>
      <x:c r="H92" s="12" t="str">
        <x:v>Jalan Wong Ah Fook / Sungai Segget project area, Johor Bahru city centre; event spatially anchored near No. 49 Jalan Wong Ah Fook.</x:v>
      </x:c>
      <x:c r="I92" s="12" t="str">
        <x:v>https://supremetoday.ai/doc/judgement/MYS00000119253</x:v>
      </x:c>
    </x:row>
    <x:row r="93">
      <x:c r="A93" s="12" t="str">
        <x:v>FLOC-0070</x:v>
      </x:c>
      <x:c r="B93" s="12" t="str">
        <x:v>Jalan Wong Ah Fook / Sungai Segget Project Area</x:v>
      </x:c>
      <x:c r="C93" s="12" t="str">
        <x:v>DG-JB-20170102</x:v>
      </x:c>
      <x:c r="D93" s="18" t="n">
        <x:v>42737</x:v>
      </x:c>
      <x:c r="E93" s="18" t="n">
        <x:v>42737</x:v>
      </x:c>
      <x:c r="F93" s="12" t="n">
        <x:v>2017</x:v>
      </x:c>
      <x:c r="G93" s="12" t="str">
        <x:v>EVT-JB-20170102-JALAN-WONG-AH-FOOK-SUNGAI-SEGGET</x:v>
      </x:c>
      <x:c r="H93" s="12" t="str">
        <x:v>Jalan Wong Ah Fook / Sungai Segget</x:v>
      </x:c>
      <x:c r="I93" s="12" t="str">
        <x:v>https://www.malaysiakini.com/news/367964</x:v>
      </x:c>
    </x:row>
    <x:row r="94">
      <x:c r="A94" s="12" t="str">
        <x:v>FLOC-0070</x:v>
      </x:c>
      <x:c r="B94" s="12" t="str">
        <x:v>Jalan Wong Ah Fook / Sungai Segget Project Area</x:v>
      </x:c>
      <x:c r="C94" s="12" t="str">
        <x:v>DG-JB-20220802</x:v>
      </x:c>
      <x:c r="D94" s="18" t="n">
        <x:v>44775</x:v>
      </x:c>
      <x:c r="E94" s="18" t="n">
        <x:v>44775</x:v>
      </x:c>
      <x:c r="F94" s="12" t="n">
        <x:v>2022</x:v>
      </x:c>
      <x:c r="G94" s="12" t="str">
        <x:v>EVT-JB-2022-007</x:v>
      </x:c>
      <x:c r="H94" s="12" t="str">
        <x:v>Jalan Wong Ah Fook</x:v>
      </x:c>
      <x:c r="I94" s="12" t="str">
        <x:v>https://www.bernama.com/bm/news.php?id=2106629
https://www.malaymail.com/news/malaysia/2022/08/02/parts-of-johor-baru-hit-by-flash-floods-video/20634</x:v>
      </x:c>
    </x:row>
    <x:row r="95">
      <x:c r="A95" s="12" t="str">
        <x:v>FLOC-0071</x:v>
      </x:c>
      <x:c r="B95" s="12" t="str">
        <x:v>Jalan Yahya Awal</x:v>
      </x:c>
      <x:c r="C95" s="12" t="str">
        <x:v>DG-JB-20220802</x:v>
      </x:c>
      <x:c r="D95" s="18" t="n">
        <x:v>44775</x:v>
      </x:c>
      <x:c r="E95" s="18" t="n">
        <x:v>44775</x:v>
      </x:c>
      <x:c r="F95" s="12" t="n">
        <x:v>2022</x:v>
      </x:c>
      <x:c r="G95" s="12" t="str">
        <x:v>EVT-JB-2022-010</x:v>
      </x:c>
      <x:c r="H95" s="12" t="str">
        <x:v>Jalan Yahya Awal</x:v>
      </x:c>
      <x:c r="I95" s="12" t="str">
        <x:v>https://www.bernama.com/bm/news.php?id=2106629
https://www.malaymail.com/news/malaysia/2022/08/02/parts-of-johor-baru-hit-by-flash-floods-video/20634</x:v>
      </x:c>
    </x:row>
    <x:row r="96">
      <x:c r="A96" s="12" t="str">
        <x:v>FLOC-0071</x:v>
      </x:c>
      <x:c r="B96" s="12" t="str">
        <x:v>Jalan Yahya Awal</x:v>
      </x:c>
      <x:c r="C96" s="12" t="str">
        <x:v>DG-JB-20231206</x:v>
      </x:c>
      <x:c r="D96" s="18" t="n">
        <x:v>45266</x:v>
      </x:c>
      <x:c r="E96" s="18" t="n">
        <x:v>45266</x:v>
      </x:c>
      <x:c r="F96" s="12" t="n">
        <x:v>2023</x:v>
      </x:c>
      <x:c r="G96" s="12" t="str">
        <x:v>EVT-JB-2023-041</x:v>
      </x:c>
      <x:c r="H96" s="12" t="str">
        <x:v>Jalan Yahya Awal</x:v>
      </x:c>
      <x:c r="I96" s="12" t="str">
        <x:v>https://www.freemalaysiatoday.com/category/bahasa/tempatan/2023/12/06/banjir-kilat-landa-25-kawasan-di-jb
https://mediadigitaljohor.gov.my/banjir-kilat-mbjb-laksana-tindakan-proaktif/</x:v>
      </x:c>
    </x:row>
    <x:row r="97">
      <x:c r="A97" s="12" t="str">
        <x:v>FLOC-0071</x:v>
      </x:c>
      <x:c r="B97" s="12" t="str">
        <x:v>Jalan Yahya Awal</x:v>
      </x:c>
      <x:c r="C97" s="12" t="str">
        <x:v>DG-JB-20260930</x:v>
      </x:c>
      <x:c r="D97" s="18" t="n">
        <x:v>46295</x:v>
      </x:c>
      <x:c r="E97" s="18" t="n">
        <x:v>46295</x:v>
      </x:c>
      <x:c r="F97" s="12" t="n">
        <x:v>2026</x:v>
      </x:c>
      <x:c r="G97" s="12" t="str">
        <x:v>EVT-JB-2026-003</x:v>
      </x:c>
      <x:c r="H97" s="12" t="str">
        <x:v>Jalan Yahya / Jalan Yahya Awal</x:v>
      </x:c>
      <x:c r="I97" s="12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</x:row>
    <x:row r="98">
      <x:c r="A98" s="12" t="str">
        <x:v>FLOC-0072</x:v>
      </x:c>
      <x:c r="B98" s="12" t="str">
        <x:v>Kampung Aman</x:v>
      </x:c>
      <x:c r="C98" s="12" t="str">
        <x:v>DG-JB-20230214</x:v>
      </x:c>
      <x:c r="D98" s="18" t="n">
        <x:v>44971</x:v>
      </x:c>
      <x:c r="E98" s="18" t="n">
        <x:v>44971</x:v>
      </x:c>
      <x:c r="F98" s="12" t="n">
        <x:v>2023</x:v>
      </x:c>
      <x:c r="G98" s="12" t="str">
        <x:v>EVT-JB-2023-002</x:v>
      </x:c>
      <x:c r="H98" s="12" t="str">
        <x:v>Kampung Aman</x:v>
      </x:c>
      <x:c r="I98" s="12" t="str">
        <x:v>https://www.sinarharian.com.my/article/245217/edisi/johor/johor-bahru-dilanda-banjir-kilat</x:v>
      </x:c>
    </x:row>
    <x:row r="99">
      <x:c r="A99" s="12" t="str">
        <x:v>FLOC-0073</x:v>
      </x:c>
      <x:c r="B99" s="12" t="str">
        <x:v>Kampung Bakar Batu</x:v>
      </x:c>
      <x:c r="C99" s="12" t="str">
        <x:v>DG-JB-20170102</x:v>
      </x:c>
      <x:c r="D99" s="18" t="n">
        <x:v>42737</x:v>
      </x:c>
      <x:c r="E99" s="18" t="n">
        <x:v>42737</x:v>
      </x:c>
      <x:c r="F99" s="12" t="n">
        <x:v>2017</x:v>
      </x:c>
      <x:c r="G99" s="12" t="str">
        <x:v>EVT-JB-20170102-KAMPUNG-BAKAR-BATU</x:v>
      </x:c>
      <x:c r="H99" s="12" t="str">
        <x:v>Kampung Bakar Batu</x:v>
      </x:c>
      <x:c r="I99" s="12" t="str">
        <x:v>https://www.malaysiakini.com/news/367964</x:v>
      </x:c>
    </x:row>
    <x:row r="100">
      <x:c r="A100" s="12" t="str">
        <x:v>FLOC-0074</x:v>
      </x:c>
      <x:c r="B100" s="12" t="str">
        <x:v>Kampung Baru Muafakat, Gelang Patah</x:v>
      </x:c>
      <x:c r="C100" s="12" t="str">
        <x:v>DG-JB-20200620</x:v>
      </x:c>
      <x:c r="D100" s="18" t="n">
        <x:v>44002</x:v>
      </x:c>
      <x:c r="E100" s="18" t="n">
        <x:v>44002</x:v>
      </x:c>
      <x:c r="F100" s="12" t="n">
        <x:v>2020</x:v>
      </x:c>
      <x:c r="G100" s="12" t="str">
        <x:v>EVT-JB-20200620-KAMPUNG-BARU-MUAFAKAT</x:v>
      </x:c>
      <x:c r="H100" s="12" t="str">
        <x:v>Kampung Baru Muafakat</x:v>
      </x:c>
      <x:c r="I100" s="12" t="str">
        <x:v>https://bangi.pulasan.my/_media/lampiran/lbt2020.pdf</x:v>
      </x:c>
    </x:row>
    <x:row r="101">
      <x:c r="A101" s="12" t="str">
        <x:v>FLOC-0074</x:v>
      </x:c>
      <x:c r="B101" s="12" t="str">
        <x:v>Kampung Baru Muafakat, Gelang Patah</x:v>
      </x:c>
      <x:c r="C101" s="12" t="str">
        <x:v>DG-JB-20201116</x:v>
      </x:c>
      <x:c r="D101" s="18" t="n">
        <x:v>44151</x:v>
      </x:c>
      <x:c r="E101" s="18" t="n">
        <x:v>44151</x:v>
      </x:c>
      <x:c r="F101" s="12" t="n">
        <x:v>2020</x:v>
      </x:c>
      <x:c r="G101" s="12" t="str">
        <x:v>EVT-JB-20201116-KAMPUNG-MUAFAKAT-GELANG-PATAH</x:v>
      </x:c>
      <x:c r="H101" s="12" t="str">
        <x:v>Kampung Muafakat, Gelang Patah</x:v>
      </x:c>
      <x:c r="I101" s="12" t="str">
        <x:v>https://bangi.pulasan.my/_media/lampiran/lbt2020.pdf</x:v>
      </x:c>
    </x:row>
    <x:row r="102">
      <x:c r="A102" s="12" t="str">
        <x:v>FLOC-0074</x:v>
      </x:c>
      <x:c r="B102" s="12" t="str">
        <x:v>Kampung Baru Muafakat, Gelang Patah</x:v>
      </x:c>
      <x:c r="C102" s="12" t="str">
        <x:v>DG-JB-20220307</x:v>
      </x:c>
      <x:c r="D102" s="18" t="n">
        <x:v>44627</x:v>
      </x:c>
      <x:c r="E102" s="18" t="n">
        <x:v>44627</x:v>
      </x:c>
      <x:c r="F102" s="12" t="n">
        <x:v>2022</x:v>
      </x:c>
      <x:c r="G102" s="12" t="str">
        <x:v>EVT-JB-2022-002</x:v>
      </x:c>
      <x:c r="H102" s="12" t="str">
        <x:v>Kampung Baru Muafakat, Gelang Patah</x:v>
      </x:c>
      <x:c r="I102" s="12" t="str">
        <x:v>https://berita.rtm.gov.my/nasional/senarai-berita-nasional/senarai-artikel/banjir-kilat-di-johor-bahru-dan-kulai-surut-pukul-6-petang/
https://www.water.gov.my/jps/resources/Anual%20Flood%20Reporting%20/LBT_2022.pdf</x:v>
      </x:c>
    </x:row>
    <x:row r="103">
      <x:c r="A103" s="12" t="str">
        <x:v>FLOC-0074</x:v>
      </x:c>
      <x:c r="B103" s="12" t="str">
        <x:v>Kampung Baru Muafakat, Gelang Patah</x:v>
      </x:c>
      <x:c r="C103" s="12" t="str">
        <x:v>DG-JB-20220925</x:v>
      </x:c>
      <x:c r="D103" s="18" t="n">
        <x:v>44829</x:v>
      </x:c>
      <x:c r="E103" s="18" t="n">
        <x:v>44829</x:v>
      </x:c>
      <x:c r="F103" s="12" t="n">
        <x:v>2022</x:v>
      </x:c>
      <x:c r="G103" s="12" t="str">
        <x:v>EVT-JB-2022-034</x:v>
      </x:c>
      <x:c r="H103" s="12" t="str">
        <x:v>Kampung Baru Muafakat</x:v>
      </x:c>
      <x:c r="I103" s="12" t="str">
        <x:v>https://www.utusan.com.my/berita/2022/09/10-kawasan-di-johor-bahru-dilanda-banjir-kilat/
https://www.bharian.com.my/</x:v>
      </x:c>
    </x:row>
    <x:row r="104">
      <x:c r="A104" s="12" t="str">
        <x:v>FLOC-0075</x:v>
      </x:c>
      <x:c r="B104" s="12" t="str">
        <x:v>Kampung Batu 8 1/2, TUTA</x:v>
      </x:c>
      <x:c r="C104" s="12" t="str">
        <x:v>DG-JB-20191215</x:v>
      </x:c>
      <x:c r="D104" s="18" t="n">
        <x:v>43814</x:v>
      </x:c>
      <x:c r="E104" s="18" t="n">
        <x:v>43814</x:v>
      </x:c>
      <x:c r="F104" s="12" t="n">
        <x:v>2019</x:v>
      </x:c>
      <x:c r="G104" s="12" t="str">
        <x:v>EVT-JB-20191215-KAMPUNG-BATU-8-1-2-TUTA</x:v>
      </x:c>
      <x:c r="H104" s="12" t="str">
        <x:v>Kampung Batu 8 1/2 TUTA</x:v>
      </x:c>
      <x:c r="I104" s="12" t="str">
        <x:v>https://www.scribd.com/document/975564939/JPS2019</x:v>
      </x:c>
    </x:row>
    <x:row r="105">
      <x:c r="A105" s="12" t="str">
        <x:v>FLOC-0076</x:v>
      </x:c>
      <x:c r="B105" s="12" t="str">
        <x:v>Kampung Belantik</x:v>
      </x:c>
      <x:c r="C105" s="12" t="str">
        <x:v>DG-JB-20181010</x:v>
      </x:c>
      <x:c r="D105" s="18" t="n">
        <x:v>43383</x:v>
      </x:c>
      <x:c r="E105" s="18" t="n">
        <x:v>43383</x:v>
      </x:c>
      <x:c r="F105" s="12" t="n">
        <x:v>2018</x:v>
      </x:c>
      <x:c r="G105" s="12" t="str">
        <x:v>EVT-JB-20181010-KAMPUNG-BELANTIK</x:v>
      </x:c>
      <x:c r="H105" s="12" t="str">
        <x:v>Kampung Belantik</x:v>
      </x:c>
      <x:c r="I105" s="12" t="str">
        <x:v>https://bangi.pulasan.my/_media/lampiran/lbt2018_2019.pdf</x:v>
      </x:c>
    </x:row>
    <x:row r="106">
      <x:c r="A106" s="12" t="str">
        <x:v>FLOC-0076</x:v>
      </x:c>
      <x:c r="B106" s="12" t="str">
        <x:v>Kampung Belantik</x:v>
      </x:c>
      <x:c r="C106" s="12" t="str">
        <x:v>DG-JB-20250319-20250324</x:v>
      </x:c>
      <x:c r="D106" s="18" t="n">
        <x:v>45736</x:v>
      </x:c>
      <x:c r="E106" s="18" t="n">
        <x:v>45736</x:v>
      </x:c>
      <x:c r="F106" s="12" t="n">
        <x:v>2025</x:v>
      </x:c>
      <x:c r="G106" s="12" t="str">
        <x:v>EVT-JB-2025-018</x:v>
      </x:c>
      <x:c r="H106" s="12" t="str">
        <x:v>Kampung Belantik</x:v>
      </x:c>
      <x:c r="I106" s="12" t="str">
        <x:v>https://www.nadma.gov.my/bi/media-en/news/3415-banjir-terburuk-dalam-tempoh-30-tahun-datuk-bandar-mbjb</x:v>
      </x:c>
    </x:row>
    <x:row r="107">
      <x:c r="A107" s="12" t="str">
        <x:v>FLOC-0077</x:v>
      </x:c>
      <x:c r="B107" s="12" t="str">
        <x:v>Kampung Bendahara</x:v>
      </x:c>
      <x:c r="C107" s="12" t="str">
        <x:v>DG-JB-20181010</x:v>
      </x:c>
      <x:c r="D107" s="18" t="n">
        <x:v>43383</x:v>
      </x:c>
      <x:c r="E107" s="18" t="n">
        <x:v>43383</x:v>
      </x:c>
      <x:c r="F107" s="12" t="n">
        <x:v>2018</x:v>
      </x:c>
      <x:c r="G107" s="12" t="str">
        <x:v>EVT-JB-20181010-KAMPUNG-BENDAHARA</x:v>
      </x:c>
      <x:c r="H107" s="12" t="str">
        <x:v>Kampung Bendahara</x:v>
      </x:c>
      <x:c r="I107" s="12" t="str">
        <x:v>https://bangi.pulasan.my/_media/lampiran/lbt2018_2019.pdf</x:v>
      </x:c>
    </x:row>
    <x:row r="108">
      <x:c r="A108" s="12" t="str">
        <x:v>FLOC-0078</x:v>
      </x:c>
      <x:c r="B108" s="12" t="str">
        <x:v>Kampung Bukit Berangan</x:v>
      </x:c>
      <x:c r="C108" s="12" t="str">
        <x:v>DG-JB-20170124-20170125</x:v>
      </x:c>
      <x:c r="D108" s="18" t="n">
        <x:v>42759</x:v>
      </x:c>
      <x:c r="E108" s="18" t="n">
        <x:v>42759</x:v>
      </x:c>
      <x:c r="F108" s="12" t="n">
        <x:v>2017</x:v>
      </x:c>
      <x:c r="G108" s="12" t="str">
        <x:v>EVT-JB-20170124-KAMPUNG-BUKIT-BERANGAN</x:v>
      </x:c>
      <x:c r="H108" s="12" t="str">
        <x:v>Kampung Bukit Berangan</x:v>
      </x:c>
      <x:c r="I108" s="12" t="str">
        <x:v>https://www.scribd.com/document/389922687/Banjir-Tahun1617</x:v>
      </x:c>
    </x:row>
    <x:row r="109">
      <x:c r="A109" s="12" t="str">
        <x:v>FLOC-0079</x:v>
      </x:c>
      <x:c r="B109" s="12" t="str">
        <x:v>Kampung Bukit Dagang</x:v>
      </x:c>
      <x:c r="C109" s="12" t="str">
        <x:v>DG-JB-20191215</x:v>
      </x:c>
      <x:c r="D109" s="18" t="n">
        <x:v>43814</x:v>
      </x:c>
      <x:c r="E109" s="18" t="n">
        <x:v>43814</x:v>
      </x:c>
      <x:c r="F109" s="12" t="n">
        <x:v>2019</x:v>
      </x:c>
      <x:c r="G109" s="12" t="str">
        <x:v>EVT-JB-20191215-KAMPUNG-BUKIT-DAGANG</x:v>
      </x:c>
      <x:c r="H109" s="12" t="str">
        <x:v>Kampung Bukit Dagang</x:v>
      </x:c>
      <x:c r="I109" s="12" t="str">
        <x:v>https://www.scribd.com/document/975564939/JPS2019</x:v>
      </x:c>
    </x:row>
    <x:row r="110">
      <x:c r="A110" s="12" t="str">
        <x:v>FLOC-0079</x:v>
      </x:c>
      <x:c r="B110" s="12" t="str">
        <x:v>Kampung Bukit Dagang</x:v>
      </x:c>
      <x:c r="C110" s="12" t="str">
        <x:v>DG-JB-20240104-20240113</x:v>
      </x:c>
      <x:c r="D110" s="18" t="n">
        <x:v>45298</x:v>
      </x:c>
      <x:c r="E110" s="18" t="n">
        <x:v>45298</x:v>
      </x:c>
      <x:c r="F110" s="12" t="n">
        <x:v>2024</x:v>
      </x:c>
      <x:c r="G110" s="12" t="str">
        <x:v>EVT-JB-2024-007</x:v>
      </x:c>
      <x:c r="H110" s="12" t="str">
        <x:v>Kampung Bukit Dagang</x:v>
      </x:c>
      <x:c r="I110" s="12" t="str">
        <x:v>https://www.malaymail.com/news/malaysia/2024/01/07/johor-floods-230-villagers-in-kg-bukit-dagang-cut-off-after-access-road-flooded/111111
https://bernama.com/bm/news.php?id=2260348</x:v>
      </x:c>
    </x:row>
    <x:row r="111">
      <x:c r="A111" s="12" t="str">
        <x:v>FLOC-0080</x:v>
      </x:c>
      <x:c r="B111" s="12" t="str">
        <x:v>Kampung Bunga Ros</x:v>
      </x:c>
      <x:c r="C111" s="12" t="str">
        <x:v>DG-JB-20191215</x:v>
      </x:c>
      <x:c r="D111" s="18" t="n">
        <x:v>43814</x:v>
      </x:c>
      <x:c r="E111" s="18" t="n">
        <x:v>43814</x:v>
      </x:c>
      <x:c r="F111" s="12" t="n">
        <x:v>2019</x:v>
      </x:c>
      <x:c r="G111" s="12" t="str">
        <x:v>EVT-JB-20191215-KAMPUNG-BUNGA-ROS</x:v>
      </x:c>
      <x:c r="H111" s="12" t="str">
        <x:v>Kampung Bunga Ros</x:v>
      </x:c>
      <x:c r="I111" s="12" t="str">
        <x:v>https://www.scribd.com/document/975564939/JPS2019</x:v>
      </x:c>
    </x:row>
    <x:row r="112">
      <x:c r="A112" s="12" t="str">
        <x:v>FLOC-0080</x:v>
      </x:c>
      <x:c r="B112" s="12" t="str">
        <x:v>Kampung Bunga Ros</x:v>
      </x:c>
      <x:c r="C112" s="12" t="str">
        <x:v>DG-JB-20220820</x:v>
      </x:c>
      <x:c r="D112" s="18" t="n">
        <x:v>44793</x:v>
      </x:c>
      <x:c r="E112" s="18" t="n">
        <x:v>44793</x:v>
      </x:c>
      <x:c r="F112" s="12" t="n">
        <x:v>2022</x:v>
      </x:c>
      <x:c r="G112" s="12" t="str">
        <x:v>EVT-JB-2022-023</x:v>
      </x:c>
      <x:c r="H112" s="12" t="str">
        <x:v>Kampung Bunga Ros</x:v>
      </x:c>
      <x:c r="I112" s="12" t="str">
        <x:v>https://www.water.gov.my/jps/resources/Anual%20Flood%20Reporting%20/LBT_2022.pdf</x:v>
      </x:c>
    </x:row>
    <x:row r="113">
      <x:c r="A113" s="12" t="str">
        <x:v>FLOC-0080</x:v>
      </x:c>
      <x:c r="B113" s="12" t="str">
        <x:v>Kampung Bunga Ros</x:v>
      </x:c>
      <x:c r="C113" s="12" t="str">
        <x:v>DG-JB-20250319-20250324</x:v>
      </x:c>
      <x:c r="D113" s="18" t="n">
        <x:v>45735</x:v>
      </x:c>
      <x:c r="E113" s="18" t="n">
        <x:v>45735</x:v>
      </x:c>
      <x:c r="F113" s="12" t="n">
        <x:v>2025</x:v>
      </x:c>
      <x:c r="G113" s="12" t="str">
        <x:v>EVT-JB-2025-008</x:v>
      </x:c>
      <x:c r="H113" s="12" t="str">
        <x:v>Kampung Bunga Ros</x:v>
      </x:c>
      <x:c r="I113" s="12" t="str">
        <x:v>https://www.nadma.gov.my/bm/media-2/berita/3257-banjir-tiga-pps-dibuka-di-johor-bahru-68-penduduk-terjejas</x:v>
      </x:c>
    </x:row>
    <x:row r="114">
      <x:c r="A114" s="12" t="str">
        <x:v>FLOC-0081</x:v>
      </x:c>
      <x:c r="B114" s="12" t="str">
        <x:v>Kampung Dagang, Sungai Tiram context</x:v>
      </x:c>
      <x:c r="C114" s="12" t="str">
        <x:v>DG-JB-20190118</x:v>
      </x:c>
      <x:c r="D114" s="18" t="n">
        <x:v>43483</x:v>
      </x:c>
      <x:c r="E114" s="18" t="n">
        <x:v>43483</x:v>
      </x:c>
      <x:c r="F114" s="12" t="n">
        <x:v>2019</x:v>
      </x:c>
      <x:c r="G114" s="12" t="str">
        <x:v>EVT-JB-20190118-KAMPUNG-DAGANG</x:v>
      </x:c>
      <x:c r="H114" s="12" t="str">
        <x:v>Kampung Dagang</x:v>
      </x:c>
      <x:c r="I114" s="12" t="str">
        <x:v>https://www.scribd.com/document/975564939/JPS2019</x:v>
      </x:c>
    </x:row>
    <x:row r="115">
      <x:c r="A115" s="12" t="str">
        <x:v>FLOC-0082</x:v>
      </x:c>
      <x:c r="B115" s="12" t="str">
        <x:v>Kampung Dato Sulaiman Menteri</x:v>
      </x:c>
      <x:c r="C115" s="12" t="str">
        <x:v>DG-JB-20181010</x:v>
      </x:c>
      <x:c r="D115" s="18" t="n">
        <x:v>43383</x:v>
      </x:c>
      <x:c r="E115" s="18" t="n">
        <x:v>43383</x:v>
      </x:c>
      <x:c r="F115" s="12" t="n">
        <x:v>2018</x:v>
      </x:c>
      <x:c r="G115" s="12" t="str">
        <x:v>EVT-JB-20181010-KAMPUNG-DATO-SULAIMAN-MENTERI</x:v>
      </x:c>
      <x:c r="H115" s="12" t="str">
        <x:v>Kampung Dato' Sulaiman Menteri</x:v>
      </x:c>
      <x:c r="I115" s="12" t="str">
        <x:v>https://bangi.pulasan.my/_media/lampiran/lbt2018_2019.pdf</x:v>
      </x:c>
    </x:row>
    <x:row r="116">
      <x:c r="A116" s="12" t="str">
        <x:v>FLOC-0082</x:v>
      </x:c>
      <x:c r="B116" s="12" t="str">
        <x:v>Kampung Dato Sulaiman Menteri</x:v>
      </x:c>
      <x:c r="C116" s="12" t="str">
        <x:v>DG-JB-20220925</x:v>
      </x:c>
      <x:c r="D116" s="18" t="n">
        <x:v>44829</x:v>
      </x:c>
      <x:c r="E116" s="18" t="n">
        <x:v>44829</x:v>
      </x:c>
      <x:c r="F116" s="12" t="n">
        <x:v>2022</x:v>
      </x:c>
      <x:c r="G116" s="12" t="str">
        <x:v>EVT-JB-2022-028</x:v>
      </x:c>
      <x:c r="H116" s="12" t="str">
        <x:v>Kampung Dato' Sulaiman Menteri</x:v>
      </x:c>
      <x:c r="I116" s="12" t="str">
        <x:v>https://www.utusan.com.my/berita/2022/09/10-kawasan-di-johor-bahru-dilanda-banjir-kilat/
https://www.bharian.com.my/</x:v>
      </x:c>
    </x:row>
    <x:row r="117">
      <x:c r="A117" s="12" t="str">
        <x:v>FLOC-0083</x:v>
      </x:c>
      <x:c r="B117" s="12" t="str">
        <x:v>Kampung Dato' Hajah Hasnah Ahmad</x:v>
      </x:c>
      <x:c r="C117" s="12" t="str">
        <x:v>DG-JB-20181010</x:v>
      </x:c>
      <x:c r="D117" s="18" t="n">
        <x:v>43383</x:v>
      </x:c>
      <x:c r="E117" s="18" t="n">
        <x:v>43383</x:v>
      </x:c>
      <x:c r="F117" s="12" t="n">
        <x:v>2018</x:v>
      </x:c>
      <x:c r="G117" s="12" t="str">
        <x:v>EVT-JB-20181010-KAMPUNG-HAJAH-HASNAH</x:v>
      </x:c>
      <x:c r="H117" s="12" t="str">
        <x:v>Kampung Hajah Hasnah</x:v>
      </x:c>
      <x:c r="I117" s="12" t="str">
        <x:v>https://www.malaymail.com/news/malaysia/2018/10/10/heavy-rain-flash-floods-make-life-hard-for-jbs-elderly/1681455</x:v>
      </x:c>
    </x:row>
    <x:row r="118">
      <x:c r="A118" s="12" t="str">
        <x:v>FLOC-0084</x:v>
      </x:c>
      <x:c r="B118" s="12" t="str">
        <x:v>Kampung Ibu</x:v>
      </x:c>
      <x:c r="C118" s="12" t="str">
        <x:v>DG-JB-20210930</x:v>
      </x:c>
      <x:c r="D118" s="18" t="n">
        <x:v>44469</x:v>
      </x:c>
      <x:c r="E118" s="18" t="n">
        <x:v>44469</x:v>
      </x:c>
      <x:c r="F118" s="12" t="n">
        <x:v>2021</x:v>
      </x:c>
      <x:c r="G118" s="12" t="str">
        <x:v>EVT-JB-2021-038</x:v>
      </x:c>
      <x:c r="H118" s="12" t="str">
        <x:v>Kampung Ibu</x:v>
      </x:c>
      <x:c r="I118" s="12" t="str">
        <x:v>https://www.sinarharian.com.my/article/164321/EDISI/Beberapa-kawasan-di-Johor-Bahru-dilanda-banjir-kilat</x:v>
      </x:c>
    </x:row>
    <x:row r="119">
      <x:c r="A119" s="12" t="str">
        <x:v>FLOC-0085</x:v>
      </x:c>
      <x:c r="B119" s="12" t="str">
        <x:v>Kampung Jaya Sepakat</x:v>
      </x:c>
      <x:c r="C119" s="12" t="str">
        <x:v>DG-JB-20170418</x:v>
      </x:c>
      <x:c r="D119" s="18" t="n">
        <x:v>42843</x:v>
      </x:c>
      <x:c r="E119" s="18" t="n">
        <x:v>42843</x:v>
      </x:c>
      <x:c r="F119" s="12" t="n">
        <x:v>2017</x:v>
      </x:c>
      <x:c r="G119" s="12" t="str">
        <x:v>EVT-JB-20170418-KAMPUNG-SEPAKAT-JAYA-SKUDAI</x:v>
      </x:c>
      <x:c r="H119" s="12" t="str">
        <x:v>Kampung Sepakat Jaya, Skudai</x:v>
      </x:c>
      <x:c r="I119" s="12" t="str">
        <x:v>https://bangi.pulasan.my/_media/lampiran/lbt2017-2018.pdf</x:v>
      </x:c>
    </x:row>
    <x:row r="120">
      <x:c r="A120" s="12" t="str">
        <x:v>FLOC-0086</x:v>
      </x:c>
      <x:c r="B120" s="12" t="str">
        <x:v>Kampung Kangkar Tebrau</x:v>
      </x:c>
      <x:c r="C120" s="12" t="str">
        <x:v>DG-JB-20170413</x:v>
      </x:c>
      <x:c r="D120" s="18" t="n">
        <x:v>42838</x:v>
      </x:c>
      <x:c r="E120" s="18" t="n">
        <x:v>42838</x:v>
      </x:c>
      <x:c r="F120" s="12" t="n">
        <x:v>2017</x:v>
      </x:c>
      <x:c r="G120" s="12" t="str">
        <x:v>EVT-JB-20170413-KAMPUNG-KANGKAR-TEBRAU</x:v>
      </x:c>
      <x:c r="H120" s="12" t="str">
        <x:v>Kampung Kangkar Tebrau</x:v>
      </x:c>
      <x:c r="I120" s="12" t="str">
        <x:v>https://bangi.pulasan.my/_media/lampiran/lbt2017-2018.pdf</x:v>
      </x:c>
    </x:row>
    <x:row r="121">
      <x:c r="A121" s="12" t="str">
        <x:v>FLOC-0086</x:v>
      </x:c>
      <x:c r="B121" s="12" t="str">
        <x:v>Kampung Kangkar Tebrau</x:v>
      </x:c>
      <x:c r="C121" s="12" t="str">
        <x:v>DG-JB-20210101-20210102</x:v>
      </x:c>
      <x:c r="D121" s="18" t="n">
        <x:v>44198</x:v>
      </x:c>
      <x:c r="E121" s="18" t="n">
        <x:v>44198</x:v>
      </x:c>
      <x:c r="F121" s="12" t="n">
        <x:v>2021</x:v>
      </x:c>
      <x:c r="G121" s="12" t="str">
        <x:v>EVT-JB-2021-011</x:v>
      </x:c>
      <x:c r="H121" s="12" t="str">
        <x:v>Kampung Kangkar Tebrau</x:v>
      </x:c>
      <x:c r="I121" s="12" t="str">
        <x:v>https://www.bernama.com/bm/news.php?id=1918395
https://www.utusan.com.my/berita/2021/01/segerakan-projek-lebar-sungai-tebrau-elak-banjir-berulang/</x:v>
      </x:c>
    </x:row>
    <x:row r="122">
      <x:c r="A122" s="12" t="str">
        <x:v>FLOC-0086</x:v>
      </x:c>
      <x:c r="B122" s="12" t="str">
        <x:v>Kampung Kangkar Tebrau</x:v>
      </x:c>
      <x:c r="C122" s="12" t="str">
        <x:v>DG-JB-20210110</x:v>
      </x:c>
      <x:c r="D122" s="18" t="n">
        <x:v>44206</x:v>
      </x:c>
      <x:c r="E122" s="18" t="n">
        <x:v>44206</x:v>
      </x:c>
      <x:c r="F122" s="12" t="n">
        <x:v>2021</x:v>
      </x:c>
      <x:c r="G122" s="12" t="str">
        <x:v>EVT-JB-2021-020</x:v>
      </x:c>
      <x:c r="H122" s="12" t="str">
        <x:v>Kampung Kangkar Tebrau</x:v>
      </x:c>
      <x:c r="I122" s="12" t="str">
        <x:v>https://www.kosmo.com.my/2021/01/10/johor-bahru-kota-tinggi-kembali-dilanda-banjir/</x:v>
      </x:c>
    </x:row>
    <x:row r="123">
      <x:c r="A123" s="12" t="str">
        <x:v>FLOC-0086</x:v>
      </x:c>
      <x:c r="B123" s="12" t="str">
        <x:v>Kampung Kangkar Tebrau</x:v>
      </x:c>
      <x:c r="C123" s="12" t="str">
        <x:v>DG-JB-20210930</x:v>
      </x:c>
      <x:c r="D123" s="18" t="n">
        <x:v>44469</x:v>
      </x:c>
      <x:c r="E123" s="18" t="n">
        <x:v>44469</x:v>
      </x:c>
      <x:c r="F123" s="12" t="n">
        <x:v>2021</x:v>
      </x:c>
      <x:c r="G123" s="12" t="str">
        <x:v>EVT-JB-2021-044</x:v>
      </x:c>
      <x:c r="H123" s="12" t="str">
        <x:v>Kampung Kangkar Tebrau</x:v>
      </x:c>
      <x:c r="I123" s="12" t="str">
        <x:v>https://www.sinarharian.com.my/article/164321/EDISI/Beberapa-kawasan-di-Johor-Bahru-dilanda-banjir-kilat</x:v>
      </x:c>
    </x:row>
    <x:row r="124">
      <x:c r="A124" s="12" t="str">
        <x:v>FLOC-0086</x:v>
      </x:c>
      <x:c r="B124" s="12" t="str">
        <x:v>Kampung Kangkar Tebrau</x:v>
      </x:c>
      <x:c r="C124" s="12" t="str">
        <x:v>DG-JB-20231201</x:v>
      </x:c>
      <x:c r="D124" s="18" t="n">
        <x:v>45261</x:v>
      </x:c>
      <x:c r="E124" s="18" t="n">
        <x:v>45261</x:v>
      </x:c>
      <x:c r="F124" s="12" t="n">
        <x:v>2023</x:v>
      </x:c>
      <x:c r="G124" s="12" t="str">
        <x:v>EVT-JB-2023-016</x:v>
      </x:c>
      <x:c r="H124" s="12" t="str">
        <x:v>Kampung Kangkar Tebrau</x:v>
      </x:c>
      <x:c r="I124" s="12" t="str">
        <x:v>https://www.freemalaysiatoday.com/category/nation/2023/12/01/5-villages-in-johor-hit-by-flash-floods</x:v>
      </x:c>
    </x:row>
    <x:row r="125">
      <x:c r="A125" s="12" t="str">
        <x:v>FLOC-0086</x:v>
      </x:c>
      <x:c r="B125" s="12" t="str">
        <x:v>Kampung Kangkar Tebrau</x:v>
      </x:c>
      <x:c r="C125" s="12" t="str">
        <x:v>DG-JB-20231206</x:v>
      </x:c>
      <x:c r="D125" s="18" t="n">
        <x:v>45266</x:v>
      </x:c>
      <x:c r="E125" s="18" t="n">
        <x:v>45266</x:v>
      </x:c>
      <x:c r="F125" s="12" t="n">
        <x:v>2023</x:v>
      </x:c>
      <x:c r="G125" s="12" t="str">
        <x:v>EVT-JB-2023-045</x:v>
      </x:c>
      <x:c r="H125" s="12" t="str">
        <x:v>Kampung Kangkar Tebrau</x:v>
      </x:c>
      <x:c r="I125" s="12" t="str">
        <x:v>https://mediadigitaljohor.gov.my/banjir-kilat-mbjb-laksana-tindakan-proaktif/</x:v>
      </x:c>
    </x:row>
    <x:row r="126">
      <x:c r="A126" s="12" t="str">
        <x:v>FLOC-0086</x:v>
      </x:c>
      <x:c r="B126" s="12" t="str">
        <x:v>Kampung Kangkar Tebrau</x:v>
      </x:c>
      <x:c r="C126" s="12" t="str">
        <x:v>DG-JB-20250110-20250115</x:v>
      </x:c>
      <x:c r="D126" s="18" t="n">
        <x:v>45668</x:v>
      </x:c>
      <x:c r="E126" s="18" t="n">
        <x:v>45668</x:v>
      </x:c>
      <x:c r="F126" s="12" t="n">
        <x:v>2025</x:v>
      </x:c>
      <x:c r="G126" s="12" t="str">
        <x:v>EVT-JB-2025-001</x:v>
      </x:c>
      <x:c r="H126" s="12" t="str">
        <x:v>Kampung Kangkar Tebrau</x:v>
      </x:c>
      <x:c r="I126" s="12" t="str">
        <x:v>https://www.utusan.com.my/berita/2025/01/300-keluarga-terjejas-banjir-di-kangkar-tebrau/
https://www.nadma.gov.my/bi/media-en/news/2235-flood-evacuees-rise-in-johor</x:v>
      </x:c>
    </x:row>
    <x:row r="127">
      <x:c r="A127" s="12" t="str">
        <x:v>FLOC-0086</x:v>
      </x:c>
      <x:c r="B127" s="12" t="str">
        <x:v>Kampung Kangkar Tebrau</x:v>
      </x:c>
      <x:c r="C127" s="12" t="str">
        <x:v>DG-JB-20250319-20250324</x:v>
      </x:c>
      <x:c r="D127" s="18" t="n">
        <x:v>45735</x:v>
      </x:c>
      <x:c r="E127" s="18" t="n">
        <x:v>45735</x:v>
      </x:c>
      <x:c r="F127" s="12" t="n">
        <x:v>2025</x:v>
      </x:c>
      <x:c r="G127" s="12" t="str">
        <x:v>EVT-JB-2025-006</x:v>
      </x:c>
      <x:c r="H127" s="12" t="str">
        <x:v>Kampung Kangkar Tebrau</x:v>
      </x:c>
      <x:c r="I127" s="12" t="str">
        <x:v>https://www.nadma.gov.my/bm/media-2/berita/3257-banjir-tiga-pps-dibuka-di-johor-bahru-68-penduduk-terjejas</x:v>
      </x:c>
    </x:row>
    <x:row r="128">
      <x:c r="A128" s="12" t="str">
        <x:v>FLOC-0087</x:v>
      </x:c>
      <x:c r="B128" s="12" t="str">
        <x:v>Kampung Kempas Permatang</x:v>
      </x:c>
      <x:c r="C128" s="12" t="str">
        <x:v>DG-JB-20170102</x:v>
      </x:c>
      <x:c r="D128" s="18" t="n">
        <x:v>42737</x:v>
      </x:c>
      <x:c r="E128" s="18" t="n">
        <x:v>42737</x:v>
      </x:c>
      <x:c r="F128" s="12" t="n">
        <x:v>2017</x:v>
      </x:c>
      <x:c r="G128" s="12" t="str">
        <x:v>EVT-JB-20170102-KAMPUNG-PERMATANG-KEMPAS</x:v>
      </x:c>
      <x:c r="H128" s="12" t="str">
        <x:v>Kampung Permatang, Kempas</x:v>
      </x:c>
      <x:c r="I128" s="12" t="str">
        <x:v>https://www.malaysiakini.com/news/367964</x:v>
      </x:c>
    </x:row>
    <x:row r="129">
      <x:c r="A129" s="12" t="str">
        <x:v>FLOC-0087</x:v>
      </x:c>
      <x:c r="B129" s="12" t="str">
        <x:v>Kampung Kempas Permatang</x:v>
      </x:c>
      <x:c r="C129" s="12" t="str">
        <x:v>DG-JB-20170615</x:v>
      </x:c>
      <x:c r="D129" s="18" t="n">
        <x:v>42901</x:v>
      </x:c>
      <x:c r="E129" s="18" t="n">
        <x:v>42901</x:v>
      </x:c>
      <x:c r="F129" s="12" t="n">
        <x:v>2017</x:v>
      </x:c>
      <x:c r="G129" s="12" t="str">
        <x:v>EVT-JB-20170615-KAMPUNG-PERMATANG-KEMPAS</x:v>
      </x:c>
      <x:c r="H129" s="12" t="str">
        <x:v>Kampung Permatang, Kempas</x:v>
      </x:c>
      <x:c r="I129" s="12" t="str">
        <x:v>https://bangi.pulasan.my/_media/lampiran/lbt2017-2018.pdf</x:v>
      </x:c>
    </x:row>
    <x:row r="130">
      <x:c r="A130" s="12" t="str">
        <x:v>FLOC-0087</x:v>
      </x:c>
      <x:c r="B130" s="12" t="str">
        <x:v>Kampung Kempas Permatang</x:v>
      </x:c>
      <x:c r="C130" s="12" t="str">
        <x:v>DG-JB-20171114</x:v>
      </x:c>
      <x:c r="D130" s="18" t="n">
        <x:v>43053</x:v>
      </x:c>
      <x:c r="E130" s="18" t="n">
        <x:v>43053</x:v>
      </x:c>
      <x:c r="F130" s="12" t="n">
        <x:v>2017</x:v>
      </x:c>
      <x:c r="G130" s="12" t="str">
        <x:v>EVT-JB-20171114-KAMPUNG-PERMATANG-KEMPAS</x:v>
      </x:c>
      <x:c r="H130" s="12" t="str">
        <x:v>Kampung Permatang, Kempas</x:v>
      </x:c>
      <x:c r="I130" s="12" t="str">
        <x:v>https://bangi.pulasan.my/_media/lampiran/lbt2017-2018.pdf</x:v>
      </x:c>
    </x:row>
    <x:row r="131">
      <x:c r="A131" s="12" t="str">
        <x:v>FLOC-0088</x:v>
      </x:c>
      <x:c r="B131" s="12" t="str">
        <x:v>Kampung Kurnia, Johor Bahru</x:v>
      </x:c>
      <x:c r="C131" s="12" t="str">
        <x:v>DG-JB-20221107</x:v>
      </x:c>
      <x:c r="D131" s="18" t="n">
        <x:v>44872</x:v>
      </x:c>
      <x:c r="E131" s="18" t="n">
        <x:v>44872</x:v>
      </x:c>
      <x:c r="F131" s="12" t="n">
        <x:v>2022</x:v>
      </x:c>
      <x:c r="G131" s="12" t="str">
        <x:v>EVT-JB-2022-040</x:v>
      </x:c>
      <x:c r="H131" s="12" t="str">
        <x:v>Kampung Kurnia, Larkin</x:v>
      </x:c>
      <x:c r="I131" s="12" t="str">
        <x:v>https://www.astroawani.com/berita-malaysia/banjir-kilat-landa-johor-bahru-lebih-40-rumah-dinaiki-air-390134</x:v>
      </x:c>
    </x:row>
    <x:row r="132">
      <x:c r="A132" s="12" t="str">
        <x:v>FLOC-0088</x:v>
      </x:c>
      <x:c r="B132" s="12" t="str">
        <x:v>Kampung Kurnia, Johor Bahru</x:v>
      </x:c>
      <x:c r="C132" s="12" t="str">
        <x:v>DG-JB-20230214</x:v>
      </x:c>
      <x:c r="D132" s="18" t="n">
        <x:v>44971</x:v>
      </x:c>
      <x:c r="E132" s="18" t="n">
        <x:v>44971</x:v>
      </x:c>
      <x:c r="F132" s="12" t="n">
        <x:v>2023</x:v>
      </x:c>
      <x:c r="G132" s="12" t="str">
        <x:v>EVT-JB-2023-005</x:v>
      </x:c>
      <x:c r="H132" s="12" t="str">
        <x:v>Kampung Kurnia, Larkin</x:v>
      </x:c>
      <x:c r="I132" s="12" t="str">
        <x:v>https://www.sinarharian.com.my/article/245217/edisi/johor/johor-bahru-dilanda-banjir-kilat</x:v>
      </x:c>
    </x:row>
    <x:row r="133">
      <x:c r="A133" s="12" t="str">
        <x:v>FLOC-0089</x:v>
      </x:c>
      <x:c r="B133" s="12" t="str">
        <x:v>Kampung Laut Batu 10, Skudai</x:v>
      </x:c>
      <x:c r="C133" s="12" t="str">
        <x:v>DG-JB-20170418</x:v>
      </x:c>
      <x:c r="D133" s="18" t="n">
        <x:v>42843</x:v>
      </x:c>
      <x:c r="E133" s="18" t="n">
        <x:v>42843</x:v>
      </x:c>
      <x:c r="F133" s="12" t="n">
        <x:v>2017</x:v>
      </x:c>
      <x:c r="G133" s="12" t="str">
        <x:v>EVT-JB-20170418-KAMPUNG-LAUT-SKUDAI</x:v>
      </x:c>
      <x:c r="H133" s="12" t="str">
        <x:v>Kampung Laut, Skudai</x:v>
      </x:c>
      <x:c r="I133" s="12" t="str">
        <x:v>https://bangi.pulasan.my/_media/lampiran/lbt2017-2018.pdf</x:v>
      </x:c>
    </x:row>
    <x:row r="134">
      <x:c r="A134" s="12" t="str">
        <x:v>FLOC-0089</x:v>
      </x:c>
      <x:c r="B134" s="12" t="str">
        <x:v>Kampung Laut Batu 10, Skudai</x:v>
      </x:c>
      <x:c r="C134" s="12" t="str">
        <x:v>DG-JB-20171109</x:v>
      </x:c>
      <x:c r="D134" s="18" t="n">
        <x:v>43048</x:v>
      </x:c>
      <x:c r="E134" s="18" t="n">
        <x:v>43048</x:v>
      </x:c>
      <x:c r="F134" s="12" t="n">
        <x:v>2017</x:v>
      </x:c>
      <x:c r="G134" s="12" t="str">
        <x:v>EVT-JB-20171109-KAMPUNG-LAUT-SKUDAI</x:v>
      </x:c>
      <x:c r="H134" s="12" t="str">
        <x:v>Kampung Laut, Skudai</x:v>
      </x:c>
      <x:c r="I134" s="12" t="str">
        <x:v>https://bangi.pulasan.my/_media/lampiran/lbt2017-2018.pdf</x:v>
      </x:c>
    </x:row>
    <x:row r="135">
      <x:c r="A135" s="12" t="str">
        <x:v>FLOC-0089</x:v>
      </x:c>
      <x:c r="B135" s="12" t="str">
        <x:v>Kampung Laut Batu 10, Skudai</x:v>
      </x:c>
      <x:c r="C135" s="12" t="str">
        <x:v>DG-JB-20171213</x:v>
      </x:c>
      <x:c r="D135" s="18" t="n">
        <x:v>43082</x:v>
      </x:c>
      <x:c r="E135" s="18" t="n">
        <x:v>43082</x:v>
      </x:c>
      <x:c r="F135" s="12" t="n">
        <x:v>2017</x:v>
      </x:c>
      <x:c r="G135" s="12" t="str">
        <x:v>EVT-JB-20171213-KAMPUNG-LAUT-SKUDAI</x:v>
      </x:c>
      <x:c r="H135" s="12" t="str">
        <x:v>Kampung Laut, Skudai</x:v>
      </x:c>
      <x:c r="I135" s="12" t="str">
        <x:v>https://bangi.pulasan.my/_media/lampiran/lbt2017-2018.pdf</x:v>
      </x:c>
    </x:row>
    <x:row r="136">
      <x:c r="A136" s="12" t="str">
        <x:v>FLOC-0089</x:v>
      </x:c>
      <x:c r="B136" s="12" t="str">
        <x:v>Kampung Laut Batu 10, Skudai</x:v>
      </x:c>
      <x:c r="C136" s="12" t="str">
        <x:v>DG-JB-20191215</x:v>
      </x:c>
      <x:c r="D136" s="18" t="n">
        <x:v>43814</x:v>
      </x:c>
      <x:c r="E136" s="18" t="n">
        <x:v>43814</x:v>
      </x:c>
      <x:c r="F136" s="12" t="n">
        <x:v>2019</x:v>
      </x:c>
      <x:c r="G136" s="12" t="str">
        <x:v>EVT-JB-20191215-KAMPUNG-LAUT</x:v>
      </x:c>
      <x:c r="H136" s="12" t="str">
        <x:v>Kampung Laut</x:v>
      </x:c>
      <x:c r="I136" s="12" t="str">
        <x:v>https://www.scribd.com/document/975564939/JPS2019</x:v>
      </x:c>
    </x:row>
    <x:row r="137">
      <x:c r="A137" s="12" t="str">
        <x:v>FLOC-0089</x:v>
      </x:c>
      <x:c r="B137" s="12" t="str">
        <x:v>Kampung Laut Batu 10, Skudai</x:v>
      </x:c>
      <x:c r="C137" s="12" t="str">
        <x:v>DG-JB-20201102</x:v>
      </x:c>
      <x:c r="D137" s="18" t="n">
        <x:v>44137</x:v>
      </x:c>
      <x:c r="E137" s="18" t="n">
        <x:v>44137</x:v>
      </x:c>
      <x:c r="F137" s="12" t="n">
        <x:v>2020</x:v>
      </x:c>
      <x:c r="G137" s="12" t="str">
        <x:v>EVT-JB-20201102-KAMPUNG-LAUT-BATU-10-SKUDAI</x:v>
      </x:c>
      <x:c r="H137" s="12" t="str">
        <x:v>Kampung Laut Batu 10, Skudai</x:v>
      </x:c>
      <x:c r="I137" s="12" t="str">
        <x:v>https://bangi.pulasan.my/_media/lampiran/lbt2020.pdf</x:v>
      </x:c>
    </x:row>
    <x:row r="138">
      <x:c r="A138" s="12" t="str">
        <x:v>FLOC-0089</x:v>
      </x:c>
      <x:c r="B138" s="12" t="str">
        <x:v>Kampung Laut Batu 10, Skudai</x:v>
      </x:c>
      <x:c r="C138" s="12" t="str">
        <x:v>DG-JB-20201122</x:v>
      </x:c>
      <x:c r="D138" s="18" t="n">
        <x:v>44157</x:v>
      </x:c>
      <x:c r="E138" s="18" t="n">
        <x:v>44157</x:v>
      </x:c>
      <x:c r="F138" s="12" t="n">
        <x:v>2020</x:v>
      </x:c>
      <x:c r="G138" s="12" t="str">
        <x:v>EVT-JB-20201122-KAMPUNG-LAUT-BATU-10-SKUDAI</x:v>
      </x:c>
      <x:c r="H138" s="12" t="str">
        <x:v>Kampung Laut Batu 10, Skudai</x:v>
      </x:c>
      <x:c r="I138" s="12" t="str">
        <x:v>https://www.malaymail.com/news/malaysia/2020/11/23/johor-floods-69-evacuated-from-kampung-laut-kampung-pasir/1925153</x:v>
      </x:c>
    </x:row>
    <x:row r="139">
      <x:c r="A139" s="12" t="str">
        <x:v>FLOC-0089</x:v>
      </x:c>
      <x:c r="B139" s="12" t="str">
        <x:v>Kampung Laut Batu 10, Skudai</x:v>
      </x:c>
      <x:c r="C139" s="12" t="str">
        <x:v>DG-JB-20210101-20210102</x:v>
      </x:c>
      <x:c r="D139" s="18" t="n">
        <x:v>44198</x:v>
      </x:c>
      <x:c r="E139" s="18" t="n">
        <x:v>44198</x:v>
      </x:c>
      <x:c r="F139" s="12" t="n">
        <x:v>2021</x:v>
      </x:c>
      <x:c r="G139" s="12" t="str">
        <x:v>EVT-JB-2021-001</x:v>
      </x:c>
      <x:c r="H139" s="12" t="str">
        <x:v>Kampung Laut Batu 10, Skudai</x:v>
      </x:c>
      <x:c r="I139" s="12" t="str">
        <x:v>https://www.malaymail.com/news/malaysia/2021/01/02/five-districts-affected-in-johor-floods-evacuees-on-the-rise/1936787
https://www.kosmo.com.my/2021/01/02/275-mangsa-banjir-dipindahkan/</x:v>
      </x:c>
    </x:row>
    <x:row r="140">
      <x:c r="A140" s="12" t="str">
        <x:v>FLOC-0089</x:v>
      </x:c>
      <x:c r="B140" s="12" t="str">
        <x:v>Kampung Laut Batu 10, Skudai</x:v>
      </x:c>
      <x:c r="C140" s="12" t="str">
        <x:v>DG-JB-20210110</x:v>
      </x:c>
      <x:c r="D140" s="18" t="n">
        <x:v>44206</x:v>
      </x:c>
      <x:c r="E140" s="18" t="n">
        <x:v>44206</x:v>
      </x:c>
      <x:c r="F140" s="12" t="n">
        <x:v>2021</x:v>
      </x:c>
      <x:c r="G140" s="12" t="str">
        <x:v>EVT-JB-2021-012</x:v>
      </x:c>
      <x:c r="H140" s="12" t="str">
        <x:v>Kampung Laut</x:v>
      </x:c>
      <x:c r="I140" s="12" t="str">
        <x:v>https://www.kosmo.com.my/2021/01/10/johor-bahru-kota-tinggi-kembali-dilanda-banjir/
https://www.malaymail.com/amp/news/malaysia/2021/01/10/several-areas-in-jb-kota-tinggi-hit-by-floods-again/1939147</x:v>
      </x:c>
    </x:row>
    <x:row r="141">
      <x:c r="A141" s="12" t="str">
        <x:v>FLOC-0089</x:v>
      </x:c>
      <x:c r="B141" s="12" t="str">
        <x:v>Kampung Laut Batu 10, Skudai</x:v>
      </x:c>
      <x:c r="C141" s="12" t="str">
        <x:v>DG-JB-20210902-SKUDAI</x:v>
      </x:c>
      <x:c r="D141" s="18" t="n">
        <x:v>44441</x:v>
      </x:c>
      <x:c r="E141" s="18" t="n">
        <x:v>44441</x:v>
      </x:c>
      <x:c r="F141" s="12" t="n">
        <x:v>2021</x:v>
      </x:c>
      <x:c r="G141" s="12" t="str">
        <x:v>EVT-JB-2021-028</x:v>
      </x:c>
      <x:c r="H141" s="12" t="str">
        <x:v>Batu 10, Kampung Laut, Skudai</x:v>
      </x:c>
      <x:c r="I141" s="12" t="str">
        <x:v>https://www.utusan.com.my/terkini/2021/09/100-rumah-dinaiki-air-akibat-banjir-kilat/</x:v>
      </x:c>
    </x:row>
    <x:row r="142">
      <x:c r="A142" s="12" t="str">
        <x:v>FLOC-0089</x:v>
      </x:c>
      <x:c r="B142" s="12" t="str">
        <x:v>Kampung Laut Batu 10, Skudai</x:v>
      </x:c>
      <x:c r="C142" s="12" t="str">
        <x:v>DG-JB-20210904</x:v>
      </x:c>
      <x:c r="D142" s="18" t="n">
        <x:v>44443</x:v>
      </x:c>
      <x:c r="E142" s="18" t="n">
        <x:v>44443</x:v>
      </x:c>
      <x:c r="F142" s="12" t="n">
        <x:v>2021</x:v>
      </x:c>
      <x:c r="G142" s="12" t="str">
        <x:v>EVT-JB-2021-033</x:v>
      </x:c>
      <x:c r="H142" s="12" t="str">
        <x:v>Batu 10, Kampung Laut, Skudai</x:v>
      </x:c>
      <x:c r="I142" s="12" t="str">
        <x:v>https://www.utusan.com.my/nasional/2021/09/kampung-laut-skudai-banjir-lagi-28-mangsa-dipindahkan/</x:v>
      </x:c>
    </x:row>
    <x:row r="143">
      <x:c r="A143" s="12" t="str">
        <x:v>FLOC-0089</x:v>
      </x:c>
      <x:c r="B143" s="12" t="str">
        <x:v>Kampung Laut Batu 10, Skudai</x:v>
      </x:c>
      <x:c r="C143" s="12" t="str">
        <x:v>DG-JB-20210930</x:v>
      </x:c>
      <x:c r="D143" s="18" t="n">
        <x:v>44469</x:v>
      </x:c>
      <x:c r="E143" s="18" t="n">
        <x:v>44469</x:v>
      </x:c>
      <x:c r="F143" s="12" t="n">
        <x:v>2021</x:v>
      </x:c>
      <x:c r="G143" s="12" t="str">
        <x:v>EVT-JB-2021-043</x:v>
      </x:c>
      <x:c r="H143" s="12" t="str">
        <x:v>Kampung Laut Skudai</x:v>
      </x:c>
      <x:c r="I143" s="12" t="str">
        <x:v>https://www.sinarharian.com.my/article/164321/EDISI/Beberapa-kawasan-di-Johor-Bahru-dilanda-banjir-kilat</x:v>
      </x:c>
    </x:row>
    <x:row r="144">
      <x:c r="A144" s="12" t="str">
        <x:v>FLOC-0089</x:v>
      </x:c>
      <x:c r="B144" s="12" t="str">
        <x:v>Kampung Laut Batu 10, Skudai</x:v>
      </x:c>
      <x:c r="C144" s="12" t="str">
        <x:v>DG-JB-20220820</x:v>
      </x:c>
      <x:c r="D144" s="18" t="n">
        <x:v>44793</x:v>
      </x:c>
      <x:c r="E144" s="18" t="n">
        <x:v>44793</x:v>
      </x:c>
      <x:c r="F144" s="12" t="n">
        <x:v>2022</x:v>
      </x:c>
      <x:c r="G144" s="12" t="str">
        <x:v>EVT-JB-2022-017</x:v>
      </x:c>
      <x:c r="H144" s="12" t="str">
        <x:v>Kampung Laut / Kampung Laut Batu 10, Skudai</x:v>
      </x:c>
      <x:c r="I144" s="12" t="str">
        <x:v>https://www.water.gov.my/jps/resources/Anual%20Flood%20Reporting%20/LBT_2022.pdf
https://www.utusan.com.my/berita/2022/08/banjir-kilat-di-jb-kulai-ekoran-hujan-lebat-lebih-2-jam/</x:v>
      </x:c>
    </x:row>
    <x:row r="145">
      <x:c r="A145" s="12" t="str">
        <x:v>FLOC-0089</x:v>
      </x:c>
      <x:c r="B145" s="12" t="str">
        <x:v>Kampung Laut Batu 10, Skudai</x:v>
      </x:c>
      <x:c r="C145" s="12" t="str">
        <x:v>DG-JB-20220925</x:v>
      </x:c>
      <x:c r="D145" s="18" t="n">
        <x:v>44829</x:v>
      </x:c>
      <x:c r="E145" s="18" t="n">
        <x:v>44829</x:v>
      </x:c>
      <x:c r="F145" s="12" t="n">
        <x:v>2022</x:v>
      </x:c>
      <x:c r="G145" s="12" t="str">
        <x:v>EVT-JB-2022-027</x:v>
      </x:c>
      <x:c r="H145" s="12" t="str">
        <x:v>Batu 10, Skudai</x:v>
      </x:c>
      <x:c r="I145" s="12" t="str">
        <x:v>https://www.utusan.com.my/berita/2022/09/10-kawasan-di-johor-bahru-dilanda-banjir-kilat/
https://www.bharian.com.my/</x:v>
      </x:c>
    </x:row>
    <x:row r="146">
      <x:c r="A146" s="12" t="str">
        <x:v>FLOC-0089</x:v>
      </x:c>
      <x:c r="B146" s="12" t="str">
        <x:v>Kampung Laut Batu 10, Skudai</x:v>
      </x:c>
      <x:c r="C146" s="12" t="str">
        <x:v>DG-JB-20250319-20250324</x:v>
      </x:c>
      <x:c r="D146" s="18" t="n">
        <x:v>45736</x:v>
      </x:c>
      <x:c r="E146" s="18" t="n">
        <x:v>45736</x:v>
      </x:c>
      <x:c r="F146" s="12" t="n">
        <x:v>2025</x:v>
      </x:c>
      <x:c r="G146" s="12" t="str">
        <x:v>EVT-JB-2025-011</x:v>
      </x:c>
      <x:c r="H146" s="12" t="str">
        <x:v>Kampung Laut Skudai</x:v>
      </x:c>
      <x:c r="I146" s="12" t="str">
        <x:v>https://www.nadma.gov.my/bm/media-2/berita/3259-johor-dilanda-banjir-3-pps-dibuka</x:v>
      </x:c>
    </x:row>
    <x:row r="147">
      <x:c r="A147" s="12" t="str">
        <x:v>FLOC-0090</x:v>
      </x:c>
      <x:c r="B147" s="12" t="str">
        <x:v>Kampung Maju Jaya</x:v>
      </x:c>
      <x:c r="C147" s="12" t="str">
        <x:v>DG-JB-20191215</x:v>
      </x:c>
      <x:c r="D147" s="18" t="n">
        <x:v>43814</x:v>
      </x:c>
      <x:c r="E147" s="18" t="n">
        <x:v>43814</x:v>
      </x:c>
      <x:c r="F147" s="12" t="n">
        <x:v>2019</x:v>
      </x:c>
      <x:c r="G147" s="12" t="str">
        <x:v>EVT-JB-20191215-KAMPUNG-MAJU-JAYA</x:v>
      </x:c>
      <x:c r="H147" s="12" t="str">
        <x:v>Kampung Maju Jaya</x:v>
      </x:c>
      <x:c r="I147" s="12" t="str">
        <x:v>https://www.scribd.com/document/975564939/JPS2019</x:v>
      </x:c>
    </x:row>
    <x:row r="148">
      <x:c r="A148" s="12" t="str">
        <x:v>FLOC-0090</x:v>
      </x:c>
      <x:c r="B148" s="12" t="str">
        <x:v>Kampung Maju Jaya</x:v>
      </x:c>
      <x:c r="C148" s="12" t="str">
        <x:v>DG-JB-20220820</x:v>
      </x:c>
      <x:c r="D148" s="18" t="n">
        <x:v>44793</x:v>
      </x:c>
      <x:c r="E148" s="18" t="n">
        <x:v>44793</x:v>
      </x:c>
      <x:c r="F148" s="12" t="n">
        <x:v>2022</x:v>
      </x:c>
      <x:c r="G148" s="12" t="str">
        <x:v>EVT-JB-2022-018</x:v>
      </x:c>
      <x:c r="H148" s="12" t="str">
        <x:v>Kampung Maju Jaya</x:v>
      </x:c>
      <x:c r="I148" s="12" t="str">
        <x:v>https://www.water.gov.my/jps/resources/Anual%20Flood%20Reporting%20/LBT_2022.pdf
https://www.kosmo.com.my/2022/08/20/4-kampung-di-johor-bahru-kulai-dinaiki-banjir-kilat/</x:v>
      </x:c>
    </x:row>
    <x:row r="149">
      <x:c r="A149" s="12" t="str">
        <x:v>FLOC-0090</x:v>
      </x:c>
      <x:c r="B149" s="12" t="str">
        <x:v>Kampung Maju Jaya</x:v>
      </x:c>
      <x:c r="C149" s="12" t="str">
        <x:v>DG-JB-20240104-20240113</x:v>
      </x:c>
      <x:c r="D149" s="18" t="n">
        <x:v>45298</x:v>
      </x:c>
      <x:c r="E149" s="18" t="n">
        <x:v>45298</x:v>
      </x:c>
      <x:c r="F149" s="12" t="n">
        <x:v>2024</x:v>
      </x:c>
      <x:c r="G149" s="12" t="str">
        <x:v>EVT-JB-2024-009</x:v>
      </x:c>
      <x:c r="H149" s="12" t="str">
        <x:v>Kampung Maju Jaya</x:v>
      </x:c>
      <x:c r="I149" s="12" t="str">
        <x:v>https://www.sinarharian.com.my/article/643153/edisi/johor/murid-cemas-sekolah-dilanda-banjir
https://www.utusan.com.my/berita/2024/01/banjir-sehari-enam-bulan-baru-pulih-mangsa/</x:v>
      </x:c>
    </x:row>
    <x:row r="150">
      <x:c r="A150" s="12" t="str">
        <x:v>FLOC-0091</x:v>
      </x:c>
      <x:c r="B150" s="12" t="str">
        <x:v>Kampung Melayu Lima Kedai</x:v>
      </x:c>
      <x:c r="C150" s="12" t="str">
        <x:v>DG-JB-20181022</x:v>
      </x:c>
      <x:c r="D150" s="18" t="n">
        <x:v>43395</x:v>
      </x:c>
      <x:c r="E150" s="18" t="n">
        <x:v>43395</x:v>
      </x:c>
      <x:c r="F150" s="12" t="n">
        <x:v>2018</x:v>
      </x:c>
      <x:c r="G150" s="12" t="str">
        <x:v>EVT-JB-20181022-KAMPUNG-MELAYU-LIMA-KEDAI-GELANG-PATAH</x:v>
      </x:c>
      <x:c r="H150" s="12" t="str">
        <x:v>Kampung Melayu Lima Kedai, Gelang Patah</x:v>
      </x:c>
      <x:c r="I150" s="12" t="str">
        <x:v>https://bangi.pulasan.my/_media/lampiran/lbt2018_2019.pdf</x:v>
      </x:c>
    </x:row>
    <x:row r="151">
      <x:c r="A151" s="12" t="str">
        <x:v>FLOC-0092</x:v>
      </x:c>
      <x:c r="B151" s="12" t="str">
        <x:v>Kampung Melayu Majidi</x:v>
      </x:c>
      <x:c r="C151" s="12" t="str">
        <x:v>DG-JB-20181010</x:v>
      </x:c>
      <x:c r="D151" s="18" t="n">
        <x:v>43383</x:v>
      </x:c>
      <x:c r="E151" s="18" t="n">
        <x:v>43383</x:v>
      </x:c>
      <x:c r="F151" s="12" t="n">
        <x:v>2018</x:v>
      </x:c>
      <x:c r="G151" s="12" t="str">
        <x:v>EVT-JB-20181010-KAMPUNG-MELAYU</x:v>
      </x:c>
      <x:c r="H151" s="12" t="str">
        <x:v>Kampung Melayu</x:v>
      </x:c>
      <x:c r="I151" s="12" t="str">
        <x:v>https://www.malaymail.com/news/malaysia/2018/10/10/heavy-rain-flash-floods-make-life-hard-for-jbs-elderly/1681455</x:v>
      </x:c>
    </x:row>
    <x:row r="152">
      <x:c r="A152" s="12" t="str">
        <x:v>FLOC-0092</x:v>
      </x:c>
      <x:c r="B152" s="12" t="str">
        <x:v>Kampung Melayu Majidi</x:v>
      </x:c>
      <x:c r="C152" s="12" t="str">
        <x:v>DG-JB-20210930</x:v>
      </x:c>
      <x:c r="D152" s="18" t="n">
        <x:v>44469</x:v>
      </x:c>
      <x:c r="E152" s="18" t="n">
        <x:v>44469</x:v>
      </x:c>
      <x:c r="F152" s="12" t="n">
        <x:v>2021</x:v>
      </x:c>
      <x:c r="G152" s="12" t="str">
        <x:v>EVT-JB-2021-034</x:v>
      </x:c>
      <x:c r="H152" s="12" t="str">
        <x:v>Kampung Melayu Majidee</x:v>
      </x:c>
      <x:c r="I152" s="12" t="str">
        <x:v>https://www.sinarharian.com.my/article/164321/EDISI/Beberapa-kawasan-di-Johor-Bahru-dilanda-banjir-kilat</x:v>
      </x:c>
    </x:row>
    <x:row r="153">
      <x:c r="A153" s="12" t="str">
        <x:v>FLOC-0092</x:v>
      </x:c>
      <x:c r="B153" s="12" t="str">
        <x:v>Kampung Melayu Majidi</x:v>
      </x:c>
      <x:c r="C153" s="12" t="str">
        <x:v>DG-JB-20221107</x:v>
      </x:c>
      <x:c r="D153" s="18" t="n">
        <x:v>44872</x:v>
      </x:c>
      <x:c r="E153" s="18" t="n">
        <x:v>44872</x:v>
      </x:c>
      <x:c r="F153" s="12" t="n">
        <x:v>2022</x:v>
      </x:c>
      <x:c r="G153" s="12" t="str">
        <x:v>EVT-JB-2022-038</x:v>
      </x:c>
      <x:c r="H153" s="12" t="str">
        <x:v>Kampung Melayu Majidee</x:v>
      </x:c>
      <x:c r="I153" s="12" t="str">
        <x:v>https://www.astroawani.com/berita-malaysia/pru15-hujan-lebat-berterusan-tebrau-dilanda-banjir-kilat-390115</x:v>
      </x:c>
    </x:row>
    <x:row r="154">
      <x:c r="A154" s="12" t="str">
        <x:v>FLOC-0093</x:v>
      </x:c>
      <x:c r="B154" s="12" t="str">
        <x:v>Kampung Melayu Pandan</x:v>
      </x:c>
      <x:c r="C154" s="12" t="str">
        <x:v>DG-JB-20191022</x:v>
      </x:c>
      <x:c r="D154" s="18" t="n">
        <x:v>43760</x:v>
      </x:c>
      <x:c r="E154" s="18" t="n">
        <x:v>43760</x:v>
      </x:c>
      <x:c r="F154" s="12" t="n">
        <x:v>2019</x:v>
      </x:c>
      <x:c r="G154" s="12" t="str">
        <x:v>EVT-JB-20191022-KAMPUNG-MELAYU-PANDAN</x:v>
      </x:c>
      <x:c r="H154" s="12" t="str">
        <x:v>Kampung Melayu Pandan</x:v>
      </x:c>
      <x:c r="I154" s="12" t="str">
        <x:v>https://www.scribd.com/document/975564939/JPS2019</x:v>
      </x:c>
    </x:row>
    <x:row r="155">
      <x:c r="A155" s="12" t="str">
        <x:v>FLOC-0093</x:v>
      </x:c>
      <x:c r="B155" s="12" t="str">
        <x:v>Kampung Melayu Pandan</x:v>
      </x:c>
      <x:c r="C155" s="12" t="str">
        <x:v>DG-JB-20250319-20250324</x:v>
      </x:c>
      <x:c r="D155" s="18" t="n">
        <x:v>45736</x:v>
      </x:c>
      <x:c r="E155" s="18" t="n">
        <x:v>45736</x:v>
      </x:c>
      <x:c r="F155" s="12" t="n">
        <x:v>2025</x:v>
      </x:c>
      <x:c r="G155" s="12" t="str">
        <x:v>EVT-JB-2025-017</x:v>
      </x:c>
      <x:c r="H155" s="12" t="str">
        <x:v>Kampung Melayu Pandan</x:v>
      </x:c>
      <x:c r="I155" s="12" t="str">
        <x:v>https://www.nadma.gov.my/bi/media-en/news/3415-banjir-terburuk-dalam-tempoh-30-tahun-datuk-bandar-mbjb</x:v>
      </x:c>
    </x:row>
    <x:row r="156">
      <x:c r="A156" s="12" t="str">
        <x:v>FLOC-0094</x:v>
      </x:c>
      <x:c r="B156" s="12" t="str">
        <x:v>Kampung Mohd Amin, Kolam Air</x:v>
      </x:c>
      <x:c r="C156" s="12" t="str">
        <x:v>DG-JB-20181010</x:v>
      </x:c>
      <x:c r="D156" s="18" t="n">
        <x:v>43383</x:v>
      </x:c>
      <x:c r="E156" s="18" t="n">
        <x:v>43383</x:v>
      </x:c>
      <x:c r="F156" s="12" t="n">
        <x:v>2018</x:v>
      </x:c>
      <x:c r="G156" s="12" t="str">
        <x:v>EVT-JB-20181010-KAMPUNG-MOHD-AMIN-KOLAM-AIR</x:v>
      </x:c>
      <x:c r="H156" s="12" t="str">
        <x:v>Kampung Mohd Amin, Kolam Air</x:v>
      </x:c>
      <x:c r="I156" s="12" t="str">
        <x:v>https://bangi.pulasan.my/_media/lampiran/lbt2018_2019.pdf</x:v>
      </x:c>
    </x:row>
    <x:row r="157">
      <x:c r="A157" s="12" t="str">
        <x:v>FLOC-0094</x:v>
      </x:c>
      <x:c r="B157" s="12" t="str">
        <x:v>Kampung Mohd Amin, Kolam Air</x:v>
      </x:c>
      <x:c r="C157" s="12" t="str">
        <x:v>DG-JB-20190219</x:v>
      </x:c>
      <x:c r="D157" s="18" t="n">
        <x:v>43515</x:v>
      </x:c>
      <x:c r="E157" s="18" t="n">
        <x:v>43515</x:v>
      </x:c>
      <x:c r="F157" s="12" t="n">
        <x:v>2019</x:v>
      </x:c>
      <x:c r="G157" s="12" t="str">
        <x:v>EVT-JB-20190219-KAMPUNG-MOHD-AMIN</x:v>
      </x:c>
      <x:c r="H157" s="12" t="str">
        <x:v>Kampung Mohd Amin</x:v>
      </x:c>
      <x:c r="I157" s="12" t="str">
        <x:v>https://www.scribd.com/document/975564939/JPS2019</x:v>
      </x:c>
    </x:row>
    <x:row r="158">
      <x:c r="A158" s="12" t="str">
        <x:v>FLOC-0094</x:v>
      </x:c>
      <x:c r="B158" s="12" t="str">
        <x:v>Kampung Mohd Amin, Kolam Air</x:v>
      </x:c>
      <x:c r="C158" s="12" t="str">
        <x:v>DG-JB-20201001</x:v>
      </x:c>
      <x:c r="D158" s="18" t="n">
        <x:v>44105</x:v>
      </x:c>
      <x:c r="E158" s="18" t="n">
        <x:v>44105</x:v>
      </x:c>
      <x:c r="F158" s="12" t="n">
        <x:v>2020</x:v>
      </x:c>
      <x:c r="G158" s="12" t="str">
        <x:v>EVT-JB-20201001-KAMPUNG-MOHD-AMIN</x:v>
      </x:c>
      <x:c r="H158" s="12" t="str">
        <x:v>Kampung Mohd Amin</x:v>
      </x:c>
      <x:c r="I158" s="12" t="str">
        <x:v>https://bangi.pulasan.my/_media/lampiran/lbt2020.pdf</x:v>
      </x:c>
    </x:row>
    <x:row r="159">
      <x:c r="A159" s="12" t="str">
        <x:v>FLOC-0094</x:v>
      </x:c>
      <x:c r="B159" s="12" t="str">
        <x:v>Kampung Mohd Amin, Kolam Air</x:v>
      </x:c>
      <x:c r="C159" s="12" t="str">
        <x:v>DG-JB-20210930</x:v>
      </x:c>
      <x:c r="D159" s="18" t="n">
        <x:v>44469</x:v>
      </x:c>
      <x:c r="E159" s="18" t="n">
        <x:v>44469</x:v>
      </x:c>
      <x:c r="F159" s="12" t="n">
        <x:v>2021</x:v>
      </x:c>
      <x:c r="G159" s="12" t="str">
        <x:v>EVT-JB-2021-046</x:v>
      </x:c>
      <x:c r="H159" s="12" t="str">
        <x:v>Kampung Mohd Amin, Kolam Air</x:v>
      </x:c>
      <x:c r="I159" s="12" t="str">
        <x:v>https://www.yayasansuriajb.org.my/help-at-kg-mohd-amin-kolam-air-johor-bahru-flash-flood-on-30-09-2021/</x:v>
      </x:c>
    </x:row>
    <x:row r="160">
      <x:c r="A160" s="12" t="str">
        <x:v>FLOC-0094</x:v>
      </x:c>
      <x:c r="B160" s="12" t="str">
        <x:v>Kampung Mohd Amin, Kolam Air</x:v>
      </x:c>
      <x:c r="C160" s="12" t="str">
        <x:v>DG-JB-20220802</x:v>
      </x:c>
      <x:c r="D160" s="18" t="n">
        <x:v>44775</x:v>
      </x:c>
      <x:c r="E160" s="18" t="n">
        <x:v>44775</x:v>
      </x:c>
      <x:c r="F160" s="12" t="n">
        <x:v>2022</x:v>
      </x:c>
      <x:c r="G160" s="12" t="str">
        <x:v>EVT-JB-2022-012</x:v>
      </x:c>
      <x:c r="H160" s="12" t="str">
        <x:v>Kampung Baru Mohd Amin</x:v>
      </x:c>
      <x:c r="I160" s="12" t="str">
        <x:v>https://www.bernama.com/bm/news.php?id=2106629</x:v>
      </x:c>
    </x:row>
    <x:row r="161">
      <x:c r="A161" s="12" t="str">
        <x:v>FLOC-0094</x:v>
      </x:c>
      <x:c r="B161" s="12" t="str">
        <x:v>Kampung Mohd Amin, Kolam Air</x:v>
      </x:c>
      <x:c r="C161" s="12" t="str">
        <x:v>DG-JB-20220925</x:v>
      </x:c>
      <x:c r="D161" s="18" t="n">
        <x:v>44829</x:v>
      </x:c>
      <x:c r="E161" s="18" t="n">
        <x:v>44829</x:v>
      </x:c>
      <x:c r="F161" s="12" t="n">
        <x:v>2022</x:v>
      </x:c>
      <x:c r="G161" s="12" t="str">
        <x:v>EVT-JB-2022-030</x:v>
      </x:c>
      <x:c r="H161" s="12" t="str">
        <x:v>Kampung Mohd Amin</x:v>
      </x:c>
      <x:c r="I161" s="12" t="str">
        <x:v>https://www.utusan.com.my/berita/2022/09/10-kawasan-di-johor-bahru-dilanda-banjir-kilat/
https://www.bharian.com.my/</x:v>
      </x:c>
    </x:row>
    <x:row r="162">
      <x:c r="A162" s="12" t="str">
        <x:v>FLOC-0094</x:v>
      </x:c>
      <x:c r="B162" s="12" t="str">
        <x:v>Kampung Mohd Amin, Kolam Air</x:v>
      </x:c>
      <x:c r="C162" s="12" t="str">
        <x:v>DG-JB-20231206</x:v>
      </x:c>
      <x:c r="D162" s="18" t="n">
        <x:v>45266</x:v>
      </x:c>
      <x:c r="E162" s="18" t="n">
        <x:v>45266</x:v>
      </x:c>
      <x:c r="F162" s="12" t="n">
        <x:v>2023</x:v>
      </x:c>
      <x:c r="G162" s="12" t="str">
        <x:v>EVT-JB-2023-033</x:v>
      </x:c>
      <x:c r="H162" s="12" t="str">
        <x:v>Jalan Mohd Amin / Kampung Mohd Amin</x:v>
      </x:c>
      <x:c r="I162" s="12" t="str">
        <x:v>https://www.freemalaysiatoday.com/category/bahasa/tempatan/2023/12/06/banjir-kilat-landa-25-kawasan-di-jb
https://mediadigitaljohor.gov.my/banjir-kilat-bomba-apm-mbjb-bertindak-proaktif/</x:v>
      </x:c>
    </x:row>
    <x:row r="163">
      <x:c r="A163" s="12" t="str">
        <x:v>FLOC-0094</x:v>
      </x:c>
      <x:c r="B163" s="12" t="str">
        <x:v>Kampung Mohd Amin, Kolam Air</x:v>
      </x:c>
      <x:c r="C163" s="12" t="str">
        <x:v>DG-JB-20251212</x:v>
      </x:c>
      <x:c r="D163" s="18" t="n">
        <x:v>46003</x:v>
      </x:c>
      <x:c r="E163" s="18" t="n">
        <x:v>46003</x:v>
      </x:c>
      <x:c r="F163" s="12" t="n">
        <x:v>2025</x:v>
      </x:c>
      <x:c r="G163" s="12" t="str">
        <x:v>EVT-JB-2025-042</x:v>
      </x:c>
      <x:c r="H163" s="12" t="str">
        <x:v>Kampung Mohd Amin / Jalan Md Amin</x:v>
      </x:c>
      <x:c r="I163" s="12" t="str">
        <x:v>https://www.thestar.com.my/news/nation/2025/12/12/jb-floods-34-rescued-from-private-kindergarten-in-larkin
https://malaysiaaktif.my/2025/12/banjir-kilat-landa-kampung-mohd-amin/</x:v>
      </x:c>
    </x:row>
    <x:row r="164">
      <x:c r="A164" s="12" t="str">
        <x:v>FLOC-0094</x:v>
      </x:c>
      <x:c r="B164" s="12" t="str">
        <x:v>Kampung Mohd Amin, Kolam Air</x:v>
      </x:c>
      <x:c r="C164" s="12" t="str">
        <x:v>DG-JB-20251213</x:v>
      </x:c>
      <x:c r="D164" s="18" t="n">
        <x:v>46004</x:v>
      </x:c>
      <x:c r="E164" s="18" t="n">
        <x:v>46004</x:v>
      </x:c>
      <x:c r="F164" s="12" t="n">
        <x:v>2025</x:v>
      </x:c>
      <x:c r="G164" s="12" t="str">
        <x:v>EVT-JB-2025-047</x:v>
      </x:c>
      <x:c r="H164" s="12" t="str">
        <x:v>Kampung Mohd Amin</x:v>
      </x:c>
      <x:c r="I164" s="12" t="str">
        <x:v>https://imagesapps.bernama.com/images/2322/jb11-13122025-banjir-kilat</x:v>
      </x:c>
    </x:row>
    <x:row r="165">
      <x:c r="A165" s="12" t="str">
        <x:v>FLOC-0094</x:v>
      </x:c>
      <x:c r="B165" s="12" t="str">
        <x:v>Kampung Mohd Amin, Kolam Air</x:v>
      </x:c>
      <x:c r="C165" s="12" t="str">
        <x:v>DG-JB-20260930</x:v>
      </x:c>
      <x:c r="D165" s="18" t="n">
        <x:v>46295</x:v>
      </x:c>
      <x:c r="E165" s="18" t="n">
        <x:v>46295</x:v>
      </x:c>
      <x:c r="F165" s="12" t="n">
        <x:v>2026</x:v>
      </x:c>
      <x:c r="G165" s="12" t="str">
        <x:v>EVT-JB-2026-015</x:v>
      </x:c>
      <x:c r="H165" s="12" t="str">
        <x:v>Kampung Mohd Amin</x:v>
      </x:c>
      <x:c r="I165" s="12" t="str">
        <x:v>https://berita.rtm.gov.my/nasional/senarai-berita-nasional/senarai-artikel/usaha-mitigasi-banjir-mbjb-kurangkan-jumlah-rumah-terjejas/</x:v>
      </x:c>
    </x:row>
    <x:row r="166">
      <x:c r="A166" s="12" t="str">
        <x:v>FLOC-0095</x:v>
      </x:c>
      <x:c r="B166" s="12" t="str">
        <x:v>Kampung Pasir Tebrau</x:v>
      </x:c>
      <x:c r="C166" s="12" t="str">
        <x:v>DG-JB-20191215</x:v>
      </x:c>
      <x:c r="D166" s="18" t="n">
        <x:v>43814</x:v>
      </x:c>
      <x:c r="E166" s="18" t="n">
        <x:v>43814</x:v>
      </x:c>
      <x:c r="F166" s="12" t="n">
        <x:v>2019</x:v>
      </x:c>
      <x:c r="G166" s="12" t="str">
        <x:v>EVT-JB-20191215-KAMPUNG-PASIR-TEBRAU</x:v>
      </x:c>
      <x:c r="H166" s="12" t="str">
        <x:v>Kampung Pasir Tebrau</x:v>
      </x:c>
      <x:c r="I166" s="12" t="str">
        <x:v>https://www.scribd.com/document/975564939/JPS2019</x:v>
      </x:c>
    </x:row>
    <x:row r="167">
      <x:c r="A167" s="12" t="str">
        <x:v>FLOC-0095</x:v>
      </x:c>
      <x:c r="B167" s="12" t="str">
        <x:v>Kampung Pasir Tebrau</x:v>
      </x:c>
      <x:c r="C167" s="12" t="str">
        <x:v>DG-JB-20210101-20210102</x:v>
      </x:c>
      <x:c r="D167" s="18" t="n">
        <x:v>44198</x:v>
      </x:c>
      <x:c r="E167" s="18" t="n">
        <x:v>44198</x:v>
      </x:c>
      <x:c r="F167" s="12" t="n">
        <x:v>2021</x:v>
      </x:c>
      <x:c r="G167" s="12" t="str">
        <x:v>EVT-JB-2021-010</x:v>
      </x:c>
      <x:c r="H167" s="12" t="str">
        <x:v>Kampung Pasir Tebrau</x:v>
      </x:c>
      <x:c r="I167" s="12" t="str">
        <x:v>https://www.bernama.com/bm/news.php?id=1918395
https://www.utusan.com.my/berita/2021/01/segerakan-projek-lebar-sungai-tebrau-elak-banjir-berulang/</x:v>
      </x:c>
    </x:row>
    <x:row r="168">
      <x:c r="A168" s="12" t="str">
        <x:v>FLOC-0095</x:v>
      </x:c>
      <x:c r="B168" s="12" t="str">
        <x:v>Kampung Pasir Tebrau</x:v>
      </x:c>
      <x:c r="C168" s="12" t="str">
        <x:v>DG-JB-20220820</x:v>
      </x:c>
      <x:c r="D168" s="18" t="n">
        <x:v>44793</x:v>
      </x:c>
      <x:c r="E168" s="18" t="n">
        <x:v>44793</x:v>
      </x:c>
      <x:c r="F168" s="12" t="n">
        <x:v>2022</x:v>
      </x:c>
      <x:c r="G168" s="12" t="str">
        <x:v>EVT-JB-2022-021</x:v>
      </x:c>
      <x:c r="H168" s="12" t="str">
        <x:v>Kampung Pasir Tebrau</x:v>
      </x:c>
      <x:c r="I168" s="12" t="str">
        <x:v>https://www.water.gov.my/jps/resources/Anual%20Flood%20Reporting%20/LBT_2022.pdf</x:v>
      </x:c>
    </x:row>
    <x:row r="169">
      <x:c r="A169" s="12" t="str">
        <x:v>FLOC-0095</x:v>
      </x:c>
      <x:c r="B169" s="12" t="str">
        <x:v>Kampung Pasir Tebrau</x:v>
      </x:c>
      <x:c r="C169" s="12" t="str">
        <x:v>DG-JB-20230228-20230301</x:v>
      </x:c>
      <x:c r="D169" s="18" t="n">
        <x:v>44986</x:v>
      </x:c>
      <x:c r="E169" s="18" t="n">
        <x:v>44986</x:v>
      </x:c>
      <x:c r="F169" s="12" t="n">
        <x:v>2023</x:v>
      </x:c>
      <x:c r="G169" s="12" t="str">
        <x:v>EVT-JB-2023-007</x:v>
      </x:c>
      <x:c r="H169" s="12" t="str">
        <x:v>Kampung Pasir Tebrau</x:v>
      </x:c>
      <x:c r="I169" s="12" t="str">
        <x:v>https://www.kosmo.com.my/2023/03/01/banjir-johor-1591-mangsa-dipindahkan-di-21-pps/
https://mediadigitaljohor.gov.my/en/mangsa-banjir-4-daerah-dipindahkan-ke-pps/</x:v>
      </x:c>
    </x:row>
    <x:row r="170">
      <x:c r="A170" s="12" t="str">
        <x:v>FLOC-0095</x:v>
      </x:c>
      <x:c r="B170" s="12" t="str">
        <x:v>Kampung Pasir Tebrau</x:v>
      </x:c>
      <x:c r="C170" s="12" t="str">
        <x:v>DG-JB-20231201</x:v>
      </x:c>
      <x:c r="D170" s="18" t="n">
        <x:v>45261</x:v>
      </x:c>
      <x:c r="E170" s="18" t="n">
        <x:v>45261</x:v>
      </x:c>
      <x:c r="F170" s="12" t="n">
        <x:v>2023</x:v>
      </x:c>
      <x:c r="G170" s="12" t="str">
        <x:v>EVT-JB-2023-015</x:v>
      </x:c>
      <x:c r="H170" s="12" t="str">
        <x:v>Kampung Pasir Tebrau</x:v>
      </x:c>
      <x:c r="I170" s="12" t="str">
        <x:v>https://www.freemalaysiatoday.com/category/nation/2023/12/01/5-villages-in-johor-hit-by-flash-floods</x:v>
      </x:c>
    </x:row>
    <x:row r="171">
      <x:c r="A171" s="12" t="str">
        <x:v>FLOC-0095</x:v>
      </x:c>
      <x:c r="B171" s="12" t="str">
        <x:v>Kampung Pasir Tebrau</x:v>
      </x:c>
      <x:c r="C171" s="12" t="str">
        <x:v>DG-JB-20250319-20250324</x:v>
      </x:c>
      <x:c r="D171" s="18" t="n">
        <x:v>45735</x:v>
      </x:c>
      <x:c r="E171" s="18" t="n">
        <x:v>45735</x:v>
      </x:c>
      <x:c r="F171" s="12" t="n">
        <x:v>2025</x:v>
      </x:c>
      <x:c r="G171" s="12" t="str">
        <x:v>EVT-JB-2025-010</x:v>
      </x:c>
      <x:c r="H171" s="12" t="str">
        <x:v>Kampung Pasir Tebrau</x:v>
      </x:c>
      <x:c r="I171" s="12" t="str">
        <x:v>https://www.nadma.gov.my/bm/media-2/berita/3257-banjir-tiga-pps-dibuka-di-johor-bahru-68-penduduk-terjejas</x:v>
      </x:c>
    </x:row>
    <x:row r="172">
      <x:c r="A172" s="12" t="str">
        <x:v>FLOC-0096</x:v>
      </x:c>
      <x:c r="B172" s="12" t="str">
        <x:v>Kampung Pasir, Tampoi/Skudai</x:v>
      </x:c>
      <x:c r="C172" s="12" t="str">
        <x:v>DG-JB-20171110</x:v>
      </x:c>
      <x:c r="D172" s="18" t="n">
        <x:v>43049</x:v>
      </x:c>
      <x:c r="E172" s="18" t="n">
        <x:v>43049</x:v>
      </x:c>
      <x:c r="F172" s="12" t="n">
        <x:v>2017</x:v>
      </x:c>
      <x:c r="G172" s="12" t="str">
        <x:v>EVT-JB-20171110-KAMPUNG-PASIR-SKUDAI</x:v>
      </x:c>
      <x:c r="H172" s="12" t="str">
        <x:v>Kampung Pasir, Skudai</x:v>
      </x:c>
      <x:c r="I172" s="12" t="str">
        <x:v>https://bangi.pulasan.my/_media/lampiran/lbt2017-2018.pdf</x:v>
      </x:c>
    </x:row>
    <x:row r="173">
      <x:c r="A173" s="12" t="str">
        <x:v>FLOC-0096</x:v>
      </x:c>
      <x:c r="B173" s="12" t="str">
        <x:v>Kampung Pasir, Tampoi/Skudai</x:v>
      </x:c>
      <x:c r="C173" s="12" t="str">
        <x:v>DG-JB-20171114</x:v>
      </x:c>
      <x:c r="D173" s="18" t="n">
        <x:v>43053</x:v>
      </x:c>
      <x:c r="E173" s="18" t="n">
        <x:v>43053</x:v>
      </x:c>
      <x:c r="F173" s="12" t="n">
        <x:v>2017</x:v>
      </x:c>
      <x:c r="G173" s="12" t="str">
        <x:v>EVT-JB-20171114-KAMPUNG-PASIR-SKUDAI</x:v>
      </x:c>
      <x:c r="H173" s="12" t="str">
        <x:v>Kampung Pasir, Skudai</x:v>
      </x:c>
      <x:c r="I173" s="12" t="str">
        <x:v>https://bangi.pulasan.my/_media/lampiran/lbt2017-2018.pdf</x:v>
      </x:c>
    </x:row>
    <x:row r="174">
      <x:c r="A174" s="12" t="str">
        <x:v>FLOC-0096</x:v>
      </x:c>
      <x:c r="B174" s="12" t="str">
        <x:v>Kampung Pasir, Tampoi/Skudai</x:v>
      </x:c>
      <x:c r="C174" s="12" t="str">
        <x:v>DG-JB-20201121</x:v>
      </x:c>
      <x:c r="D174" s="18" t="n">
        <x:v>44156</x:v>
      </x:c>
      <x:c r="E174" s="18" t="n">
        <x:v>44156</x:v>
      </x:c>
      <x:c r="F174" s="12" t="n">
        <x:v>2020</x:v>
      </x:c>
      <x:c r="G174" s="12" t="str">
        <x:v>EVT-JB-20201121-KAMPUNG-PASIR-TAMPOI</x:v>
      </x:c>
      <x:c r="H174" s="12" t="str">
        <x:v>Kampung Pasir, Tampoi</x:v>
      </x:c>
      <x:c r="I174" s="12" t="str">
        <x:v>https://www.utusan.com.my/nasional/2020/11/fenomena-air-pasang-punca-banjir-johor-bahru/</x:v>
      </x:c>
    </x:row>
    <x:row r="175">
      <x:c r="A175" s="12" t="str">
        <x:v>FLOC-0096</x:v>
      </x:c>
      <x:c r="B175" s="12" t="str">
        <x:v>Kampung Pasir, Tampoi/Skudai</x:v>
      </x:c>
      <x:c r="C175" s="12" t="str">
        <x:v>DG-JB-20201122</x:v>
      </x:c>
      <x:c r="D175" s="18" t="n">
        <x:v>44157</x:v>
      </x:c>
      <x:c r="E175" s="18" t="n">
        <x:v>44157</x:v>
      </x:c>
      <x:c r="F175" s="12" t="n">
        <x:v>2020</x:v>
      </x:c>
      <x:c r="G175" s="12" t="str">
        <x:v>EVT-JB-20201122-KAMPUNG-PASIR-TAMPOI</x:v>
      </x:c>
      <x:c r="H175" s="12" t="str">
        <x:v>Kampung Pasir, Tampoi</x:v>
      </x:c>
      <x:c r="I175" s="12" t="str">
        <x:v>https://www.malaymail.com/news/malaysia/2020/11/23/johor-floods-69-evacuated-from-kampung-laut-kampung-pasir/1925153</x:v>
      </x:c>
    </x:row>
    <x:row r="176">
      <x:c r="A176" s="12" t="str">
        <x:v>FLOC-0096</x:v>
      </x:c>
      <x:c r="B176" s="12" t="str">
        <x:v>Kampung Pasir, Tampoi/Skudai</x:v>
      </x:c>
      <x:c r="C176" s="12" t="str">
        <x:v>DG-JB-20210101-20210102</x:v>
      </x:c>
      <x:c r="D176" s="18" t="n">
        <x:v>44198</x:v>
      </x:c>
      <x:c r="E176" s="18" t="n">
        <x:v>44198</x:v>
      </x:c>
      <x:c r="F176" s="12" t="n">
        <x:v>2021</x:v>
      </x:c>
      <x:c r="G176" s="12" t="str">
        <x:v>EVT-JB-2021-006</x:v>
      </x:c>
      <x:c r="H176" s="12" t="str">
        <x:v>Kampung Pasir</x:v>
      </x:c>
      <x:c r="I176" s="12" t="str">
        <x:v>https://www.kosmo.com.my/2021/01/02/275-mangsa-banjir-dipindahkan/</x:v>
      </x:c>
    </x:row>
    <x:row r="177">
      <x:c r="A177" s="12" t="str">
        <x:v>FLOC-0096</x:v>
      </x:c>
      <x:c r="B177" s="12" t="str">
        <x:v>Kampung Pasir, Tampoi/Skudai</x:v>
      </x:c>
      <x:c r="C177" s="12" t="str">
        <x:v>DG-JB-20210110</x:v>
      </x:c>
      <x:c r="D177" s="18" t="n">
        <x:v>44206</x:v>
      </x:c>
      <x:c r="E177" s="18" t="n">
        <x:v>44206</x:v>
      </x:c>
      <x:c r="F177" s="12" t="n">
        <x:v>2021</x:v>
      </x:c>
      <x:c r="G177" s="12" t="str">
        <x:v>EVT-JB-2021-019</x:v>
      </x:c>
      <x:c r="H177" s="12" t="str">
        <x:v>Kampung Pasir</x:v>
      </x:c>
      <x:c r="I177" s="12" t="str">
        <x:v>https://www.kosmo.com.my/2021/01/10/johor-bahru-kota-tinggi-kembali-dilanda-banjir/</x:v>
      </x:c>
    </x:row>
    <x:row r="178">
      <x:c r="A178" s="12" t="str">
        <x:v>FLOC-0096</x:v>
      </x:c>
      <x:c r="B178" s="12" t="str">
        <x:v>Kampung Pasir, Tampoi/Skudai</x:v>
      </x:c>
      <x:c r="C178" s="12" t="str">
        <x:v>DG-JB-20210417</x:v>
      </x:c>
      <x:c r="D178" s="18" t="n">
        <x:v>44303</x:v>
      </x:c>
      <x:c r="E178" s="18" t="n">
        <x:v>44303</x:v>
      </x:c>
      <x:c r="F178" s="12" t="n">
        <x:v>2021</x:v>
      </x:c>
      <x:c r="G178" s="12" t="str">
        <x:v>EVT-JB-2021-023</x:v>
      </x:c>
      <x:c r="H178" s="12" t="str">
        <x:v>Kampung Pasir</x:v>
      </x:c>
      <x:c r="I178" s="12" t="str">
        <x:v>https://www.utusan.com.my/berita/2021/04/penduduk-kampung-pasir-berbuka-puasa-dalam-banjir/</x:v>
      </x:c>
    </x:row>
    <x:row r="179">
      <x:c r="A179" s="12" t="str">
        <x:v>FLOC-0096</x:v>
      </x:c>
      <x:c r="B179" s="12" t="str">
        <x:v>Kampung Pasir, Tampoi/Skudai</x:v>
      </x:c>
      <x:c r="C179" s="12" t="str">
        <x:v>DG-JB-20210930</x:v>
      </x:c>
      <x:c r="D179" s="18" t="n">
        <x:v>44469</x:v>
      </x:c>
      <x:c r="E179" s="18" t="n">
        <x:v>44469</x:v>
      </x:c>
      <x:c r="F179" s="12" t="n">
        <x:v>2021</x:v>
      </x:c>
      <x:c r="G179" s="12" t="str">
        <x:v>EVT-JB-2021-042</x:v>
      </x:c>
      <x:c r="H179" s="12" t="str">
        <x:v>Kampung Pasir</x:v>
      </x:c>
      <x:c r="I179" s="12" t="str">
        <x:v>https://www.sinarharian.com.my/article/164321/EDISI/Beberapa-kawasan-di-Johor-Bahru-dilanda-banjir-kilat</x:v>
      </x:c>
    </x:row>
    <x:row r="180">
      <x:c r="A180" s="12" t="str">
        <x:v>FLOC-0096</x:v>
      </x:c>
      <x:c r="B180" s="12" t="str">
        <x:v>Kampung Pasir, Tampoi/Skudai</x:v>
      </x:c>
      <x:c r="C180" s="12" t="str">
        <x:v>DG-JB-20220307</x:v>
      </x:c>
      <x:c r="D180" s="18" t="n">
        <x:v>44627</x:v>
      </x:c>
      <x:c r="E180" s="18" t="n">
        <x:v>44627</x:v>
      </x:c>
      <x:c r="F180" s="12" t="n">
        <x:v>2022</x:v>
      </x:c>
      <x:c r="G180" s="12" t="str">
        <x:v>EVT-JB-2022-003</x:v>
      </x:c>
      <x:c r="H180" s="12" t="str">
        <x:v>Kampung Pasir</x:v>
      </x:c>
      <x:c r="I180" s="12" t="str">
        <x:v>https://www.water.gov.my/jps/resources/Anual%20Flood%20Reporting%20/LBT_2022.pdf</x:v>
      </x:c>
    </x:row>
    <x:row r="181">
      <x:c r="A181" s="12" t="str">
        <x:v>FLOC-0096</x:v>
      </x:c>
      <x:c r="B181" s="12" t="str">
        <x:v>Kampung Pasir, Tampoi/Skudai</x:v>
      </x:c>
      <x:c r="C181" s="12" t="str">
        <x:v>DG-JB-20231201</x:v>
      </x:c>
      <x:c r="D181" s="18" t="n">
        <x:v>45261</x:v>
      </x:c>
      <x:c r="E181" s="18" t="n">
        <x:v>45261</x:v>
      </x:c>
      <x:c r="F181" s="12" t="n">
        <x:v>2023</x:v>
      </x:c>
      <x:c r="G181" s="12" t="str">
        <x:v>EVT-JB-2023-022</x:v>
      </x:c>
      <x:c r="H181" s="12" t="str">
        <x:v>Kampung Pasir</x:v>
      </x:c>
      <x:c r="I181" s="12" t="str">
        <x:v>https://www.rmp.gov.my/arkib-berita/berita/2023/12/01/opbanjir-pdrm-bersama-jbpm-pindahkan-warga-kampung-terjejas-banjir-ke-pps</x:v>
      </x:c>
    </x:row>
    <x:row r="182">
      <x:c r="A182" s="12" t="str">
        <x:v>FLOC-0096</x:v>
      </x:c>
      <x:c r="B182" s="12" t="str">
        <x:v>Kampung Pasir, Tampoi/Skudai</x:v>
      </x:c>
      <x:c r="C182" s="12" t="str">
        <x:v>DG-JB-20250110-20250115</x:v>
      </x:c>
      <x:c r="D182" s="18" t="n">
        <x:v>45668</x:v>
      </x:c>
      <x:c r="E182" s="18" t="n">
        <x:v>45668</x:v>
      </x:c>
      <x:c r="F182" s="12" t="n">
        <x:v>2025</x:v>
      </x:c>
      <x:c r="G182" s="12" t="str">
        <x:v>EVT-JB-2025-005</x:v>
      </x:c>
      <x:c r="H182" s="12" t="str">
        <x:v>Kampung Pasir</x:v>
      </x:c>
      <x:c r="I182" s="12" t="str">
        <x:v>https://www.nadma.gov.my/bi/media-en/news/2235-flood-evacuees-rise-in-johor
https://kpwkm.gov.my/uploads/content-downloads/file_20250116124207.pdf</x:v>
      </x:c>
    </x:row>
    <x:row r="183">
      <x:c r="A183" s="12" t="str">
        <x:v>FLOC-0096</x:v>
      </x:c>
      <x:c r="B183" s="12" t="str">
        <x:v>Kampung Pasir, Tampoi/Skudai</x:v>
      </x:c>
      <x:c r="C183" s="12" t="str">
        <x:v>DG-JB-20250319-20250324</x:v>
      </x:c>
      <x:c r="D183" s="18" t="n">
        <x:v>45736</x:v>
      </x:c>
      <x:c r="E183" s="18" t="n">
        <x:v>45736</x:v>
      </x:c>
      <x:c r="F183" s="12" t="n">
        <x:v>2025</x:v>
      </x:c>
      <x:c r="G183" s="12" t="str">
        <x:v>EVT-JB-2025-012</x:v>
      </x:c>
      <x:c r="H183" s="12" t="str">
        <x:v>Kampung Pasir</x:v>
      </x:c>
      <x:c r="I183" s="12" t="str">
        <x:v>https://www.nadma.gov.my/bm/media-2/berita/3259-johor-dilanda-banjir-3-pps-dibuka
https://www.nadma.gov.my/bi/media-en/news/3415-banjir-terburuk-dalam-tempoh-30-tahun-datuk-bandar-mbjb</x:v>
      </x:c>
    </x:row>
    <x:row r="184">
      <x:c r="A184" s="12" t="str">
        <x:v>FLOC-0096</x:v>
      </x:c>
      <x:c r="B184" s="12" t="str">
        <x:v>Kampung Pasir, Tampoi/Skudai</x:v>
      </x:c>
      <x:c r="C184" s="12" t="str">
        <x:v>DG-JB-20251212</x:v>
      </x:c>
      <x:c r="D184" s="18" t="n">
        <x:v>46003</x:v>
      </x:c>
      <x:c r="E184" s="18" t="n">
        <x:v>46003</x:v>
      </x:c>
      <x:c r="F184" s="12" t="n">
        <x:v>2025</x:v>
      </x:c>
      <x:c r="G184" s="12" t="str">
        <x:v>EVT-JB-2025-043</x:v>
      </x:c>
      <x:c r="H184" s="12" t="str">
        <x:v>Kampung Pasir</x:v>
      </x:c>
      <x:c r="I184" s="12" t="str">
        <x:v>https://www.astroawani.com/berita-malaysia/banjir-19-bayi-antara-35-mangsa-diselamatkan-bomba-551556/</x:v>
      </x:c>
    </x:row>
    <x:row r="185">
      <x:c r="A185" s="12" t="str">
        <x:v>FLOC-0096</x:v>
      </x:c>
      <x:c r="B185" s="12" t="str">
        <x:v>Kampung Pasir, Tampoi/Skudai</x:v>
      </x:c>
      <x:c r="C185" s="12" t="str">
        <x:v>DG-JB-20260930</x:v>
      </x:c>
      <x:c r="D185" s="18" t="n">
        <x:v>46295</x:v>
      </x:c>
      <x:c r="E185" s="18" t="n">
        <x:v>46295</x:v>
      </x:c>
      <x:c r="F185" s="12" t="n">
        <x:v>2026</x:v>
      </x:c>
      <x:c r="G185" s="12" t="str">
        <x:v>EVT-JB-2026-006</x:v>
      </x:c>
      <x:c r="H185" s="12" t="str">
        <x:v>Kampung Pasir, Tampoi</x:v>
      </x:c>
      <x:c r="I185" s="12" t="str">
        <x:v>https://www.utusan.com.my/terkini/2026/09/beberapa-kawasan-di-johor-bahru-dinaiki-air-susulan-hujan-lebat/
https://www.sinarharian.com.my/article/798490/edisi/johor/banjir-kilat-landa-johor-bahru-trafik-sesak</x:v>
      </x:c>
    </x:row>
    <x:row r="186">
      <x:c r="A186" s="12" t="str">
        <x:v>FLOC-0097</x:v>
      </x:c>
      <x:c r="B186" s="12" t="str">
        <x:v>Kampung Paya (24-25 Jan 2017 source)</x:v>
      </x:c>
      <x:c r="C186" s="12" t="str">
        <x:v>DG-JB-20170124-20170125</x:v>
      </x:c>
      <x:c r="D186" s="18" t="n">
        <x:v>42759</x:v>
      </x:c>
      <x:c r="E186" s="18" t="n">
        <x:v>42759</x:v>
      </x:c>
      <x:c r="F186" s="12" t="n">
        <x:v>2017</x:v>
      </x:c>
      <x:c r="G186" s="12" t="str">
        <x:v>EVT-JB-20170124-KAMPUNG-PAYA</x:v>
      </x:c>
      <x:c r="H186" s="12" t="str">
        <x:v>Kampung Paya</x:v>
      </x:c>
      <x:c r="I186" s="12" t="str">
        <x:v>https://www.scribd.com/document/389922687/Banjir-Tahun1617</x:v>
      </x:c>
    </x:row>
    <x:row r="187">
      <x:c r="A187" s="12" t="str">
        <x:v>FLOC-0098</x:v>
      </x:c>
      <x:c r="B187" s="12" t="str">
        <x:v>Kampung Paya Kenangan</x:v>
      </x:c>
      <x:c r="C187" s="12" t="str">
        <x:v>DG-JB-20170418</x:v>
      </x:c>
      <x:c r="D187" s="18" t="n">
        <x:v>42843</x:v>
      </x:c>
      <x:c r="E187" s="18" t="n">
        <x:v>42843</x:v>
      </x:c>
      <x:c r="F187" s="12" t="n">
        <x:v>2017</x:v>
      </x:c>
      <x:c r="G187" s="12" t="str">
        <x:v>EVT-JB-20170418-KAMPUNG-PAYA-KENANGAN-TEBRAU</x:v>
      </x:c>
      <x:c r="H187" s="12" t="str">
        <x:v>Kampung Paya Kenangan, Tebrau</x:v>
      </x:c>
      <x:c r="I187" s="12" t="str">
        <x:v>https://bangi.pulasan.my/_media/lampiran/lbt2017-2018.pdf</x:v>
      </x:c>
    </x:row>
    <x:row r="188">
      <x:c r="A188" s="12" t="str">
        <x:v>FLOC-0098</x:v>
      </x:c>
      <x:c r="B188" s="12" t="str">
        <x:v>Kampung Paya Kenangan</x:v>
      </x:c>
      <x:c r="C188" s="12" t="str">
        <x:v>DG-JB-20191215</x:v>
      </x:c>
      <x:c r="D188" s="18" t="n">
        <x:v>43814</x:v>
      </x:c>
      <x:c r="E188" s="18" t="n">
        <x:v>43814</x:v>
      </x:c>
      <x:c r="F188" s="12" t="n">
        <x:v>2019</x:v>
      </x:c>
      <x:c r="G188" s="12" t="str">
        <x:v>EVT-JB-20191215-KAMPUNG-PAYA-KENANGAN</x:v>
      </x:c>
      <x:c r="H188" s="12" t="str">
        <x:v>Kampung Paya Kenangan</x:v>
      </x:c>
      <x:c r="I188" s="12" t="str">
        <x:v>https://www.scribd.com/document/975564939/JPS2019</x:v>
      </x:c>
    </x:row>
    <x:row r="189">
      <x:c r="A189" s="12" t="str">
        <x:v>FLOC-0098</x:v>
      </x:c>
      <x:c r="B189" s="12" t="str">
        <x:v>Kampung Paya Kenangan</x:v>
      </x:c>
      <x:c r="C189" s="12" t="str">
        <x:v>DG-JB-20210101-20210102</x:v>
      </x:c>
      <x:c r="D189" s="18" t="n">
        <x:v>44198</x:v>
      </x:c>
      <x:c r="E189" s="18" t="n">
        <x:v>44198</x:v>
      </x:c>
      <x:c r="F189" s="12" t="n">
        <x:v>2021</x:v>
      </x:c>
      <x:c r="G189" s="12" t="str">
        <x:v>EVT-JB-2021-009</x:v>
      </x:c>
      <x:c r="H189" s="12" t="str">
        <x:v>Kampung Paya Kenangan</x:v>
      </x:c>
      <x:c r="I189" s="12" t="str">
        <x:v>https://www.bernama.com/bm/news.php?id=1918395
https://www.utusan.com.my/berita/2021/01/segerakan-projek-lebar-sungai-tebrau-elak-banjir-berulang/</x:v>
      </x:c>
    </x:row>
    <x:row r="190">
      <x:c r="A190" s="12" t="str">
        <x:v>FLOC-0098</x:v>
      </x:c>
      <x:c r="B190" s="12" t="str">
        <x:v>Kampung Paya Kenangan</x:v>
      </x:c>
      <x:c r="C190" s="12" t="str">
        <x:v>DG-JB-20210110</x:v>
      </x:c>
      <x:c r="D190" s="18" t="n">
        <x:v>44206</x:v>
      </x:c>
      <x:c r="E190" s="18" t="n">
        <x:v>44206</x:v>
      </x:c>
      <x:c r="F190" s="12" t="n">
        <x:v>2021</x:v>
      </x:c>
      <x:c r="G190" s="12" t="str">
        <x:v>EVT-JB-2021-018</x:v>
      </x:c>
      <x:c r="H190" s="12" t="str">
        <x:v>Kampung Paya Kenangan</x:v>
      </x:c>
      <x:c r="I190" s="12" t="str">
        <x:v>https://www.kosmo.com.my/2021/01/10/johor-bahru-kota-tinggi-kembali-dilanda-banjir/</x:v>
      </x:c>
    </x:row>
    <x:row r="191">
      <x:c r="A191" s="12" t="str">
        <x:v>FLOC-0098</x:v>
      </x:c>
      <x:c r="B191" s="12" t="str">
        <x:v>Kampung Paya Kenangan</x:v>
      </x:c>
      <x:c r="C191" s="12" t="str">
        <x:v>DG-JB-20220820</x:v>
      </x:c>
      <x:c r="D191" s="18" t="n">
        <x:v>44793</x:v>
      </x:c>
      <x:c r="E191" s="18" t="n">
        <x:v>44793</x:v>
      </x:c>
      <x:c r="F191" s="12" t="n">
        <x:v>2022</x:v>
      </x:c>
      <x:c r="G191" s="12" t="str">
        <x:v>EVT-JB-2022-022</x:v>
      </x:c>
      <x:c r="H191" s="12" t="str">
        <x:v>Kampung Paya Kenangan</x:v>
      </x:c>
      <x:c r="I191" s="12" t="str">
        <x:v>https://www.water.gov.my/jps/resources/Anual%20Flood%20Reporting%20/LBT_2022.pdf</x:v>
      </x:c>
    </x:row>
    <x:row r="192">
      <x:c r="A192" s="12" t="str">
        <x:v>FLOC-0098</x:v>
      </x:c>
      <x:c r="B192" s="12" t="str">
        <x:v>Kampung Paya Kenangan</x:v>
      </x:c>
      <x:c r="C192" s="12" t="str">
        <x:v>DG-JB-20230228-20230301</x:v>
      </x:c>
      <x:c r="D192" s="18" t="n">
        <x:v>44986</x:v>
      </x:c>
      <x:c r="E192" s="18" t="n">
        <x:v>44986</x:v>
      </x:c>
      <x:c r="F192" s="12" t="n">
        <x:v>2023</x:v>
      </x:c>
      <x:c r="G192" s="12" t="str">
        <x:v>EVT-JB-2023-009</x:v>
      </x:c>
      <x:c r="H192" s="12" t="str">
        <x:v>Kampung Paya Kenangan</x:v>
      </x:c>
      <x:c r="I192" s="12" t="str">
        <x:v>https://www.kosmo.com.my/2023/03/01/banjir-johor-1591-mangsa-dipindahkan-di-21-pps/
https://mediadigitaljohor.gov.my/en/mangsa-banjir-4-daerah-dipindahkan-ke-pps/</x:v>
      </x:c>
    </x:row>
    <x:row r="193">
      <x:c r="A193" s="12" t="str">
        <x:v>FLOC-0098</x:v>
      </x:c>
      <x:c r="B193" s="12" t="str">
        <x:v>Kampung Paya Kenangan</x:v>
      </x:c>
      <x:c r="C193" s="12" t="str">
        <x:v>DG-JB-20231201</x:v>
      </x:c>
      <x:c r="D193" s="18" t="n">
        <x:v>45261</x:v>
      </x:c>
      <x:c r="E193" s="18" t="n">
        <x:v>45261</x:v>
      </x:c>
      <x:c r="F193" s="12" t="n">
        <x:v>2023</x:v>
      </x:c>
      <x:c r="G193" s="12" t="str">
        <x:v>EVT-JB-2023-014</x:v>
      </x:c>
      <x:c r="H193" s="12" t="str">
        <x:v>Kampung Paya Kenangan</x:v>
      </x:c>
      <x:c r="I193" s="12" t="str">
        <x:v>https://www.freemalaysiatoday.com/category/nation/2023/12/01/5-villages-in-johor-hit-by-flash-floods
https://berita.rtm.gov.my/nasional/senarai-berita-nasional/senarai-artikel/banjir-di-johor-463-penduduk-terjejas-banjir-tak-sempat-kemas-barang-air-naik-mendadak/</x:v>
      </x:c>
    </x:row>
    <x:row r="194">
      <x:c r="A194" s="12" t="str">
        <x:v>FLOC-0098</x:v>
      </x:c>
      <x:c r="B194" s="12" t="str">
        <x:v>Kampung Paya Kenangan</x:v>
      </x:c>
      <x:c r="C194" s="12" t="str">
        <x:v>DG-JB-20250110-20250115</x:v>
      </x:c>
      <x:c r="D194" s="18" t="n">
        <x:v>45668</x:v>
      </x:c>
      <x:c r="E194" s="18" t="n">
        <x:v>45668</x:v>
      </x:c>
      <x:c r="F194" s="12" t="n">
        <x:v>2025</x:v>
      </x:c>
      <x:c r="G194" s="12" t="str">
        <x:v>EVT-JB-2025-002</x:v>
      </x:c>
      <x:c r="H194" s="12" t="str">
        <x:v>Kampung Paya Kenangan</x:v>
      </x:c>
      <x:c r="I194" s="12" t="str">
        <x:v>https://bernama.com/bm/news.php?id=2381630
https://www.nadma.gov.my/bi/media-en/news/2235-flood-evacuees-rise-in-johor</x:v>
      </x:c>
    </x:row>
    <x:row r="195">
      <x:c r="A195" s="12" t="str">
        <x:v>FLOC-0098</x:v>
      </x:c>
      <x:c r="B195" s="12" t="str">
        <x:v>Kampung Paya Kenangan</x:v>
      </x:c>
      <x:c r="C195" s="12" t="str">
        <x:v>DG-JB-20250319-20250324</x:v>
      </x:c>
      <x:c r="D195" s="18" t="n">
        <x:v>45735</x:v>
      </x:c>
      <x:c r="E195" s="18" t="n">
        <x:v>45735</x:v>
      </x:c>
      <x:c r="F195" s="12" t="n">
        <x:v>2025</x:v>
      </x:c>
      <x:c r="G195" s="12" t="str">
        <x:v>EVT-JB-2025-009</x:v>
      </x:c>
      <x:c r="H195" s="12" t="str">
        <x:v>Kampung Paya Kenangan</x:v>
      </x:c>
      <x:c r="I195" s="12" t="str">
        <x:v>https://www.nadma.gov.my/bm/media-2/berita/3257-banjir-tiga-pps-dibuka-di-johor-bahru-68-penduduk-terjejas</x:v>
      </x:c>
    </x:row>
    <x:row r="196">
      <x:c r="A196" s="12" t="str">
        <x:v>FLOC-0099</x:v>
      </x:c>
      <x:c r="B196" s="12" t="str">
        <x:v>Kampung Paya Mengkuang</x:v>
      </x:c>
      <x:c r="C196" s="12" t="str">
        <x:v>DG-JB-20220504</x:v>
      </x:c>
      <x:c r="D196" s="18" t="n">
        <x:v>44685</x:v>
      </x:c>
      <x:c r="E196" s="18" t="n">
        <x:v>44685</x:v>
      </x:c>
      <x:c r="F196" s="12" t="n">
        <x:v>2022</x:v>
      </x:c>
      <x:c r="G196" s="12" t="str">
        <x:v>EVT-JB-2022-005</x:v>
      </x:c>
      <x:c r="H196" s="12" t="str">
        <x:v>Kampung Paya Mengkuang, Tg Kupang, Gelang Patah</x:v>
      </x:c>
      <x:c r="I196" s="12" t="str">
        <x:v>https://www.water.gov.my/jps/resources/Anual%20Flood%20Reporting%20/LBT_2022.pdf</x:v>
      </x:c>
    </x:row>
    <x:row r="197">
      <x:c r="A197" s="12" t="str">
        <x:v>FLOC-0099</x:v>
      </x:c>
      <x:c r="B197" s="12" t="str">
        <x:v>Kampung Paya Mengkuang</x:v>
      </x:c>
      <x:c r="C197" s="12" t="str">
        <x:v>DG-JB-20220925</x:v>
      </x:c>
      <x:c r="D197" s="18" t="n">
        <x:v>44829</x:v>
      </x:c>
      <x:c r="E197" s="18" t="n">
        <x:v>44829</x:v>
      </x:c>
      <x:c r="F197" s="12" t="n">
        <x:v>2022</x:v>
      </x:c>
      <x:c r="G197" s="12" t="str">
        <x:v>EVT-JB-2022-036</x:v>
      </x:c>
      <x:c r="H197" s="12" t="str">
        <x:v>Kampung Paya Mengkuang</x:v>
      </x:c>
      <x:c r="I197" s="12" t="str">
        <x:v>https://www.utusan.com.my/berita/2022/09/10-kawasan-di-johor-bahru-dilanda-banjir-kilat/
https://www.bharian.com.my/</x:v>
      </x:c>
    </x:row>
    <x:row r="198">
      <x:c r="A198" s="12" t="str">
        <x:v>FLOC-0100</x:v>
      </x:c>
      <x:c r="B198" s="12" t="str">
        <x:v>Kampung Paya Tiram, Sg. Layang / Sg. Redan context</x:v>
      </x:c>
      <x:c r="C198" s="12" t="str">
        <x:v>DG-JB-20191215</x:v>
      </x:c>
      <x:c r="D198" s="18" t="n">
        <x:v>43814</x:v>
      </x:c>
      <x:c r="E198" s="18" t="n">
        <x:v>43814</x:v>
      </x:c>
      <x:c r="F198" s="12" t="n">
        <x:v>2019</x:v>
      </x:c>
      <x:c r="G198" s="12" t="str">
        <x:v>EVT-JB-20191215-KAMPUNG-PAYA-TIRAM</x:v>
      </x:c>
      <x:c r="H198" s="12" t="str">
        <x:v>Kampung Paya Tiram</x:v>
      </x:c>
      <x:c r="I198" s="12" t="str">
        <x:v>https://www.scribd.com/document/975564939/JPS2019</x:v>
      </x:c>
    </x:row>
    <x:row r="199">
      <x:c r="A199" s="12" t="str">
        <x:v>FLOC-0101</x:v>
      </x:c>
      <x:c r="B199" s="12" t="str">
        <x:v>Kampung Paya, Bukit Mutiara</x:v>
      </x:c>
      <x:c r="C199" s="12" t="str">
        <x:v>DG-JB-20210110</x:v>
      </x:c>
      <x:c r="D199" s="18" t="n">
        <x:v>44206</x:v>
      </x:c>
      <x:c r="E199" s="18" t="n">
        <x:v>44206</x:v>
      </x:c>
      <x:c r="F199" s="12" t="n">
        <x:v>2021</x:v>
      </x:c>
      <x:c r="G199" s="12" t="str">
        <x:v>EVT-JB-2021-022</x:v>
      </x:c>
      <x:c r="H199" s="12" t="str">
        <x:v>Kampung Paya, Bukit Mutiara</x:v>
      </x:c>
      <x:c r="I199" s="12" t="str">
        <x:v>https://www.malaymail.com/amp/news/malaysia/2021/01/10/several-areas-in-jb-kota-tinggi-hit-by-floods-again/1939147</x:v>
      </x:c>
    </x:row>
    <x:row r="200">
      <x:c r="A200" s="12" t="str">
        <x:v>FLOC-0102</x:v>
      </x:c>
      <x:c r="B200" s="12" t="str">
        <x:v>Kampung Paya, Nam Heng plantation / Mukim Sungai Tiram</x:v>
      </x:c>
      <x:c r="C200" s="12" t="str">
        <x:v>DG-JB-20171114</x:v>
      </x:c>
      <x:c r="D200" s="18" t="n">
        <x:v>43053</x:v>
      </x:c>
      <x:c r="E200" s="18" t="n">
        <x:v>43053</x:v>
      </x:c>
      <x:c r="F200" s="12" t="n">
        <x:v>2017</x:v>
      </x:c>
      <x:c r="G200" s="12" t="str">
        <x:v>EVT-JB-20171114-KAMPUNG-PAYA-NAM-HENG</x:v>
      </x:c>
      <x:c r="H200" s="12" t="str">
        <x:v>Kampung Paya Nam Heng</x:v>
      </x:c>
      <x:c r="I200" s="12" t="str">
        <x:v>https://bangi.pulasan.my/_media/lampiran/lbt2017-2018.pdf</x:v>
      </x:c>
    </x:row>
    <x:row r="201">
      <x:c r="A201" s="12" t="str">
        <x:v>FLOC-0103</x:v>
      </x:c>
      <x:c r="B201" s="12" t="str">
        <x:v>Kampung Pekajang</x:v>
      </x:c>
      <x:c r="C201" s="12" t="str">
        <x:v>DG-JB-20220925</x:v>
      </x:c>
      <x:c r="D201" s="18" t="n">
        <x:v>44829</x:v>
      </x:c>
      <x:c r="E201" s="18" t="n">
        <x:v>44829</x:v>
      </x:c>
      <x:c r="F201" s="12" t="n">
        <x:v>2022</x:v>
      </x:c>
      <x:c r="G201" s="12" t="str">
        <x:v>EVT-JB-2022-035</x:v>
      </x:c>
      <x:c r="H201" s="12" t="str">
        <x:v>Kampung Pekajang</x:v>
      </x:c>
      <x:c r="I201" s="12" t="str">
        <x:v>https://www.utusan.com.my/berita/2022/09/10-kawasan-di-johor-bahru-dilanda-banjir-kilat/
https://www.bharian.com.my/</x:v>
      </x:c>
    </x:row>
    <x:row r="202">
      <x:c r="A202" s="12" t="str">
        <x:v>FLOC-0104</x:v>
      </x:c>
      <x:c r="B202" s="12" t="str">
        <x:v>Kampung Peladang</x:v>
      </x:c>
      <x:c r="C202" s="12" t="str">
        <x:v>DG-JB-20220925</x:v>
      </x:c>
      <x:c r="D202" s="18" t="n">
        <x:v>44829</x:v>
      </x:c>
      <x:c r="E202" s="18" t="n">
        <x:v>44829</x:v>
      </x:c>
      <x:c r="F202" s="12" t="n">
        <x:v>2022</x:v>
      </x:c>
      <x:c r="G202" s="12" t="str">
        <x:v>EVT-JB-2022-033</x:v>
      </x:c>
      <x:c r="H202" s="12" t="str">
        <x:v>Kampung Peladang</x:v>
      </x:c>
      <x:c r="I202" s="12" t="str">
        <x:v>https://www.utusan.com.my/berita/2022/09/10-kawasan-di-johor-bahru-dilanda-banjir-kilat/
https://www.bharian.com.my/</x:v>
      </x:c>
    </x:row>
    <x:row r="203">
      <x:c r="A203" s="12" t="str">
        <x:v>FLOC-0105</x:v>
      </x:c>
      <x:c r="B203" s="12" t="str">
        <x:v>Kampung Pengkalan Rinting</x:v>
      </x:c>
      <x:c r="C203" s="12" t="str">
        <x:v>DG-JB-20201121</x:v>
      </x:c>
      <x:c r="D203" s="18" t="n">
        <x:v>44156</x:v>
      </x:c>
      <x:c r="E203" s="18" t="n">
        <x:v>44156</x:v>
      </x:c>
      <x:c r="F203" s="12" t="n">
        <x:v>2020</x:v>
      </x:c>
      <x:c r="G203" s="12" t="str">
        <x:v>EVT-JB-20201121-KAMPUNG-PENGKALAN-RINTING</x:v>
      </x:c>
      <x:c r="H203" s="12" t="str">
        <x:v>Kampung Pengkalan Rinting</x:v>
      </x:c>
      <x:c r="I203" s="12" t="str">
        <x:v>https://www.sinarharian.com.my/article/111426/edisi/johor/banjir-di-kampung-pasir-tampoi-kedua-terburuk-selepas-2006</x:v>
      </x:c>
    </x:row>
    <x:row r="204">
      <x:c r="A204" s="12" t="str">
        <x:v>FLOC-0106</x:v>
      </x:c>
      <x:c r="B204" s="12" t="str">
        <x:v>Kampung Plentong</x:v>
      </x:c>
      <x:c r="C204" s="12" t="str">
        <x:v>DG-JB-20200604</x:v>
      </x:c>
      <x:c r="D204" s="18" t="n">
        <x:v>43986</x:v>
      </x:c>
      <x:c r="E204" s="18" t="n">
        <x:v>43986</x:v>
      </x:c>
      <x:c r="F204" s="12" t="n">
        <x:v>2020</x:v>
      </x:c>
      <x:c r="G204" s="12" t="str">
        <x:v>EVT-JB-20200604-KAMPUNG-PLENTONG</x:v>
      </x:c>
      <x:c r="H204" s="12" t="str">
        <x:v>Kampung Plentong</x:v>
      </x:c>
      <x:c r="I204" s="12" t="str">
        <x:v>https://bangi.pulasan.my/_media/lampiran/lbt2020.pdf</x:v>
      </x:c>
    </x:row>
    <x:row r="205">
      <x:c r="A205" s="12" t="str">
        <x:v>FLOC-0107</x:v>
      </x:c>
      <x:c r="B205" s="12" t="str">
        <x:v>Kampung Plentong Baru</x:v>
      </x:c>
      <x:c r="C205" s="12" t="str">
        <x:v>DG-JB-20220906</x:v>
      </x:c>
      <x:c r="D205" s="18" t="n">
        <x:v>44810</x:v>
      </x:c>
      <x:c r="E205" s="18" t="n">
        <x:v>44810</x:v>
      </x:c>
      <x:c r="F205" s="12" t="n">
        <x:v>2022</x:v>
      </x:c>
      <x:c r="G205" s="12" t="str">
        <x:v>EVT-JB-2022-026</x:v>
      </x:c>
      <x:c r="H205" s="12" t="str">
        <x:v>Kampung Plentong Baru</x:v>
      </x:c>
      <x:c r="I205" s="12" t="str">
        <x:v>https://www.water.gov.my/jps/resources/Anual%20Flood%20Reporting%20/LBT_2022.pdf</x:v>
      </x:c>
    </x:row>
    <x:row r="206">
      <x:c r="A206" s="12" t="str">
        <x:v>FLOC-0108</x:v>
      </x:c>
      <x:c r="B206" s="12" t="str">
        <x:v>Kampung Pulai, Ulu Pulai</x:v>
      </x:c>
      <x:c r="C206" s="12" t="str">
        <x:v>DG-JB-20180517</x:v>
      </x:c>
      <x:c r="D206" s="18" t="n">
        <x:v>43237</x:v>
      </x:c>
      <x:c r="E206" s="18" t="n">
        <x:v>43237</x:v>
      </x:c>
      <x:c r="F206" s="12" t="n">
        <x:v>2018</x:v>
      </x:c>
      <x:c r="G206" s="12" t="str">
        <x:v>EVT-JB-20180517-KAMPUNG-PULAI-ULU-PULAI</x:v>
      </x:c>
      <x:c r="H206" s="12" t="str">
        <x:v>Kampung Pulai, Ulu Pulai</x:v>
      </x:c>
      <x:c r="I206" s="12" t="str">
        <x:v>https://bangi.pulasan.my/_media/lampiran/lbt2018_2019.pdf</x:v>
      </x:c>
    </x:row>
    <x:row r="207">
      <x:c r="A207" s="12" t="str">
        <x:v>FLOC-0108</x:v>
      </x:c>
      <x:c r="B207" s="12" t="str">
        <x:v>Kampung Pulai, Ulu Pulai</x:v>
      </x:c>
      <x:c r="C207" s="12" t="str">
        <x:v>DG-JB-20181022</x:v>
      </x:c>
      <x:c r="D207" s="18" t="n">
        <x:v>43395</x:v>
      </x:c>
      <x:c r="E207" s="18" t="n">
        <x:v>43395</x:v>
      </x:c>
      <x:c r="F207" s="12" t="n">
        <x:v>2018</x:v>
      </x:c>
      <x:c r="G207" s="12" t="str">
        <x:v>EVT-JB-20181022-KAMPUNG-PULAI-ULU-PULAI</x:v>
      </x:c>
      <x:c r="H207" s="12" t="str">
        <x:v>Kampung Pulai, Ulu Pulai</x:v>
      </x:c>
      <x:c r="I207" s="12" t="str">
        <x:v>https://bangi.pulasan.my/_media/lampiran/lbt2018_2019.pdf</x:v>
      </x:c>
    </x:row>
    <x:row r="208">
      <x:c r="A208" s="12" t="str">
        <x:v>FLOC-0108</x:v>
      </x:c>
      <x:c r="B208" s="12" t="str">
        <x:v>Kampung Pulai, Ulu Pulai</x:v>
      </x:c>
      <x:c r="C208" s="12" t="str">
        <x:v>DG-JB-20191022</x:v>
      </x:c>
      <x:c r="D208" s="18" t="n">
        <x:v>43760</x:v>
      </x:c>
      <x:c r="E208" s="18" t="n">
        <x:v>43760</x:v>
      </x:c>
      <x:c r="F208" s="12" t="n">
        <x:v>2019</x:v>
      </x:c>
      <x:c r="G208" s="12" t="str">
        <x:v>EVT-JB-20191022-KAMPUNG-PULAI</x:v>
      </x:c>
      <x:c r="H208" s="12" t="str">
        <x:v>Kampung Pulai</x:v>
      </x:c>
      <x:c r="I208" s="12" t="str">
        <x:v>https://www.scribd.com/document/975564939/JPS2019</x:v>
      </x:c>
    </x:row>
    <x:row r="209">
      <x:c r="A209" s="12" t="str">
        <x:v>FLOC-0109</x:v>
      </x:c>
      <x:c r="B209" s="12" t="str">
        <x:v>Kampung Sepakat Baru</x:v>
      </x:c>
      <x:c r="C209" s="12" t="str">
        <x:v>DG-JB-20191215</x:v>
      </x:c>
      <x:c r="D209" s="18" t="n">
        <x:v>43814</x:v>
      </x:c>
      <x:c r="E209" s="18" t="n">
        <x:v>43814</x:v>
      </x:c>
      <x:c r="F209" s="12" t="n">
        <x:v>2019</x:v>
      </x:c>
      <x:c r="G209" s="12" t="str">
        <x:v>EVT-JB-20191215-KAMPUNG-SEPAKAT-BARU</x:v>
      </x:c>
      <x:c r="H209" s="12" t="str">
        <x:v>Kampung Sepakat Baru</x:v>
      </x:c>
      <x:c r="I209" s="12" t="str">
        <x:v>https://www.scribd.com/document/975564939/JPS2019</x:v>
      </x:c>
    </x:row>
    <x:row r="210">
      <x:c r="A210" s="12" t="str">
        <x:v>FLOC-0109</x:v>
      </x:c>
      <x:c r="B210" s="12" t="str">
        <x:v>Kampung Sepakat Baru</x:v>
      </x:c>
      <x:c r="C210" s="12" t="str">
        <x:v>DG-JB-20210101-20210102</x:v>
      </x:c>
      <x:c r="D210" s="18" t="n">
        <x:v>44198</x:v>
      </x:c>
      <x:c r="E210" s="18" t="n">
        <x:v>44198</x:v>
      </x:c>
      <x:c r="F210" s="12" t="n">
        <x:v>2021</x:v>
      </x:c>
      <x:c r="G210" s="12" t="str">
        <x:v>EVT-JB-2021-008</x:v>
      </x:c>
      <x:c r="H210" s="12" t="str">
        <x:v>Kampung Sepakat Baru</x:v>
      </x:c>
      <x:c r="I210" s="12" t="str">
        <x:v>https://imagesapps.bernama.com/images/1117920/kampung-sepakat-baru</x:v>
      </x:c>
    </x:row>
    <x:row r="211">
      <x:c r="A211" s="12" t="str">
        <x:v>FLOC-0109</x:v>
      </x:c>
      <x:c r="B211" s="12" t="str">
        <x:v>Kampung Sepakat Baru</x:v>
      </x:c>
      <x:c r="C211" s="12" t="str">
        <x:v>DG-JB-20210110</x:v>
      </x:c>
      <x:c r="D211" s="18" t="n">
        <x:v>44206</x:v>
      </x:c>
      <x:c r="E211" s="18" t="n">
        <x:v>44206</x:v>
      </x:c>
      <x:c r="F211" s="12" t="n">
        <x:v>2021</x:v>
      </x:c>
      <x:c r="G211" s="12" t="str">
        <x:v>EVT-JB-2021-013</x:v>
      </x:c>
      <x:c r="H211" s="12" t="str">
        <x:v>Kampung Sepakat</x:v>
      </x:c>
      <x:c r="I211" s="12" t="str">
        <x:v>https://www.kosmo.com.my/2021/01/10/johor-bahru-kota-tinggi-kembali-dilanda-banjir/</x:v>
      </x:c>
    </x:row>
    <x:row r="212">
      <x:c r="A212" s="12" t="str">
        <x:v>FLOC-0110</x:v>
      </x:c>
      <x:c r="B212" s="12" t="str">
        <x:v>Kampung Seri Serdang Baru</x:v>
      </x:c>
      <x:c r="C212" s="12" t="str">
        <x:v>DG-JB-20201121</x:v>
      </x:c>
      <x:c r="D212" s="18" t="n">
        <x:v>44156</x:v>
      </x:c>
      <x:c r="E212" s="18" t="n">
        <x:v>44156</x:v>
      </x:c>
      <x:c r="F212" s="12" t="n">
        <x:v>2020</x:v>
      </x:c>
      <x:c r="G212" s="12" t="str">
        <x:v>EVT-JB-20201121-KAMPUNG-SERI-SERDANG-BARU</x:v>
      </x:c>
      <x:c r="H212" s="12" t="str">
        <x:v>Kampung Seri Serdang Baru</x:v>
      </x:c>
      <x:c r="I212" s="12" t="str">
        <x:v>https://www.sinarharian.com.my/article/111426/edisi/johor/banjir-di-kampung-pasir-tampoi-kedua-terburuk-selepas-2006</x:v>
      </x:c>
    </x:row>
    <x:row r="213">
      <x:c r="A213" s="12" t="str">
        <x:v>FLOC-0111</x:v>
      </x:c>
      <x:c r="B213" s="12" t="str">
        <x:v>Kampung Sinaran (JPS label)</x:v>
      </x:c>
      <x:c r="C213" s="12" t="str">
        <x:v>DG-JB-20191215</x:v>
      </x:c>
      <x:c r="D213" s="18" t="n">
        <x:v>43814</x:v>
      </x:c>
      <x:c r="E213" s="18" t="n">
        <x:v>43814</x:v>
      </x:c>
      <x:c r="F213" s="12" t="n">
        <x:v>2019</x:v>
      </x:c>
      <x:c r="G213" s="12" t="str">
        <x:v>EVT-JB-20191215-KAMPUNG-SINARAN</x:v>
      </x:c>
      <x:c r="H213" s="12" t="str">
        <x:v>Kampung Sinaran</x:v>
      </x:c>
      <x:c r="I213" s="12" t="str">
        <x:v>https://www.scribd.com/document/975564939/JPS2019</x:v>
      </x:c>
    </x:row>
    <x:row r="214">
      <x:c r="A214" s="12" t="str">
        <x:v>FLOC-0112</x:v>
      </x:c>
      <x:c r="B214" s="12" t="str">
        <x:v>Kampung Skudai Kiri</x:v>
      </x:c>
      <x:c r="C214" s="12" t="str">
        <x:v>DG-JB-20180420</x:v>
      </x:c>
      <x:c r="D214" s="18" t="n">
        <x:v>43210</x:v>
      </x:c>
      <x:c r="E214" s="18" t="n">
        <x:v>43210</x:v>
      </x:c>
      <x:c r="F214" s="12" t="n">
        <x:v>2018</x:v>
      </x:c>
      <x:c r="G214" s="12" t="str">
        <x:v>EVT-JB-20180420-KAMPUNG-SKUDAI-KIRI</x:v>
      </x:c>
      <x:c r="H214" s="12" t="str">
        <x:v>Kampung Skudai Kiri</x:v>
      </x:c>
      <x:c r="I214" s="12" t="str">
        <x:v>https://bangi.pulasan.my/_media/lampiran/lbt2018_2019.pdf</x:v>
      </x:c>
    </x:row>
    <x:row r="215">
      <x:c r="A215" s="12" t="str">
        <x:v>FLOC-0113</x:v>
      </x:c>
      <x:c r="B215" s="12" t="str">
        <x:v>Kampung Sri Jaya Baru</x:v>
      </x:c>
      <x:c r="C215" s="12" t="str">
        <x:v>DG-JB-20201121</x:v>
      </x:c>
      <x:c r="D215" s="18" t="n">
        <x:v>44156</x:v>
      </x:c>
      <x:c r="E215" s="18" t="n">
        <x:v>44156</x:v>
      </x:c>
      <x:c r="F215" s="12" t="n">
        <x:v>2020</x:v>
      </x:c>
      <x:c r="G215" s="12" t="str">
        <x:v>EVT-JB-20201121-KAMPUNG-SERI-JAYA-BARU</x:v>
      </x:c>
      <x:c r="H215" s="12" t="str">
        <x:v>Kampung Seri Jaya Baru</x:v>
      </x:c>
      <x:c r="I215" s="12" t="str">
        <x:v>https://www.sinarharian.com.my/article/111426/edisi/johor/banjir-di-kampung-pasir-tampoi-kedua-terburuk-selepas-2006</x:v>
      </x:c>
    </x:row>
    <x:row r="216">
      <x:c r="A216" s="12" t="str">
        <x:v>FLOC-0113</x:v>
      </x:c>
      <x:c r="B216" s="12" t="str">
        <x:v>Kampung Sri Jaya Baru</x:v>
      </x:c>
      <x:c r="C216" s="12" t="str">
        <x:v>DG-JB-20210930</x:v>
      </x:c>
      <x:c r="D216" s="18" t="n">
        <x:v>44469</x:v>
      </x:c>
      <x:c r="E216" s="18" t="n">
        <x:v>44469</x:v>
      </x:c>
      <x:c r="F216" s="12" t="n">
        <x:v>2021</x:v>
      </x:c>
      <x:c r="G216" s="12" t="str">
        <x:v>EVT-JB-2021-045</x:v>
      </x:c>
      <x:c r="H216" s="12" t="str">
        <x:v>Kampung Seri Jaya Baru</x:v>
      </x:c>
      <x:c r="I216" s="12" t="str">
        <x:v>https://www.sinarharian.com.my/article/164367/BERITA/Semasa/Banjir-merah-landa-Kampung-Seri-Jaya-Baru-Tampoi</x:v>
      </x:c>
    </x:row>
    <x:row r="217">
      <x:c r="A217" s="12" t="str">
        <x:v>FLOC-0114</x:v>
      </x:c>
      <x:c r="B217" s="12" t="str">
        <x:v>Kampung Sri Jaya, Skudai</x:v>
      </x:c>
      <x:c r="C217" s="12" t="str">
        <x:v>DG-JB-20181022</x:v>
      </x:c>
      <x:c r="D217" s="18" t="n">
        <x:v>43395</x:v>
      </x:c>
      <x:c r="E217" s="18" t="n">
        <x:v>43395</x:v>
      </x:c>
      <x:c r="F217" s="12" t="n">
        <x:v>2018</x:v>
      </x:c>
      <x:c r="G217" s="12" t="str">
        <x:v>EVT-JB-20181022-KAMPUNG-SRI-JAYA-SKUDAI</x:v>
      </x:c>
      <x:c r="H217" s="12" t="str">
        <x:v>Kampung Sri Jaya, Skudai</x:v>
      </x:c>
      <x:c r="I217" s="12" t="str">
        <x:v>https://bangi.pulasan.my/_media/lampiran/lbt2018_2019.pdf</x:v>
      </x:c>
    </x:row>
    <x:row r="218">
      <x:c r="A218" s="12" t="str">
        <x:v>FLOC-0114</x:v>
      </x:c>
      <x:c r="B218" s="12" t="str">
        <x:v>Kampung Sri Jaya, Skudai</x:v>
      </x:c>
      <x:c r="C218" s="12" t="str">
        <x:v>DG-JB-20201121</x:v>
      </x:c>
      <x:c r="D218" s="18" t="n">
        <x:v>44156</x:v>
      </x:c>
      <x:c r="E218" s="18" t="n">
        <x:v>44156</x:v>
      </x:c>
      <x:c r="F218" s="12" t="n">
        <x:v>2020</x:v>
      </x:c>
      <x:c r="G218" s="12" t="str">
        <x:v>EVT-JB-20201121-KAMPUNG-SERI-JAYA</x:v>
      </x:c>
      <x:c r="H218" s="12" t="str">
        <x:v>Kampung Seri Jaya</x:v>
      </x:c>
      <x:c r="I218" s="12" t="str">
        <x:v>https://www.sinarharian.com.my/article/111426/edisi/johor/banjir-di-kampung-pasir-tampoi-kedua-terburuk-selepas-2006</x:v>
      </x:c>
    </x:row>
    <x:row r="219">
      <x:c r="A219" s="12" t="str">
        <x:v>FLOC-0114</x:v>
      </x:c>
      <x:c r="B219" s="12" t="str">
        <x:v>Kampung Sri Jaya, Skudai</x:v>
      </x:c>
      <x:c r="C219" s="12" t="str">
        <x:v>DG-JB-20260930</x:v>
      </x:c>
      <x:c r="D219" s="18" t="n">
        <x:v>46295</x:v>
      </x:c>
      <x:c r="E219" s="18" t="n">
        <x:v>46295</x:v>
      </x:c>
      <x:c r="F219" s="12" t="n">
        <x:v>2026</x:v>
      </x:c>
      <x:c r="G219" s="12" t="str">
        <x:v>EVT-JB-2026-013</x:v>
      </x:c>
      <x:c r="H219" s="12" t="str">
        <x:v>Kampung Sri Jaya</x:v>
      </x:c>
      <x:c r="I219" s="12" t="str">
        <x:v>https://jps.johor.gov.my/%F0%9D%90%93%F0%9D%90%88%F0%9D%90%8D%F0%9D%90%89%F0%9D%90%80%F0%9D%90%94%F0%9D%90%80%F0%9D%90%8D-%F0%9D%90%8F%F0%9D%90%84%F0%9D%90%8D%F0%9D%90%86%F0%9D%90%80%F0%9D%90%91%F0%9D%90%80%F0%9D%90%87/</x:v>
      </x:c>
    </x:row>
    <x:row r="220">
      <x:c r="A220" s="12" t="str">
        <x:v>FLOC-0115</x:v>
      </x:c>
      <x:c r="B220" s="12" t="str">
        <x:v>Kampung Sri Serdang</x:v>
      </x:c>
      <x:c r="C220" s="12" t="str">
        <x:v>DG-JB-20201121</x:v>
      </x:c>
      <x:c r="D220" s="18" t="n">
        <x:v>44156</x:v>
      </x:c>
      <x:c r="E220" s="18" t="n">
        <x:v>44156</x:v>
      </x:c>
      <x:c r="F220" s="12" t="n">
        <x:v>2020</x:v>
      </x:c>
      <x:c r="G220" s="12" t="str">
        <x:v>EVT-JB-20201121-KAMPUNG-SRI-SERDANG</x:v>
      </x:c>
      <x:c r="H220" s="12" t="str">
        <x:v>Kampung Sri Serdang</x:v>
      </x:c>
      <x:c r="I220" s="12" t="str">
        <x:v>https://www.utusan.com.my/nasional/2020/11/fenomena-air-pasang-punca-banjir-johor-bahru/</x:v>
      </x:c>
    </x:row>
    <x:row r="221">
      <x:c r="A221" s="12" t="str">
        <x:v>FLOC-0115</x:v>
      </x:c>
      <x:c r="B221" s="12" t="str">
        <x:v>Kampung Sri Serdang</x:v>
      </x:c>
      <x:c r="C221" s="12" t="str">
        <x:v>DG-JB-20250319-20250324</x:v>
      </x:c>
      <x:c r="D221" s="18" t="n">
        <x:v>45736</x:v>
      </x:c>
      <x:c r="E221" s="18" t="n">
        <x:v>45736</x:v>
      </x:c>
      <x:c r="F221" s="12" t="n">
        <x:v>2025</x:v>
      </x:c>
      <x:c r="G221" s="12" t="str">
        <x:v>EVT-JB-2025-016</x:v>
      </x:c>
      <x:c r="H221" s="12" t="str">
        <x:v>Kampung Seri Serdang</x:v>
      </x:c>
      <x:c r="I221" s="12" t="str">
        <x:v>https://www.nadma.gov.my/bi/media-en/news/3415-banjir-terburuk-dalam-tempoh-30-tahun-datuk-bandar-mbjb</x:v>
      </x:c>
    </x:row>
    <x:row r="222">
      <x:c r="A222" s="12" t="str">
        <x:v>FLOC-0115</x:v>
      </x:c>
      <x:c r="B222" s="12" t="str">
        <x:v>Kampung Sri Serdang</x:v>
      </x:c>
      <x:c r="C222" s="12" t="str">
        <x:v>DG-JB-20260930</x:v>
      </x:c>
      <x:c r="D222" s="18" t="n">
        <x:v>46295</x:v>
      </x:c>
      <x:c r="E222" s="18" t="n">
        <x:v>46295</x:v>
      </x:c>
      <x:c r="F222" s="12" t="n">
        <x:v>2026</x:v>
      </x:c>
      <x:c r="G222" s="12" t="str">
        <x:v>EVT-JB-2026-009</x:v>
      </x:c>
      <x:c r="H222" s="12" t="str">
        <x:v>Kampung Sri Serdang / Seri Serdang</x:v>
      </x:c>
      <x:c r="I222" s="12" t="str">
        <x:v>https://www.utusan.com.my/terkini/2026/09/beberapa-kawasan-di-johor-bahru-dinaiki-air-susulan-hujan-lebat/
https://jps.johor.gov.my/%F0%9D%90%93%F0%9D%90%88%F0%9D%90%8D%F0%9D%90%89%F0%9D%90%80%F0%9D%90%94%F0%9D%90%80%F0%9D%90%8D-%F0%9D%90%8F%F0%9D%90%84%F0%9D%90%8D%F0%9D%90%86%F0%9D%90%80%F0%9D%90%91%F0%9D%90%80%F0%9D%90%87/</x:v>
      </x:c>
    </x:row>
    <x:row r="223">
      <x:c r="A223" s="12" t="str">
        <x:v>FLOC-0116</x:v>
      </x:c>
      <x:c r="B223" s="12" t="str">
        <x:v>Kampung Sungai Redan Laut</x:v>
      </x:c>
      <x:c r="C223" s="12" t="str">
        <x:v>DG-JB-20170124-20170125</x:v>
      </x:c>
      <x:c r="D223" s="18" t="n">
        <x:v>42759</x:v>
      </x:c>
      <x:c r="E223" s="18" t="n">
        <x:v>42759</x:v>
      </x:c>
      <x:c r="F223" s="12" t="n">
        <x:v>2017</x:v>
      </x:c>
      <x:c r="G223" s="12" t="str">
        <x:v>EVT-JB-20170124-KAMPUNG-REDAN-LAUT</x:v>
      </x:c>
      <x:c r="H223" s="12" t="str">
        <x:v>Kampung Redan Laut</x:v>
      </x:c>
      <x:c r="I223" s="12" t="str">
        <x:v>https://www.scribd.com/document/389922687/Banjir-Tahun1617</x:v>
      </x:c>
    </x:row>
    <x:row r="224">
      <x:c r="A224" s="12" t="str">
        <x:v>FLOC-0117</x:v>
      </x:c>
      <x:c r="B224" s="12" t="str">
        <x:v>Kampung Sungai Rinting</x:v>
      </x:c>
      <x:c r="C224" s="12" t="str">
        <x:v>DG-JB-20210712</x:v>
      </x:c>
      <x:c r="D224" s="18" t="n">
        <x:v>44389</x:v>
      </x:c>
      <x:c r="E224" s="18" t="n">
        <x:v>44389</x:v>
      </x:c>
      <x:c r="F224" s="12" t="n">
        <x:v>2021</x:v>
      </x:c>
      <x:c r="G224" s="12" t="str">
        <x:v>EVT-JB-2021-024</x:v>
      </x:c>
      <x:c r="H224" s="12" t="str">
        <x:v>Kampung Sungai Rinting</x:v>
      </x:c>
      <x:c r="I224" s="12" t="str">
        <x:v>https://www.umnopg.com.my/2021/07/14/sungai-masai-perlukan-segera-kerja-kerja-tebatan-banjir/</x:v>
      </x:c>
    </x:row>
    <x:row r="225">
      <x:c r="A225" s="12" t="str">
        <x:v>FLOC-0118</x:v>
      </x:c>
      <x:c r="B225" s="12" t="str">
        <x:v>Kampung Sungai Rinting D, Taman Rinting</x:v>
      </x:c>
      <x:c r="C225" s="12" t="str">
        <x:v>DG-JB-20201121</x:v>
      </x:c>
      <x:c r="D225" s="18" t="n">
        <x:v>44156</x:v>
      </x:c>
      <x:c r="E225" s="18" t="n">
        <x:v>44156</x:v>
      </x:c>
      <x:c r="F225" s="12" t="n">
        <x:v>2020</x:v>
      </x:c>
      <x:c r="G225" s="12" t="str">
        <x:v>EVT-JB-20201121-KAMPUNG-SUNGAI-RINTING-D-TAMAN-RINTING</x:v>
      </x:c>
      <x:c r="H225" s="12" t="str">
        <x:v>Kampung Sungai Rinting D, Taman Rinting</x:v>
      </x:c>
      <x:c r="I225" s="12" t="str">
        <x:v>https://www.utusan.com.my/berita/2020/11/banjir-kali-pertama-selepas-tempoh-20-tahun/</x:v>
      </x:c>
    </x:row>
    <x:row r="226">
      <x:c r="A226" s="12" t="str">
        <x:v>FLOC-0119</x:v>
      </x:c>
      <x:c r="B226" s="12" t="str">
        <x:v>Kampung Sungai Tiram</x:v>
      </x:c>
      <x:c r="C226" s="12" t="str">
        <x:v>DG-JB-20170124-20170125</x:v>
      </x:c>
      <x:c r="D226" s="18" t="n">
        <x:v>42759</x:v>
      </x:c>
      <x:c r="E226" s="18" t="n">
        <x:v>42759</x:v>
      </x:c>
      <x:c r="F226" s="12" t="n">
        <x:v>2017</x:v>
      </x:c>
      <x:c r="G226" s="12" t="str">
        <x:v>EVT-JB-20170124-KAMPUNG-SUNGAI-TIRAM</x:v>
      </x:c>
      <x:c r="H226" s="12" t="str">
        <x:v>Kampung Sungai Tiram</x:v>
      </x:c>
      <x:c r="I226" s="12" t="str">
        <x:v>https://www.scribd.com/document/389922687/Banjir-Tahun1617</x:v>
      </x:c>
    </x:row>
    <x:row r="227">
      <x:c r="A227" s="12" t="str">
        <x:v>FLOC-0119</x:v>
      </x:c>
      <x:c r="B227" s="12" t="str">
        <x:v>Kampung Sungai Tiram</x:v>
      </x:c>
      <x:c r="C227" s="12" t="str">
        <x:v>DG-JB-20171110</x:v>
      </x:c>
      <x:c r="D227" s="18" t="n">
        <x:v>43049</x:v>
      </x:c>
      <x:c r="E227" s="18" t="n">
        <x:v>43049</x:v>
      </x:c>
      <x:c r="F227" s="12" t="n">
        <x:v>2017</x:v>
      </x:c>
      <x:c r="G227" s="12" t="str">
        <x:v>EVT-JB-20171110-KAMPUNG-SUNGAI-TIRAM-BATU-20</x:v>
      </x:c>
      <x:c r="H227" s="12" t="str">
        <x:v>Kampung Sungai Tiram, Batu 20</x:v>
      </x:c>
      <x:c r="I227" s="12" t="str">
        <x:v>https://bangi.pulasan.my/_media/lampiran/lbt2017-2018.pdf</x:v>
      </x:c>
    </x:row>
    <x:row r="228">
      <x:c r="A228" s="12" t="str">
        <x:v>FLOC-0119</x:v>
      </x:c>
      <x:c r="B228" s="12" t="str">
        <x:v>Kampung Sungai Tiram</x:v>
      </x:c>
      <x:c r="C228" s="12" t="str">
        <x:v>DG-JB-20171114</x:v>
      </x:c>
      <x:c r="D228" s="18" t="n">
        <x:v>43053</x:v>
      </x:c>
      <x:c r="E228" s="18" t="n">
        <x:v>43053</x:v>
      </x:c>
      <x:c r="F228" s="12" t="n">
        <x:v>2017</x:v>
      </x:c>
      <x:c r="G228" s="12" t="str">
        <x:v>EVT-JB-20171114-KAMPUNG-SUNGAI-TIRAM-BATU-20</x:v>
      </x:c>
      <x:c r="H228" s="12" t="str">
        <x:v>Kampung Sungai Tiram, Batu 20</x:v>
      </x:c>
      <x:c r="I228" s="12" t="str">
        <x:v>https://bangi.pulasan.my/_media/lampiran/lbt2017-2018.pdf</x:v>
      </x:c>
    </x:row>
    <x:row r="229">
      <x:c r="A229" s="12" t="str">
        <x:v>FLOC-0119</x:v>
      </x:c>
      <x:c r="B229" s="12" t="str">
        <x:v>Kampung Sungai Tiram</x:v>
      </x:c>
      <x:c r="C229" s="12" t="str">
        <x:v>DG-JB-20190118</x:v>
      </x:c>
      <x:c r="D229" s="18" t="n">
        <x:v>43483</x:v>
      </x:c>
      <x:c r="E229" s="18" t="n">
        <x:v>43483</x:v>
      </x:c>
      <x:c r="F229" s="12" t="n">
        <x:v>2019</x:v>
      </x:c>
      <x:c r="G229" s="12" t="str">
        <x:v>EVT-JB-20190118-KAMPUNG-SUNGAI-TIRAM</x:v>
      </x:c>
      <x:c r="H229" s="12" t="str">
        <x:v>Kampung Sungai Tiram</x:v>
      </x:c>
      <x:c r="I229" s="12" t="str">
        <x:v>https://www.scribd.com/document/975564939/JPS2019</x:v>
      </x:c>
    </x:row>
    <x:row r="230">
      <x:c r="A230" s="12" t="str">
        <x:v>FLOC-0119</x:v>
      </x:c>
      <x:c r="B230" s="12" t="str">
        <x:v>Kampung Sungai Tiram</x:v>
      </x:c>
      <x:c r="C230" s="12" t="str">
        <x:v>DG-JB-20230228-20230301</x:v>
      </x:c>
      <x:c r="D230" s="18" t="n">
        <x:v>44986</x:v>
      </x:c>
      <x:c r="E230" s="18" t="n">
        <x:v>44986</x:v>
      </x:c>
      <x:c r="F230" s="12" t="n">
        <x:v>2023</x:v>
      </x:c>
      <x:c r="G230" s="12" t="str">
        <x:v>EVT-JB-2023-008</x:v>
      </x:c>
      <x:c r="H230" s="12" t="str">
        <x:v>Kampung Sungai Tiram</x:v>
      </x:c>
      <x:c r="I230" s="12" t="str">
        <x:v>https://www.kosmo.com.my/2023/03/01/banjir-johor-1591-mangsa-dipindahkan-di-21-pps/
https://mediadigitaljohor.gov.my/en/mangsa-banjir-4-daerah-dipindahkan-ke-pps/</x:v>
      </x:c>
    </x:row>
    <x:row r="231">
      <x:c r="A231" s="12" t="str">
        <x:v>FLOC-0120</x:v>
      </x:c>
      <x:c r="B231" s="12" t="str">
        <x:v>Kampung Teluk Serdang Baru</x:v>
      </x:c>
      <x:c r="C231" s="12" t="str">
        <x:v>DG-JB-20210101-20210102</x:v>
      </x:c>
      <x:c r="D231" s="18" t="n">
        <x:v>44198</x:v>
      </x:c>
      <x:c r="E231" s="18" t="n">
        <x:v>44198</x:v>
      </x:c>
      <x:c r="F231" s="12" t="n">
        <x:v>2021</x:v>
      </x:c>
      <x:c r="G231" s="12" t="str">
        <x:v>EVT-JB-2021-007</x:v>
      </x:c>
      <x:c r="H231" s="12" t="str">
        <x:v>Kampung Teluk Serdang Baru</x:v>
      </x:c>
      <x:c r="I231" s="12" t="str">
        <x:v>https://www.kosmo.com.my/2021/01/02/275-mangsa-banjir-dipindahkan/</x:v>
      </x:c>
    </x:row>
    <x:row r="232">
      <x:c r="A232" s="12" t="str">
        <x:v>FLOC-0121</x:v>
      </x:c>
      <x:c r="B232" s="12" t="str">
        <x:v>Kampung Tengah Tebrau</x:v>
      </x:c>
      <x:c r="C232" s="12" t="str">
        <x:v>DG-JB-20220820</x:v>
      </x:c>
      <x:c r="D232" s="18" t="n">
        <x:v>44793</x:v>
      </x:c>
      <x:c r="E232" s="18" t="n">
        <x:v>44793</x:v>
      </x:c>
      <x:c r="F232" s="12" t="n">
        <x:v>2022</x:v>
      </x:c>
      <x:c r="G232" s="12" t="str">
        <x:v>EVT-JB-2022-020</x:v>
      </x:c>
      <x:c r="H232" s="12" t="str">
        <x:v>Kampung Tengah Tebrau</x:v>
      </x:c>
      <x:c r="I232" s="12" t="str">
        <x:v>https://www.water.gov.my/jps/resources/Anual%20Flood%20Reporting%20/LBT_2022.pdf</x:v>
      </x:c>
    </x:row>
    <x:row r="233">
      <x:c r="A233" s="12" t="str">
        <x:v>FLOC-0122</x:v>
      </x:c>
      <x:c r="B233" s="12" t="str">
        <x:v>Kampung Tiram Duku</x:v>
      </x:c>
      <x:c r="C233" s="12" t="str">
        <x:v>DG-JB-20220925</x:v>
      </x:c>
      <x:c r="D233" s="18" t="n">
        <x:v>44829</x:v>
      </x:c>
      <x:c r="E233" s="18" t="n">
        <x:v>44829</x:v>
      </x:c>
      <x:c r="F233" s="12" t="n">
        <x:v>2022</x:v>
      </x:c>
      <x:c r="G233" s="12" t="str">
        <x:v>EVT-JB-2022-032</x:v>
      </x:c>
      <x:c r="H233" s="12" t="str">
        <x:v>Kampung Tiram Duku</x:v>
      </x:c>
      <x:c r="I233" s="12" t="str">
        <x:v>https://www.utusan.com.my/berita/2022/09/10-kawasan-di-johor-bahru-dilanda-banjir-kilat/
https://www.bharian.com.my/</x:v>
      </x:c>
    </x:row>
    <x:row r="234">
      <x:c r="A234" s="12" t="str">
        <x:v>FLOC-0123</x:v>
      </x:c>
      <x:c r="B234" s="12" t="str">
        <x:v>Kampung Tuah Jaya</x:v>
      </x:c>
      <x:c r="C234" s="12" t="str">
        <x:v>DG-JB-20170919</x:v>
      </x:c>
      <x:c r="D234" s="18" t="n">
        <x:v>42997</x:v>
      </x:c>
      <x:c r="E234" s="18" t="n">
        <x:v>42997</x:v>
      </x:c>
      <x:c r="F234" s="12" t="n">
        <x:v>2017</x:v>
      </x:c>
      <x:c r="G234" s="12" t="str">
        <x:v>EVT-JB-20170919-KAMPUNG-TUAH-JAYA-SKUDAI</x:v>
      </x:c>
      <x:c r="H234" s="12" t="str">
        <x:v>Kampung Tuah Jaya, Skudai</x:v>
      </x:c>
      <x:c r="I234" s="12" t="str">
        <x:v>https://bangi.pulasan.my/_media/lampiran/lbt2017-2018.pdf</x:v>
      </x:c>
    </x:row>
    <x:row r="235">
      <x:c r="A235" s="12" t="str">
        <x:v>FLOC-0123</x:v>
      </x:c>
      <x:c r="B235" s="12" t="str">
        <x:v>Kampung Tuah Jaya</x:v>
      </x:c>
      <x:c r="C235" s="12" t="str">
        <x:v>DG-JB-20191022</x:v>
      </x:c>
      <x:c r="D235" s="18" t="n">
        <x:v>43760</x:v>
      </x:c>
      <x:c r="E235" s="18" t="n">
        <x:v>43760</x:v>
      </x:c>
      <x:c r="F235" s="12" t="n">
        <x:v>2019</x:v>
      </x:c>
      <x:c r="G235" s="12" t="str">
        <x:v>EVT-JB-20191022-KAMPUNG-TUAH-JAYA</x:v>
      </x:c>
      <x:c r="H235" s="12" t="str">
        <x:v>Kampung Tuah Jaya</x:v>
      </x:c>
      <x:c r="I235" s="12" t="str">
        <x:v>https://www.scribd.com/document/975564939/JPS2019</x:v>
      </x:c>
    </x:row>
    <x:row r="236">
      <x:c r="A236" s="12" t="str">
        <x:v>FLOC-0123</x:v>
      </x:c>
      <x:c r="B236" s="12" t="str">
        <x:v>Kampung Tuah Jaya</x:v>
      </x:c>
      <x:c r="C236" s="12" t="str">
        <x:v>DG-JB-20200424</x:v>
      </x:c>
      <x:c r="D236" s="18" t="n">
        <x:v>43945</x:v>
      </x:c>
      <x:c r="E236" s="18" t="n">
        <x:v>43945</x:v>
      </x:c>
      <x:c r="F236" s="12" t="n">
        <x:v>2020</x:v>
      </x:c>
      <x:c r="G236" s="12" t="str">
        <x:v>EVT-JB-20200424-KAMPUNG-TUAH-JAYA</x:v>
      </x:c>
      <x:c r="H236" s="12" t="str">
        <x:v>Kampung Tuah Jaya</x:v>
      </x:c>
      <x:c r="I236" s="12" t="str">
        <x:v>https://bangi.pulasan.my/_media/lampiran/lbt2020.pdf</x:v>
      </x:c>
    </x:row>
    <x:row r="237">
      <x:c r="A237" s="12" t="str">
        <x:v>FLOC-0123</x:v>
      </x:c>
      <x:c r="B237" s="12" t="str">
        <x:v>Kampung Tuah Jaya</x:v>
      </x:c>
      <x:c r="C237" s="12" t="str">
        <x:v>DG-JB-20200705</x:v>
      </x:c>
      <x:c r="D237" s="18" t="n">
        <x:v>44017</x:v>
      </x:c>
      <x:c r="E237" s="18" t="n">
        <x:v>44017</x:v>
      </x:c>
      <x:c r="F237" s="12" t="n">
        <x:v>2020</x:v>
      </x:c>
      <x:c r="G237" s="12" t="str">
        <x:v>EVT-JB-20200705-KAMPUNG-TUAH-JAYA</x:v>
      </x:c>
      <x:c r="H237" s="12" t="str">
        <x:v>Kampung Tuah Jaya</x:v>
      </x:c>
      <x:c r="I237" s="12" t="str">
        <x:v>https://bangi.pulasan.my/_media/lampiran/lbt2020.pdf</x:v>
      </x:c>
    </x:row>
    <x:row r="238">
      <x:c r="A238" s="12" t="str">
        <x:v>FLOC-0123</x:v>
      </x:c>
      <x:c r="B238" s="12" t="str">
        <x:v>Kampung Tuah Jaya</x:v>
      </x:c>
      <x:c r="C238" s="12" t="str">
        <x:v>DG-JB-20260930</x:v>
      </x:c>
      <x:c r="D238" s="18" t="n">
        <x:v>46295</x:v>
      </x:c>
      <x:c r="E238" s="18" t="n">
        <x:v>46295</x:v>
      </x:c>
      <x:c r="F238" s="12" t="n">
        <x:v>2026</x:v>
      </x:c>
      <x:c r="G238" s="12" t="str">
        <x:v>EVT-JB-2026-007</x:v>
      </x:c>
      <x:c r="H238" s="12" t="str">
        <x:v>Kampung Tuah Jaya</x:v>
      </x:c>
      <x:c r="I238" s="12" t="str">
        <x:v>https://www.utusan.com.my/terkini/2026/09/beberapa-kawasan-di-johor-bahru-dinaiki-air-susulan-hujan-lebat/</x:v>
      </x:c>
    </x:row>
    <x:row r="239">
      <x:c r="A239" s="12" t="str">
        <x:v>FLOC-0124</x:v>
      </x:c>
      <x:c r="B239" s="12" t="str">
        <x:v>Kampung Ubi Baru</x:v>
      </x:c>
      <x:c r="C239" s="12" t="str">
        <x:v>DG-JB-20170610</x:v>
      </x:c>
      <x:c r="D239" s="18" t="n">
        <x:v>42896</x:v>
      </x:c>
      <x:c r="E239" s="18" t="n">
        <x:v>42896</x:v>
      </x:c>
      <x:c r="F239" s="12" t="n">
        <x:v>2017</x:v>
      </x:c>
      <x:c r="G239" s="12" t="str">
        <x:v>EVT-JB-20170610-KAMPUNG-UBI-JOHOR-BAHRU</x:v>
      </x:c>
      <x:c r="H239" s="12" t="str">
        <x:v>Kampung Ubi, Johor Bahru</x:v>
      </x:c>
      <x:c r="I239" s="12" t="str">
        <x:v>https://bangi.pulasan.my/_media/lampiran/lbt2017-2018.pdf</x:v>
      </x:c>
    </x:row>
    <x:row r="240">
      <x:c r="A240" s="12" t="str">
        <x:v>FLOC-0124</x:v>
      </x:c>
      <x:c r="B240" s="12" t="str">
        <x:v>Kampung Ubi Baru</x:v>
      </x:c>
      <x:c r="C240" s="12" t="str">
        <x:v>DG-JB-20180420</x:v>
      </x:c>
      <x:c r="D240" s="18" t="n">
        <x:v>43210</x:v>
      </x:c>
      <x:c r="E240" s="18" t="n">
        <x:v>43210</x:v>
      </x:c>
      <x:c r="F240" s="12" t="n">
        <x:v>2018</x:v>
      </x:c>
      <x:c r="G240" s="12" t="str">
        <x:v>EVT-JB-20180420-KAMPUNG-UBI-TEBRAU</x:v>
      </x:c>
      <x:c r="H240" s="12" t="str">
        <x:v>Kampung Ubi, Tebrau</x:v>
      </x:c>
      <x:c r="I240" s="12" t="str">
        <x:v>https://bangi.pulasan.my/_media/lampiran/lbt2018_2019.pdf</x:v>
      </x:c>
    </x:row>
    <x:row r="241">
      <x:c r="A241" s="12" t="str">
        <x:v>FLOC-0124</x:v>
      </x:c>
      <x:c r="B241" s="12" t="str">
        <x:v>Kampung Ubi Baru</x:v>
      </x:c>
      <x:c r="C241" s="12" t="str">
        <x:v>DG-JB-20220925</x:v>
      </x:c>
      <x:c r="D241" s="18" t="n">
        <x:v>44829</x:v>
      </x:c>
      <x:c r="E241" s="18" t="n">
        <x:v>44829</x:v>
      </x:c>
      <x:c r="F241" s="12" t="n">
        <x:v>2022</x:v>
      </x:c>
      <x:c r="G241" s="12" t="str">
        <x:v>EVT-JB-2022-031</x:v>
      </x:c>
      <x:c r="H241" s="12" t="str">
        <x:v>Kampung Ubi</x:v>
      </x:c>
      <x:c r="I241" s="12" t="str">
        <x:v>https://www.utusan.com.my/berita/2022/09/10-kawasan-di-johor-bahru-dilanda-banjir-kilat/
https://www.bharian.com.my/</x:v>
      </x:c>
    </x:row>
    <x:row r="242">
      <x:c r="A242" s="12" t="str">
        <x:v>FLOC-0124</x:v>
      </x:c>
      <x:c r="B242" s="12" t="str">
        <x:v>Kampung Ubi Baru</x:v>
      </x:c>
      <x:c r="C242" s="12" t="str">
        <x:v>DG-JB-20231214</x:v>
      </x:c>
      <x:c r="D242" s="18" t="n">
        <x:v>45274</x:v>
      </x:c>
      <x:c r="E242" s="18" t="n">
        <x:v>45274</x:v>
      </x:c>
      <x:c r="F242" s="12" t="n">
        <x:v>2023</x:v>
      </x:c>
      <x:c r="G242" s="12" t="str">
        <x:v>EVT-JB-2023-062</x:v>
      </x:c>
      <x:c r="H242" s="12" t="str">
        <x:v>Kampung Ubi</x:v>
      </x:c>
      <x:c r="I242" s="12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</x:row>
    <x:row r="243">
      <x:c r="A243" s="12" t="str">
        <x:v>FLOC-0124</x:v>
      </x:c>
      <x:c r="B243" s="12" t="str">
        <x:v>Kampung Ubi Baru</x:v>
      </x:c>
      <x:c r="C243" s="12" t="str">
        <x:v>DG-JB-20260930</x:v>
      </x:c>
      <x:c r="D243" s="18" t="n">
        <x:v>46295</x:v>
      </x:c>
      <x:c r="E243" s="18" t="n">
        <x:v>46295</x:v>
      </x:c>
      <x:c r="F243" s="12" t="n">
        <x:v>2026</x:v>
      </x:c>
      <x:c r="G243" s="12" t="str">
        <x:v>EVT-JB-2026-020</x:v>
      </x:c>
      <x:c r="H243" s="12" t="str">
        <x:v>Kampung Ubi Bahru</x:v>
      </x:c>
      <x:c r="I243" s="12" t="str">
        <x:v>https://malaysiagazette.com/2026/09/30/bandaraya-jb-dilanda-banjir-kilat/</x:v>
      </x:c>
    </x:row>
    <x:row r="244">
      <x:c r="A244" s="12" t="str">
        <x:v>FLOC-0125</x:v>
      </x:c>
      <x:c r="B244" s="12" t="str">
        <x:v>Kampung Ulu Pandan</x:v>
      </x:c>
      <x:c r="C244" s="12" t="str">
        <x:v>DG-JB-20250319-20250324</x:v>
      </x:c>
      <x:c r="D244" s="18" t="n">
        <x:v>45735</x:v>
      </x:c>
      <x:c r="E244" s="18" t="n">
        <x:v>45735</x:v>
      </x:c>
      <x:c r="F244" s="12" t="n">
        <x:v>2025</x:v>
      </x:c>
      <x:c r="G244" s="12" t="str">
        <x:v>EVT-JB-2025-007</x:v>
      </x:c>
      <x:c r="H244" s="12" t="str">
        <x:v>Kampung Ulu Pandan</x:v>
      </x:c>
      <x:c r="I244" s="12" t="str">
        <x:v>https://www.nadma.gov.my/bm/media-2/berita/3257-banjir-tiga-pps-dibuka-di-johor-bahru-68-penduduk-terjejas</x:v>
      </x:c>
    </x:row>
    <x:row r="245">
      <x:c r="A245" s="12" t="str">
        <x:v>FLOC-0126</x:v>
      </x:c>
      <x:c r="B245" s="12" t="str">
        <x:v>Kampung Wawasan, Gelang Patah (JPS label)</x:v>
      </x:c>
      <x:c r="C245" s="12" t="str">
        <x:v>DG-JB-20200620</x:v>
      </x:c>
      <x:c r="D245" s="18" t="n">
        <x:v>44002</x:v>
      </x:c>
      <x:c r="E245" s="18" t="n">
        <x:v>44002</x:v>
      </x:c>
      <x:c r="F245" s="12" t="n">
        <x:v>2020</x:v>
      </x:c>
      <x:c r="G245" s="12" t="str">
        <x:v>EVT-JB-20200620-KAMPUNG-WAWASAN</x:v>
      </x:c>
      <x:c r="H245" s="12" t="str">
        <x:v>Kampung Wawasan</x:v>
      </x:c>
      <x:c r="I245" s="12" t="str">
        <x:v>https://bangi.pulasan.my/_media/lampiran/lbt2020.pdf</x:v>
      </x:c>
    </x:row>
    <x:row r="246">
      <x:c r="A246" s="12" t="str">
        <x:v>FLOC-0127</x:v>
      </x:c>
      <x:c r="B246" s="12" t="str">
        <x:v>Kangkar (source-short-name)</x:v>
      </x:c>
      <x:c r="C246" s="12" t="str">
        <x:v>DG-JB-20230228-20230301</x:v>
      </x:c>
      <x:c r="D246" s="18" t="n">
        <x:v>44986</x:v>
      </x:c>
      <x:c r="E246" s="18" t="n">
        <x:v>44986</x:v>
      </x:c>
      <x:c r="F246" s="12" t="n">
        <x:v>2023</x:v>
      </x:c>
      <x:c r="G246" s="12" t="str">
        <x:v>EVT-JB-2023-010</x:v>
      </x:c>
      <x:c r="H246" s="12" t="str">
        <x:v>Kangkar</x:v>
      </x:c>
      <x:c r="I246" s="12" t="str">
        <x:v>https://www.kosmo.com.my/2023/03/01/banjir-johor-1591-mangsa-dipindahkan-di-21-pps/
https://mediadigitaljohor.gov.my/en/mangsa-banjir-4-daerah-dipindahkan-ke-pps/</x:v>
      </x:c>
    </x:row>
    <x:row r="247">
      <x:c r="A247" s="12" t="str">
        <x:v>FLOC-0128</x:v>
      </x:c>
      <x:c r="B247" s="12" t="str">
        <x:v>KD Maju Jaya</x:v>
      </x:c>
      <x:c r="C247" s="12" t="str">
        <x:v>DG-JB-20250319-20250324</x:v>
      </x:c>
      <x:c r="D247" s="18" t="n">
        <x:v>45737</x:v>
      </x:c>
      <x:c r="E247" s="18" t="n">
        <x:v>45737</x:v>
      </x:c>
      <x:c r="F247" s="12" t="n">
        <x:v>2025</x:v>
      </x:c>
      <x:c r="G247" s="12" t="str">
        <x:v>EVT-JB-2025-026</x:v>
      </x:c>
      <x:c r="H247" s="12" t="str">
        <x:v>KD Maju Jaya</x:v>
      </x:c>
      <x:c r="I247" s="12" t="str">
        <x:v>https://www.nadma.gov.my/images/2025/SITREP/SITREP_19_-_22_Mac_2025.pdf</x:v>
      </x:c>
    </x:row>
    <x:row r="248">
      <x:c r="A248" s="12" t="str">
        <x:v>FLOC-0129</x:v>
      </x:c>
      <x:c r="B248" s="12" t="str">
        <x:v>Kempas Denai</x:v>
      </x:c>
      <x:c r="C248" s="12" t="str">
        <x:v>DG-JB-20210930</x:v>
      </x:c>
      <x:c r="D248" s="18" t="n">
        <x:v>44469</x:v>
      </x:c>
      <x:c r="E248" s="18" t="n">
        <x:v>44469</x:v>
      </x:c>
      <x:c r="F248" s="12" t="n">
        <x:v>2021</x:v>
      </x:c>
      <x:c r="G248" s="12" t="str">
        <x:v>EVT-JB-2021-040</x:v>
      </x:c>
      <x:c r="H248" s="12" t="str">
        <x:v>Kempas Denai</x:v>
      </x:c>
      <x:c r="I248" s="12" t="str">
        <x:v>https://www.sinarharian.com.my/article/164321/EDISI/Beberapa-kawasan-di-Johor-Bahru-dilanda-banjir-kilat</x:v>
      </x:c>
    </x:row>
    <x:row r="249">
      <x:c r="A249" s="12" t="str">
        <x:v>FLOC-0130</x:v>
      </x:c>
      <x:c r="B249" s="12" t="str">
        <x:v>Kempas Lurah</x:v>
      </x:c>
      <x:c r="C249" s="12" t="str">
        <x:v>DG-JB-20210930</x:v>
      </x:c>
      <x:c r="D249" s="18" t="n">
        <x:v>44469</x:v>
      </x:c>
      <x:c r="E249" s="18" t="n">
        <x:v>44469</x:v>
      </x:c>
      <x:c r="F249" s="12" t="n">
        <x:v>2021</x:v>
      </x:c>
      <x:c r="G249" s="12" t="str">
        <x:v>EVT-JB-2021-035</x:v>
      </x:c>
      <x:c r="H249" s="12" t="str">
        <x:v>Kempas Lurah</x:v>
      </x:c>
      <x:c r="I249" s="12" t="str">
        <x:v>https://www.sinarharian.com.my/article/164321/EDISI/Beberapa-kawasan-di-Johor-Bahru-dilanda-banjir-kilat</x:v>
      </x:c>
    </x:row>
    <x:row r="250">
      <x:c r="A250" s="12" t="str">
        <x:v>FLOC-0131</x:v>
      </x:c>
      <x:c r="B250" s="12" t="str">
        <x:v>Kempas Permatang</x:v>
      </x:c>
      <x:c r="C250" s="12" t="str">
        <x:v>DG-JB-20210930</x:v>
      </x:c>
      <x:c r="D250" s="18" t="n">
        <x:v>44469</x:v>
      </x:c>
      <x:c r="E250" s="18" t="n">
        <x:v>44469</x:v>
      </x:c>
      <x:c r="F250" s="12" t="n">
        <x:v>2021</x:v>
      </x:c>
      <x:c r="G250" s="12" t="str">
        <x:v>EVT-JB-2021-041</x:v>
      </x:c>
      <x:c r="H250" s="12" t="str">
        <x:v>Kempas Permatang</x:v>
      </x:c>
      <x:c r="I250" s="12" t="str">
        <x:v>https://www.sinarharian.com.my/article/164321/EDISI/Beberapa-kawasan-di-Johor-Bahru-dilanda-banjir-kilat</x:v>
      </x:c>
    </x:row>
    <x:row r="251">
      <x:c r="A251" s="12" t="str">
        <x:v>FLOC-0132</x:v>
      </x:c>
      <x:c r="B251" s="12" t="str">
        <x:v>Kg. Dato Hajah Hasnah</x:v>
      </x:c>
      <x:c r="C251" s="12" t="str">
        <x:v>DG-JB-20230214</x:v>
      </x:c>
      <x:c r="D251" s="18" t="n">
        <x:v>44971</x:v>
      </x:c>
      <x:c r="E251" s="18" t="n">
        <x:v>44971</x:v>
      </x:c>
      <x:c r="F251" s="12" t="n">
        <x:v>2023</x:v>
      </x:c>
      <x:c r="G251" s="12" t="str">
        <x:v>EVT-JB-2023-004</x:v>
      </x:c>
      <x:c r="H251" s="12" t="str">
        <x:v>Kampung Dato Hajah Hasnah Majidee</x:v>
      </x:c>
      <x:c r="I251" s="12" t="str">
        <x:v>https://www.sinarharian.com.my/article/245217/edisi/johor/johor-bahru-dilanda-banjir-kilat</x:v>
      </x:c>
    </x:row>
    <x:row r="252">
      <x:c r="A252" s="12" t="str">
        <x:v>FLOC-0132</x:v>
      </x:c>
      <x:c r="B252" s="12" t="str">
        <x:v>Kg. Dato Hajah Hasnah</x:v>
      </x:c>
      <x:c r="C252" s="12" t="str">
        <x:v>DG-JB-20260930</x:v>
      </x:c>
      <x:c r="D252" s="18" t="n">
        <x:v>46295</x:v>
      </x:c>
      <x:c r="E252" s="18" t="n">
        <x:v>46295</x:v>
      </x:c>
      <x:c r="F252" s="12" t="n">
        <x:v>2026</x:v>
      </x:c>
      <x:c r="G252" s="12" t="str">
        <x:v>EVT-JB-2026-010</x:v>
      </x:c>
      <x:c r="H252" s="12" t="str">
        <x:v>Kampung Hajah Hasnah</x:v>
      </x:c>
      <x:c r="I252" s="12" t="str">
        <x:v>https://www.utusan.com.my/terkini/2026/09/beberapa-kawasan-di-johor-bahru-dinaiki-air-susulan-hujan-lebat/</x:v>
      </x:c>
    </x:row>
    <x:row r="253">
      <x:c r="A253" s="12" t="str">
        <x:v>FLOC-0133</x:v>
      </x:c>
      <x:c r="B253" s="12" t="str">
        <x:v>Kg. Paya Sg Redan</x:v>
      </x:c>
      <x:c r="C253" s="12" t="str">
        <x:v>DG-JB-20170123</x:v>
      </x:c>
      <x:c r="D253" s="18" t="n">
        <x:v>42758</x:v>
      </x:c>
      <x:c r="E253" s="18" t="n">
        <x:v>42758</x:v>
      </x:c>
      <x:c r="F253" s="12" t="n">
        <x:v>2017</x:v>
      </x:c>
      <x:c r="G253" s="12" t="str">
        <x:v>EVT-JB-20170123-KAMPUNG-PAYA-ULU-TIRAM</x:v>
      </x:c>
      <x:c r="H253" s="12" t="str">
        <x:v>Kampung Paya, Ulu Tiram</x:v>
      </x:c>
      <x:c r="I253" s="12" t="str">
        <x:v>https://bangi.pulasan.my/_media/lampiran/lbt2017-2018.pdf</x:v>
      </x:c>
    </x:row>
    <x:row r="254">
      <x:c r="A254" s="12" t="str">
        <x:v>FLOC-0133</x:v>
      </x:c>
      <x:c r="B254" s="12" t="str">
        <x:v>Kg. Paya Sg Redan</x:v>
      </x:c>
      <x:c r="C254" s="12" t="str">
        <x:v>DG-JB-20171109</x:v>
      </x:c>
      <x:c r="D254" s="18" t="n">
        <x:v>43048</x:v>
      </x:c>
      <x:c r="E254" s="18" t="n">
        <x:v>43048</x:v>
      </x:c>
      <x:c r="F254" s="12" t="n">
        <x:v>2017</x:v>
      </x:c>
      <x:c r="G254" s="12" t="str">
        <x:v>EVT-JB-20171109-KAMPUNG-PAYA-ULU-TIRAM</x:v>
      </x:c>
      <x:c r="H254" s="12" t="str">
        <x:v>Kampung Paya, Ulu Tiram</x:v>
      </x:c>
      <x:c r="I254" s="12" t="str">
        <x:v>https://bangi.pulasan.my/_media/lampiran/lbt2017-2018.pdf</x:v>
      </x:c>
    </x:row>
    <x:row r="255">
      <x:c r="A255" s="12" t="str">
        <x:v>FLOC-0133</x:v>
      </x:c>
      <x:c r="B255" s="12" t="str">
        <x:v>Kg. Paya Sg Redan</x:v>
      </x:c>
      <x:c r="C255" s="12" t="str">
        <x:v>DG-JB-20240104-20240113</x:v>
      </x:c>
      <x:c r="D255" s="18" t="n">
        <x:v>45295</x:v>
      </x:c>
      <x:c r="E255" s="18" t="n">
        <x:v>45295</x:v>
      </x:c>
      <x:c r="F255" s="12" t="n">
        <x:v>2024</x:v>
      </x:c>
      <x:c r="G255" s="12" t="str">
        <x:v>EVT-JB-2024-002</x:v>
      </x:c>
      <x:c r="H255" s="12" t="str">
        <x:v>Kampung Paya</x:v>
      </x:c>
      <x:c r="I255" s="12" t="str">
        <x:v>https://www.sinarharian.com.my/article/642962/edisi/johor/sungai-sistem-perparitan-cetek-punca-banjir</x:v>
      </x:c>
    </x:row>
    <x:row r="256">
      <x:c r="A256" s="12" t="str">
        <x:v>FLOC-0134</x:v>
      </x:c>
      <x:c r="B256" s="12" t="str">
        <x:v>Kg. Sentosa (Cahaya Baru / eastern Johor Bahru)</x:v>
      </x:c>
      <x:c r="C256" s="12" t="str">
        <x:v>DG-JB-20170124-20170125</x:v>
      </x:c>
      <x:c r="D256" s="18" t="n">
        <x:v>42759</x:v>
      </x:c>
      <x:c r="E256" s="18" t="n">
        <x:v>42759</x:v>
      </x:c>
      <x:c r="F256" s="12" t="n">
        <x:v>2017</x:v>
      </x:c>
      <x:c r="G256" s="12" t="str">
        <x:v>EVT-JB-20170124-KAMPUNG-SENTOSA</x:v>
      </x:c>
      <x:c r="H256" s="12" t="str">
        <x:v>Kampung Sentosa</x:v>
      </x:c>
      <x:c r="I256" s="12" t="str">
        <x:v>https://www.scribd.com/document/389922687/Banjir-Tahun1617</x:v>
      </x:c>
    </x:row>
    <x:row r="257">
      <x:c r="A257" s="12" t="str">
        <x:v>FLOC-0134</x:v>
      </x:c>
      <x:c r="B257" s="12" t="str">
        <x:v>Kg. Sentosa (Cahaya Baru / eastern Johor Bahru)</x:v>
      </x:c>
      <x:c r="C257" s="12" t="str">
        <x:v>DG-JB-20191215</x:v>
      </x:c>
      <x:c r="D257" s="18" t="n">
        <x:v>43814</x:v>
      </x:c>
      <x:c r="E257" s="18" t="n">
        <x:v>43814</x:v>
      </x:c>
      <x:c r="F257" s="12" t="n">
        <x:v>2019</x:v>
      </x:c>
      <x:c r="G257" s="12" t="str">
        <x:v>EVT-JB-20191215-KAMPUNG-SENTOSA</x:v>
      </x:c>
      <x:c r="H257" s="12" t="str">
        <x:v>Kampung Sentosa</x:v>
      </x:c>
      <x:c r="I257" s="12" t="str">
        <x:v>https://www.scribd.com/document/975564939/JPS2019</x:v>
      </x:c>
    </x:row>
    <x:row r="258">
      <x:c r="A258" s="12" t="str">
        <x:v>FLOC-0134</x:v>
      </x:c>
      <x:c r="B258" s="12" t="str">
        <x:v>Kg. Sentosa (Cahaya Baru / eastern Johor Bahru)</x:v>
      </x:c>
      <x:c r="C258" s="12" t="str">
        <x:v>DG-JB-20200505</x:v>
      </x:c>
      <x:c r="D258" s="18" t="n">
        <x:v>43956</x:v>
      </x:c>
      <x:c r="E258" s="18" t="n">
        <x:v>43956</x:v>
      </x:c>
      <x:c r="F258" s="12" t="n">
        <x:v>2020</x:v>
      </x:c>
      <x:c r="G258" s="12" t="str">
        <x:v>EVT-JB-20200505-KAMPUNG-SENTOSA</x:v>
      </x:c>
      <x:c r="H258" s="12" t="str">
        <x:v>Kampung Sentosa</x:v>
      </x:c>
      <x:c r="I258" s="12" t="str">
        <x:v>https://bangi.pulasan.my/_media/lampiran/lbt2020.pdf</x:v>
      </x:c>
    </x:row>
    <x:row r="259">
      <x:c r="A259" s="12" t="str">
        <x:v>FLOC-0135</x:v>
      </x:c>
      <x:c r="B259" s="12" t="str">
        <x:v>Kg. Sentosa Barat</x:v>
      </x:c>
      <x:c r="C259" s="12" t="str">
        <x:v>DG-JB-20170418</x:v>
      </x:c>
      <x:c r="D259" s="18" t="n">
        <x:v>42843</x:v>
      </x:c>
      <x:c r="E259" s="18" t="n">
        <x:v>42843</x:v>
      </x:c>
      <x:c r="F259" s="12" t="n">
        <x:v>2017</x:v>
      </x:c>
      <x:c r="G259" s="12" t="str">
        <x:v>EVT-JB-20170418-KAMPUNG-SENTOSA-BARAT-MASAI</x:v>
      </x:c>
      <x:c r="H259" s="12" t="str">
        <x:v>Kampung Sentosa Barat, Masai</x:v>
      </x:c>
      <x:c r="I259" s="12" t="str">
        <x:v>https://bangi.pulasan.my/_media/lampiran/lbt2017-2018.pdf</x:v>
      </x:c>
    </x:row>
    <x:row r="260">
      <x:c r="A260" s="12" t="str">
        <x:v>FLOC-0135</x:v>
      </x:c>
      <x:c r="B260" s="12" t="str">
        <x:v>Kg. Sentosa Barat</x:v>
      </x:c>
      <x:c r="C260" s="12" t="str">
        <x:v>DG-JB-20170601</x:v>
      </x:c>
      <x:c r="D260" s="18" t="n">
        <x:v>42887</x:v>
      </x:c>
      <x:c r="E260" s="18" t="n">
        <x:v>42887</x:v>
      </x:c>
      <x:c r="F260" s="12" t="n">
        <x:v>2017</x:v>
      </x:c>
      <x:c r="G260" s="12" t="str">
        <x:v>EVT-JB-20170601-KAMPUNG-SENTOSA-BARAT-MASAI</x:v>
      </x:c>
      <x:c r="H260" s="12" t="str">
        <x:v>Kampung Sentosa Barat, Masai</x:v>
      </x:c>
      <x:c r="I260" s="12" t="str">
        <x:v>https://bangi.pulasan.my/_media/lampiran/lbt2017-2018.pdf</x:v>
      </x:c>
    </x:row>
    <x:row r="261">
      <x:c r="A261" s="12" t="str">
        <x:v>FLOC-0135</x:v>
      </x:c>
      <x:c r="B261" s="12" t="str">
        <x:v>Kg. Sentosa Barat</x:v>
      </x:c>
      <x:c r="C261" s="12" t="str">
        <x:v>DG-JB-20170811</x:v>
      </x:c>
      <x:c r="D261" s="18" t="n">
        <x:v>42958</x:v>
      </x:c>
      <x:c r="E261" s="18" t="n">
        <x:v>42958</x:v>
      </x:c>
      <x:c r="F261" s="12" t="n">
        <x:v>2017</x:v>
      </x:c>
      <x:c r="G261" s="12" t="str">
        <x:v>EVT-JB-20170811-KAMPUNG-SENTOSA-BARAT-MASAI</x:v>
      </x:c>
      <x:c r="H261" s="12" t="str">
        <x:v>Kampung Sentosa Barat, Masai</x:v>
      </x:c>
      <x:c r="I261" s="12" t="str">
        <x:v>https://bangi.pulasan.my/_media/lampiran/lbt2017-2018.pdf</x:v>
      </x:c>
    </x:row>
    <x:row r="262">
      <x:c r="A262" s="12" t="str">
        <x:v>FLOC-0135</x:v>
      </x:c>
      <x:c r="B262" s="12" t="str">
        <x:v>Kg. Sentosa Barat</x:v>
      </x:c>
      <x:c r="C262" s="12" t="str">
        <x:v>DG-JB-20171110</x:v>
      </x:c>
      <x:c r="D262" s="18" t="n">
        <x:v>43049</x:v>
      </x:c>
      <x:c r="E262" s="18" t="n">
        <x:v>43049</x:v>
      </x:c>
      <x:c r="F262" s="12" t="n">
        <x:v>2017</x:v>
      </x:c>
      <x:c r="G262" s="12" t="str">
        <x:v>EVT-JB-20171110-KAMPUNG-SENTOSA-BARAT-MASAI</x:v>
      </x:c>
      <x:c r="H262" s="12" t="str">
        <x:v>Kampung Sentosa Barat, Masai</x:v>
      </x:c>
      <x:c r="I262" s="12" t="str">
        <x:v>https://bangi.pulasan.my/_media/lampiran/lbt2017-2018.pdf</x:v>
      </x:c>
    </x:row>
    <x:row r="263">
      <x:c r="A263" s="12" t="str">
        <x:v>FLOC-0135</x:v>
      </x:c>
      <x:c r="B263" s="12" t="str">
        <x:v>Kg. Sentosa Barat</x:v>
      </x:c>
      <x:c r="C263" s="12" t="str">
        <x:v>DG-JB-20210101-20210102</x:v>
      </x:c>
      <x:c r="D263" s="18" t="n">
        <x:v>44198</x:v>
      </x:c>
      <x:c r="E263" s="18" t="n">
        <x:v>44198</x:v>
      </x:c>
      <x:c r="F263" s="12" t="n">
        <x:v>2021</x:v>
      </x:c>
      <x:c r="G263" s="12" t="str">
        <x:v>EVT-JB-2021-002</x:v>
      </x:c>
      <x:c r="H263" s="12" t="str">
        <x:v>Kampung Sentosa Barat</x:v>
      </x:c>
      <x:c r="I263" s="12" t="str">
        <x:v>https://www.malaymail.com/news/malaysia/2021/01/02/five-districts-affected-in-johor-floods-evacuees-on-the-rise/1936787
https://www.kosmo.com.my/2021/01/02/275-mangsa-banjir-dipindahkan/</x:v>
      </x:c>
    </x:row>
    <x:row r="264">
      <x:c r="A264" s="12" t="str">
        <x:v>FLOC-0135</x:v>
      </x:c>
      <x:c r="B264" s="12" t="str">
        <x:v>Kg. Sentosa Barat</x:v>
      </x:c>
      <x:c r="C264" s="12" t="str">
        <x:v>DG-JB-20210110</x:v>
      </x:c>
      <x:c r="D264" s="18" t="n">
        <x:v>44206</x:v>
      </x:c>
      <x:c r="E264" s="18" t="n">
        <x:v>44206</x:v>
      </x:c>
      <x:c r="F264" s="12" t="n">
        <x:v>2021</x:v>
      </x:c>
      <x:c r="G264" s="12" t="str">
        <x:v>EVT-JB-2021-017</x:v>
      </x:c>
      <x:c r="H264" s="12" t="str">
        <x:v>Kampung Sentosa Barat</x:v>
      </x:c>
      <x:c r="I264" s="12" t="str">
        <x:v>https://www.kosmo.com.my/2021/01/10/johor-bahru-kota-tinggi-kembali-dilanda-banjir/</x:v>
      </x:c>
    </x:row>
    <x:row r="265">
      <x:c r="A265" s="12" t="str">
        <x:v>FLOC-0135</x:v>
      </x:c>
      <x:c r="B265" s="12" t="str">
        <x:v>Kg. Sentosa Barat</x:v>
      </x:c>
      <x:c r="C265" s="12" t="str">
        <x:v>DG-JB-20210902-MASAI</x:v>
      </x:c>
      <x:c r="D265" s="18" t="n">
        <x:v>44441</x:v>
      </x:c>
      <x:c r="E265" s="18" t="n">
        <x:v>44441</x:v>
      </x:c>
      <x:c r="F265" s="12" t="n">
        <x:v>2021</x:v>
      </x:c>
      <x:c r="G265" s="12" t="str">
        <x:v>EVT-JB-2021-031</x:v>
      </x:c>
      <x:c r="H265" s="12" t="str">
        <x:v>Kampung Sentosa Barat</x:v>
      </x:c>
      <x:c r="I265" s="12" t="str">
        <x:v>https://www.utusan.com.my/terkini/2021/09/100-rumah-dinaiki-air-akibat-banjir-kilat/</x:v>
      </x:c>
    </x:row>
    <x:row r="266">
      <x:c r="A266" s="12" t="str">
        <x:v>FLOC-0135</x:v>
      </x:c>
      <x:c r="B266" s="12" t="str">
        <x:v>Kg. Sentosa Barat</x:v>
      </x:c>
      <x:c r="C266" s="12" t="str">
        <x:v>DG-JB-20220905</x:v>
      </x:c>
      <x:c r="D266" s="18" t="n">
        <x:v>44809</x:v>
      </x:c>
      <x:c r="E266" s="18" t="n">
        <x:v>44809</x:v>
      </x:c>
      <x:c r="F266" s="12" t="n">
        <x:v>2022</x:v>
      </x:c>
      <x:c r="G266" s="12" t="str">
        <x:v>EVT-JB-2022-025</x:v>
      </x:c>
      <x:c r="H266" s="12" t="str">
        <x:v>Kampung Sentosa Barat</x:v>
      </x:c>
      <x:c r="I266" s="12" t="str">
        <x:v>https://www.water.gov.my/jps/resources/Anual%20Flood%20Reporting%20/LBT_2022.pdf</x:v>
      </x:c>
    </x:row>
    <x:row r="267">
      <x:c r="A267" s="12" t="str">
        <x:v>FLOC-0135</x:v>
      </x:c>
      <x:c r="B267" s="12" t="str">
        <x:v>Kg. Sentosa Barat</x:v>
      </x:c>
      <x:c r="C267" s="12" t="str">
        <x:v>DG-JB-20231201</x:v>
      </x:c>
      <x:c r="D267" s="18" t="n">
        <x:v>45261</x:v>
      </x:c>
      <x:c r="E267" s="18" t="n">
        <x:v>45261</x:v>
      </x:c>
      <x:c r="F267" s="12" t="n">
        <x:v>2023</x:v>
      </x:c>
      <x:c r="G267" s="12" t="str">
        <x:v>EVT-JB-2023-018</x:v>
      </x:c>
      <x:c r="H267" s="12" t="str">
        <x:v>Kampung Sentosa Barat</x:v>
      </x:c>
      <x:c r="I267" s="12" t="str">
        <x:v>https://www.freemalaysiatoday.com/category/nation/2023/12/01/5-villages-in-johor-hit-by-flash-floods</x:v>
      </x:c>
    </x:row>
    <x:row r="268">
      <x:c r="A268" s="12" t="str">
        <x:v>FLOC-0136</x:v>
      </x:c>
      <x:c r="B268" s="12" t="str">
        <x:v>Kg. Sentosa Damai</x:v>
      </x:c>
      <x:c r="C268" s="12" t="str">
        <x:v>DG-JB-20210101-20210102</x:v>
      </x:c>
      <x:c r="D268" s="18" t="n">
        <x:v>44198</x:v>
      </x:c>
      <x:c r="E268" s="18" t="n">
        <x:v>44198</x:v>
      </x:c>
      <x:c r="F268" s="12" t="n">
        <x:v>2021</x:v>
      </x:c>
      <x:c r="G268" s="12" t="str">
        <x:v>EVT-JB-2021-003</x:v>
      </x:c>
      <x:c r="H268" s="12" t="str">
        <x:v>Kampung Sentosa Damai</x:v>
      </x:c>
      <x:c r="I268" s="12" t="str">
        <x:v>https://www.malaymail.com/news/malaysia/2021/01/02/five-districts-affected-in-johor-floods-evacuees-on-the-rise/1936787
https://www.kosmo.com.my/2021/01/02/275-mangsa-banjir-dipindahkan/</x:v>
      </x:c>
    </x:row>
    <x:row r="269">
      <x:c r="A269" s="12" t="str">
        <x:v>FLOC-0136</x:v>
      </x:c>
      <x:c r="B269" s="12" t="str">
        <x:v>Kg. Sentosa Damai</x:v>
      </x:c>
      <x:c r="C269" s="12" t="str">
        <x:v>DG-JB-20210110</x:v>
      </x:c>
      <x:c r="D269" s="18" t="n">
        <x:v>44206</x:v>
      </x:c>
      <x:c r="E269" s="18" t="n">
        <x:v>44206</x:v>
      </x:c>
      <x:c r="F269" s="12" t="n">
        <x:v>2021</x:v>
      </x:c>
      <x:c r="G269" s="12" t="str">
        <x:v>EVT-JB-2021-016</x:v>
      </x:c>
      <x:c r="H269" s="12" t="str">
        <x:v>Kampung Sentosa Damai</x:v>
      </x:c>
      <x:c r="I269" s="12" t="str">
        <x:v>https://www.kosmo.com.my/2021/01/10/johor-bahru-kota-tinggi-kembali-dilanda-banjir/</x:v>
      </x:c>
    </x:row>
    <x:row r="270">
      <x:c r="A270" s="12" t="str">
        <x:v>FLOC-0136</x:v>
      </x:c>
      <x:c r="B270" s="12" t="str">
        <x:v>Kg. Sentosa Damai</x:v>
      </x:c>
      <x:c r="C270" s="12" t="str">
        <x:v>DG-JB-20231112</x:v>
      </x:c>
      <x:c r="D270" s="18" t="n">
        <x:v>45242</x:v>
      </x:c>
      <x:c r="E270" s="18" t="n">
        <x:v>45242</x:v>
      </x:c>
      <x:c r="F270" s="12" t="n">
        <x:v>2023</x:v>
      </x:c>
      <x:c r="G270" s="12" t="str">
        <x:v>EVT-JB-2023-012</x:v>
      </x:c>
      <x:c r="H270" s="12" t="str">
        <x:v>Kampung Sentosa Damai</x:v>
      </x:c>
      <x:c r="I270" s="12" t="str">
        <x:v>https://berita.rtm.gov.my/nasional/senarai-berita-nasional/senarai-artikel/banjir-kilat-di-johor-10-mangsa-terjejas/</x:v>
      </x:c>
    </x:row>
    <x:row r="271">
      <x:c r="A271" s="12" t="str">
        <x:v>FLOC-0136</x:v>
      </x:c>
      <x:c r="B271" s="12" t="str">
        <x:v>Kg. Sentosa Damai</x:v>
      </x:c>
      <x:c r="C271" s="12" t="str">
        <x:v>DG-JB-20231115</x:v>
      </x:c>
      <x:c r="D271" s="18" t="n">
        <x:v>45245</x:v>
      </x:c>
      <x:c r="E271" s="18" t="n">
        <x:v>45245</x:v>
      </x:c>
      <x:c r="F271" s="12" t="n">
        <x:v>2023</x:v>
      </x:c>
      <x:c r="G271" s="12" t="str">
        <x:v>EVT-JB-2023-013</x:v>
      </x:c>
      <x:c r="H271" s="12" t="str">
        <x:v>Kampung Sentosa Damai</x:v>
      </x:c>
      <x:c r="I271" s="12" t="str">
        <x:v>https://berita.rtm.gov.my/nasional/senarai-berita-nasional/senarai-artikel/kampung-sentosa-damai-pasir-gudang-dilanda-banjir-kilat/</x:v>
      </x:c>
    </x:row>
    <x:row r="272">
      <x:c r="A272" s="12" t="str">
        <x:v>FLOC-0136</x:v>
      </x:c>
      <x:c r="B272" s="12" t="str">
        <x:v>Kg. Sentosa Damai</x:v>
      </x:c>
      <x:c r="C272" s="12" t="str">
        <x:v>DG-JB-20231201</x:v>
      </x:c>
      <x:c r="D272" s="18" t="n">
        <x:v>45261</x:v>
      </x:c>
      <x:c r="E272" s="18" t="n">
        <x:v>45261</x:v>
      </x:c>
      <x:c r="F272" s="12" t="n">
        <x:v>2023</x:v>
      </x:c>
      <x:c r="G272" s="12" t="str">
        <x:v>EVT-JB-2023-017</x:v>
      </x:c>
      <x:c r="H272" s="12" t="str">
        <x:v>Kampung Sentosa Damai</x:v>
      </x:c>
      <x:c r="I272" s="12" t="str">
        <x:v>https://www.freemalaysiatoday.com/category/nation/2023/12/01/5-villages-in-johor-hit-by-flash-floods
https://berita.rtm.gov.my/nasional/senarai-berita-nasional/senarai-artikel/banjir-di-johor-463-penduduk-terjejas-banjir-tak-sempat-kemas-barang-air-naik-mendadak/</x:v>
      </x:c>
    </x:row>
    <x:row r="273">
      <x:c r="A273" s="12" t="str">
        <x:v>FLOC-0136</x:v>
      </x:c>
      <x:c r="B273" s="12" t="str">
        <x:v>Kg. Sentosa Damai</x:v>
      </x:c>
      <x:c r="C273" s="12" t="str">
        <x:v>DG-JB-20240104-20240113</x:v>
      </x:c>
      <x:c r="D273" s="18" t="n">
        <x:v>45295</x:v>
      </x:c>
      <x:c r="E273" s="18" t="n">
        <x:v>45295</x:v>
      </x:c>
      <x:c r="F273" s="12" t="n">
        <x:v>2024</x:v>
      </x:c>
      <x:c r="G273" s="12" t="str">
        <x:v>EVT-JB-2024-001</x:v>
      </x:c>
      <x:c r="H273" s="12" t="str">
        <x:v>Kampung Sentosa Damai 3</x:v>
      </x:c>
      <x:c r="I273" s="12" t="str">
        <x:v>https://www.sinarharian.com.my/article/642682/berita/semasa/mangsa-banjir-johor-meningkat-kepada-1024
https://www.sinarharian.com.my/article/642865/video/berita-semasa-video/sukarelawan-apm-tetap-bertugas-walaupun-jadi-mangsa-banjir</x:v>
      </x:c>
    </x:row>
    <x:row r="274">
      <x:c r="A274" s="12" t="str">
        <x:v>FLOC-0137</x:v>
      </x:c>
      <x:c r="B274" s="12" t="str">
        <x:v>Kg. Seri Aman / Batu Pulai</x:v>
      </x:c>
      <x:c r="C274" s="12" t="str">
        <x:v>DG-JB-20210902-MASAI</x:v>
      </x:c>
      <x:c r="D274" s="18" t="n">
        <x:v>44441</x:v>
      </x:c>
      <x:c r="E274" s="18" t="n">
        <x:v>44441</x:v>
      </x:c>
      <x:c r="F274" s="12" t="n">
        <x:v>2021</x:v>
      </x:c>
      <x:c r="G274" s="12" t="str">
        <x:v>EVT-JB-2021-029</x:v>
      </x:c>
      <x:c r="H274" s="12" t="str">
        <x:v>Kampung Bukit Pulai</x:v>
      </x:c>
      <x:c r="I274" s="12" t="str">
        <x:v>https://www.utusan.com.my/terkini/2021/09/100-rumah-dinaiki-air-akibat-banjir-kilat/</x:v>
      </x:c>
    </x:row>
    <x:row r="275">
      <x:c r="A275" s="12" t="str">
        <x:v>FLOC-0137</x:v>
      </x:c>
      <x:c r="B275" s="12" t="str">
        <x:v>Kg. Seri Aman / Batu Pulai</x:v>
      </x:c>
      <x:c r="C275" s="12" t="str">
        <x:v>DG-JB-20231201</x:v>
      </x:c>
      <x:c r="D275" s="18" t="n">
        <x:v>45261</x:v>
      </x:c>
      <x:c r="E275" s="18" t="n">
        <x:v>45261</x:v>
      </x:c>
      <x:c r="F275" s="12" t="n">
        <x:v>2023</x:v>
      </x:c>
      <x:c r="G275" s="12" t="str">
        <x:v>EVT-JB-2023-019</x:v>
      </x:c>
      <x:c r="H275" s="12" t="str">
        <x:v>Kampung Bukit Pulai</x:v>
      </x:c>
      <x:c r="I275" s="12" t="str">
        <x:v>https://berita.rtm.gov.my/nasional/senarai-berita-nasional/senarai-artikel/banjir-di-johor-463-penduduk-terjejas-banjir-tak-sempat-kemas-barang-air-naik-mendadak/
https://www.kosmo.com.my/2023/12/01/banjir-74-termasuk-tiga-bayi-dipindahkan-ke-pps-di-johor/</x:v>
      </x:c>
    </x:row>
    <x:row r="276">
      <x:c r="A276" s="12" t="str">
        <x:v>FLOC-0138</x:v>
      </x:c>
      <x:c r="B276" s="12" t="str">
        <x:v>Kg. Sg. Serai</x:v>
      </x:c>
      <x:c r="C276" s="12" t="str">
        <x:v>DG-JB-20170124-20170125</x:v>
      </x:c>
      <x:c r="D276" s="18" t="n">
        <x:v>42759</x:v>
      </x:c>
      <x:c r="E276" s="18" t="n">
        <x:v>42759</x:v>
      </x:c>
      <x:c r="F276" s="12" t="n">
        <x:v>2017</x:v>
      </x:c>
      <x:c r="G276" s="12" t="str">
        <x:v>EVT-JB-20170124-KAMPUNG-SERAI</x:v>
      </x:c>
      <x:c r="H276" s="12" t="str">
        <x:v>Kampung Serai</x:v>
      </x:c>
      <x:c r="I276" s="12" t="str">
        <x:v>https://www.scribd.com/document/389922687/Banjir-Tahun1617</x:v>
      </x:c>
    </x:row>
    <x:row r="277">
      <x:c r="A277" s="12" t="str">
        <x:v>FLOC-0138</x:v>
      </x:c>
      <x:c r="B277" s="12" t="str">
        <x:v>Kg. Sg. Serai</x:v>
      </x:c>
      <x:c r="C277" s="12" t="str">
        <x:v>DG-JB-20240104-20240113</x:v>
      </x:c>
      <x:c r="D277" s="18" t="n">
        <x:v>45295</x:v>
      </x:c>
      <x:c r="E277" s="18" t="n">
        <x:v>45295</x:v>
      </x:c>
      <x:c r="F277" s="12" t="n">
        <x:v>2024</x:v>
      </x:c>
      <x:c r="G277" s="12" t="str">
        <x:v>EVT-JB-2024-003</x:v>
      </x:c>
      <x:c r="H277" s="12" t="str">
        <x:v>Kampung Sungai Serai</x:v>
      </x:c>
      <x:c r="I277" s="12" t="str">
        <x:v>https://www.sinarharian.com.my/article/642962/edisi/johor/sungai-sistem-perparitan-cetek-punca-banjir</x:v>
      </x:c>
    </x:row>
    <x:row r="278">
      <x:c r="A278" s="12" t="str">
        <x:v>FLOC-0139</x:v>
      </x:c>
      <x:c r="B278" s="12" t="str">
        <x:v>KIPMall Tampoi</x:v>
      </x:c>
      <x:c r="C278" s="12" t="str">
        <x:v>DG-JB-20170102</x:v>
      </x:c>
      <x:c r="D278" s="18" t="n">
        <x:v>42737</x:v>
      </x:c>
      <x:c r="E278" s="18" t="n">
        <x:v>42737</x:v>
      </x:c>
      <x:c r="F278" s="12" t="n">
        <x:v>2017</x:v>
      </x:c>
      <x:c r="G278" s="12" t="str">
        <x:v>EVT-JB-20170102-KIPMART-KIPMALL-TAMPOI</x:v>
      </x:c>
      <x:c r="H278" s="12" t="str">
        <x:v>KIPMart/KIPMall Tampoi</x:v>
      </x:c>
      <x:c r="I278" s="12" t="str">
        <x:v>https://www.malaysiakini.com/news/367964</x:v>
      </x:c>
    </x:row>
    <x:row r="279">
      <x:c r="A279" s="12" t="str">
        <x:v>FLOC-0140</x:v>
      </x:c>
      <x:c r="B279" s="12" t="str">
        <x:v>Klinik Desa Kangkar Tebrau</x:v>
      </x:c>
      <x:c r="C279" s="12" t="str">
        <x:v>DG-JB-20250319-20250324</x:v>
      </x:c>
      <x:c r="D279" s="18" t="n">
        <x:v>45737</x:v>
      </x:c>
      <x:c r="E279" s="18" t="n">
        <x:v>45737</x:v>
      </x:c>
      <x:c r="F279" s="12" t="n">
        <x:v>2025</x:v>
      </x:c>
      <x:c r="G279" s="12" t="str">
        <x:v>EVT-JB-2025-025</x:v>
      </x:c>
      <x:c r="H279" s="12" t="str">
        <x:v>KD Kangkar Tebrau</x:v>
      </x:c>
      <x:c r="I279" s="12" t="str">
        <x:v>https://www.nadma.gov.my/images/2025/SITREP/SITREP_19_-_22_Mac_2025.pdf</x:v>
      </x:c>
    </x:row>
    <x:row r="280">
      <x:c r="A280" s="12" t="str">
        <x:v>FLOC-0141</x:v>
      </x:c>
      <x:c r="B280" s="12" t="str">
        <x:v>Klinik Desa Plentong</x:v>
      </x:c>
      <x:c r="C280" s="12" t="str">
        <x:v>DG-JB-20250319-20250324</x:v>
      </x:c>
      <x:c r="D280" s="18" t="n">
        <x:v>45737</x:v>
      </x:c>
      <x:c r="E280" s="18" t="n">
        <x:v>45737</x:v>
      </x:c>
      <x:c r="F280" s="12" t="n">
        <x:v>2025</x:v>
      </x:c>
      <x:c r="G280" s="12" t="str">
        <x:v>EVT-JB-2025-027</x:v>
      </x:c>
      <x:c r="H280" s="12" t="str">
        <x:v>KD Plentong</x:v>
      </x:c>
      <x:c r="I280" s="12" t="str">
        <x:v>https://www.nadma.gov.my/images/2025/SITREP/SITREP_19_-_22_Mac_2025.pdf</x:v>
      </x:c>
    </x:row>
    <x:row r="281">
      <x:c r="A281" s="12" t="str">
        <x:v>FLOC-0142</x:v>
      </x:c>
      <x:c r="B281" s="12" t="str">
        <x:v>KSL City Mall</x:v>
      </x:c>
      <x:c r="C281" s="12" t="str">
        <x:v>DG-JB-20260930</x:v>
      </x:c>
      <x:c r="D281" s="18" t="n">
        <x:v>46295</x:v>
      </x:c>
      <x:c r="E281" s="18" t="n">
        <x:v>46295</x:v>
      </x:c>
      <x:c r="F281" s="12" t="n">
        <x:v>2026</x:v>
      </x:c>
      <x:c r="G281" s="12" t="str">
        <x:v>EVT-JB-2026-017</x:v>
      </x:c>
      <x:c r="H281" s="12" t="str">
        <x:v>KSL City Mall area</x:v>
      </x:c>
      <x:c r="I281" s="12" t="str">
        <x:v>https://malaysiagazette.com/2026/09/30/bandaraya-jb-dilanda-banjir-kilat/</x:v>
      </x:c>
    </x:row>
    <x:row r="282">
      <x:c r="A282" s="12" t="str">
        <x:v>FLOC-0143</x:v>
      </x:c>
      <x:c r="B282" s="12" t="str">
        <x:v>Kuil Sri Muniswarar Maha Mariamman, Kampung Kangkar Tebrau Kiri</x:v>
      </x:c>
      <x:c r="C282" s="12" t="str">
        <x:v>DG-JB-20240124</x:v>
      </x:c>
      <x:c r="D282" s="18" t="n">
        <x:v>45315</x:v>
      </x:c>
      <x:c r="E282" s="18" t="n">
        <x:v>45315</x:v>
      </x:c>
      <x:c r="F282" s="12" t="n">
        <x:v>2024</x:v>
      </x:c>
      <x:c r="G282" s="12" t="str">
        <x:v>EVT-JB-2024-015</x:v>
      </x:c>
      <x:c r="H282" s="12" t="str">
        <x:v>Kuil Sri Muniswarar Maha Mariamman, Kampung Kangkar Tebrau Kiri</x:v>
      </x:c>
      <x:c r="I282" s="12" t="str">
        <x:v>https://www.astroawani.com/berita-malaysia/tak-sempat-sambut-thaipusam-kuil-dilanda-banjir-455504</x:v>
      </x:c>
    </x:row>
    <x:row r="283">
      <x:c r="A283" s="12" t="str">
        <x:v>FLOC-0144</x:v>
      </x:c>
      <x:c r="B283" s="12" t="str">
        <x:v>Larkin Perdana</x:v>
      </x:c>
      <x:c r="C283" s="12" t="str">
        <x:v>DG-JB-20230214</x:v>
      </x:c>
      <x:c r="D283" s="18" t="n">
        <x:v>44971</x:v>
      </x:c>
      <x:c r="E283" s="18" t="n">
        <x:v>44971</x:v>
      </x:c>
      <x:c r="F283" s="12" t="n">
        <x:v>2023</x:v>
      </x:c>
      <x:c r="G283" s="12" t="str">
        <x:v>EVT-JB-2023-001</x:v>
      </x:c>
      <x:c r="H283" s="12" t="str">
        <x:v>Larkin Perdana</x:v>
      </x:c>
      <x:c r="I283" s="12" t="str">
        <x:v>https://www.sinarharian.com.my/article/245217/edisi/johor/johor-bahru-dilanda-banjir-kilat</x:v>
      </x:c>
    </x:row>
    <x:row r="284">
      <x:c r="A284" s="12" t="str">
        <x:v>FLOC-0145</x:v>
      </x:c>
      <x:c r="B284" s="12" t="str">
        <x:v>Lebuhraya Pasir Gudang</x:v>
      </x:c>
      <x:c r="C284" s="12" t="str">
        <x:v>DG-JB-20210712</x:v>
      </x:c>
      <x:c r="D284" s="18" t="n">
        <x:v>44389</x:v>
      </x:c>
      <x:c r="E284" s="18" t="n">
        <x:v>44389</x:v>
      </x:c>
      <x:c r="F284" s="12" t="n">
        <x:v>2021</x:v>
      </x:c>
      <x:c r="G284" s="12" t="str">
        <x:v>EVT-JB-2021-027</x:v>
      </x:c>
      <x:c r="H284" s="12" t="str">
        <x:v>Lebuhraya Pasir Gudang</x:v>
      </x:c>
      <x:c r="I284" s="12" t="str">
        <x:v>https://www.umnopg.com.my/2021/07/14/sungai-masai-perlukan-segera-kerja-kerja-tebatan-banjir/</x:v>
      </x:c>
    </x:row>
    <x:row r="285">
      <x:c r="A285" s="12" t="str">
        <x:v>FLOC-0146</x:v>
      </x:c>
      <x:c r="B285" s="12" t="str">
        <x:v>Lebuhraya Pasir Gudang near Taman Rinting interchange</x:v>
      </x:c>
      <x:c r="C285" s="12" t="str">
        <x:v>DG-JB-20250416</x:v>
      </x:c>
      <x:c r="D285" s="18" t="n">
        <x:v>45763</x:v>
      </x:c>
      <x:c r="E285" s="18" t="n">
        <x:v>45763</x:v>
      </x:c>
      <x:c r="F285" s="12" t="n">
        <x:v>2025</x:v>
      </x:c>
      <x:c r="G285" s="12" t="str">
        <x:v>EVT-JB-2025-036</x:v>
      </x:c>
      <x:c r="H285" s="12" t="str">
        <x:v>Lebuhraya Pasir Gudang near Taman Rinting interchange</x:v>
      </x:c>
      <x:c r="I285" s="12" t="str">
        <x:v>https://www.nadma.gov.my/bm/media-2/berita/3928-banjir-kilat-sebabkan-lebuhraya-pasir-gudang-sesak</x:v>
      </x:c>
    </x:row>
    <x:row r="286">
      <x:c r="A286" s="12" t="str">
        <x:v>FLOC-0147</x:v>
      </x:c>
      <x:c r="B286" s="12" t="str">
        <x:v>Lima Kedai, Stadium Baru</x:v>
      </x:c>
      <x:c r="C286" s="12" t="str">
        <x:v>DG-JB-20191022</x:v>
      </x:c>
      <x:c r="D286" s="18" t="n">
        <x:v>43760</x:v>
      </x:c>
      <x:c r="E286" s="18" t="n">
        <x:v>43760</x:v>
      </x:c>
      <x:c r="F286" s="12" t="n">
        <x:v>2019</x:v>
      </x:c>
      <x:c r="G286" s="12" t="str">
        <x:v>EVT-JB-20191022-LIMA-KEDAI-STADIUM-BARU</x:v>
      </x:c>
      <x:c r="H286" s="12" t="str">
        <x:v>Lima Kedai, Stadium Baru</x:v>
      </x:c>
      <x:c r="I286" s="12" t="str">
        <x:v>https://www.scribd.com/document/975564939/JPS2019</x:v>
      </x:c>
    </x:row>
    <x:row r="287">
      <x:c r="A287" s="12" t="str">
        <x:v>FLOC-0148</x:v>
      </x:c>
      <x:c r="B287" s="12" t="str">
        <x:v>Lorong Aris / Kg. Batu 8 1/2, Skudai</x:v>
      </x:c>
      <x:c r="C287" s="12" t="str">
        <x:v>DG-JB-20210101-20210102</x:v>
      </x:c>
      <x:c r="D287" s="18" t="n">
        <x:v>44198</x:v>
      </x:c>
      <x:c r="E287" s="18" t="n">
        <x:v>44198</x:v>
      </x:c>
      <x:c r="F287" s="12" t="n">
        <x:v>2021</x:v>
      </x:c>
      <x:c r="G287" s="12" t="str">
        <x:v>EVT-JB-2021-004</x:v>
      </x:c>
      <x:c r="H287" s="12" t="str">
        <x:v>Lorong Aris Batu 8, Skudai</x:v>
      </x:c>
      <x:c r="I287" s="12" t="str">
        <x:v>https://www.malaymail.com/news/malaysia/2021/01/02/five-districts-affected-in-johor-floods-evacuees-on-the-rise/1936787
https://www.dosm.gov.my/v1/uploads/files/6_Newsletter/Newsletter%202023/DOSM_BPPD_11_2023_Series%2022.pdf</x:v>
      </x:c>
    </x:row>
    <x:row r="288">
      <x:c r="A288" s="12" t="str">
        <x:v>FLOC-0148</x:v>
      </x:c>
      <x:c r="B288" s="12" t="str">
        <x:v>Lorong Aris / Kg. Batu 8 1/2, Skudai</x:v>
      </x:c>
      <x:c r="C288" s="12" t="str">
        <x:v>DG-JB-20210110</x:v>
      </x:c>
      <x:c r="D288" s="18" t="n">
        <x:v>44206</x:v>
      </x:c>
      <x:c r="E288" s="18" t="n">
        <x:v>44206</x:v>
      </x:c>
      <x:c r="F288" s="12" t="n">
        <x:v>2021</x:v>
      </x:c>
      <x:c r="G288" s="12" t="str">
        <x:v>EVT-JB-2021-021</x:v>
      </x:c>
      <x:c r="H288" s="12" t="str">
        <x:v>Lorong Aris Batu 8, Skudai</x:v>
      </x:c>
      <x:c r="I288" s="12" t="str">
        <x:v>https://www.kosmo.com.my/2021/01/10/johor-bahru-kota-tinggi-kembali-dilanda-banjir/</x:v>
      </x:c>
    </x:row>
    <x:row r="289">
      <x:c r="A289" s="12" t="str">
        <x:v>FLOC-0149</x:v>
      </x:c>
      <x:c r="B289" s="12" t="str">
        <x:v>Lorong Mak Piah, Kampung Sungai Tiram</x:v>
      </x:c>
      <x:c r="C289" s="12" t="str">
        <x:v>DG-JB-20231101</x:v>
      </x:c>
      <x:c r="D289" s="18" t="n">
        <x:v>45231</x:v>
      </x:c>
      <x:c r="E289" s="18" t="n">
        <x:v>45231</x:v>
      </x:c>
      <x:c r="F289" s="12" t="n">
        <x:v>2023</x:v>
      </x:c>
      <x:c r="G289" s="12" t="str">
        <x:v>EVT-JB-2023-011</x:v>
      </x:c>
      <x:c r="H289" s="12" t="str">
        <x:v>Lorong Mak Piah, Kampung Sungai Tiram</x:v>
      </x:c>
      <x:c r="I289" s="12" t="str">
        <x:v>https://bernama.com/bm/news.php?id=2240734
https://berita.rtm.gov.my/nasional/senarai-berita-nasional/senarai-artikel/banjir-kilat-di-johor-satu-pps-dibuka/</x:v>
      </x:c>
    </x:row>
    <x:row r="290">
      <x:c r="A290" s="12" t="str">
        <x:v>FLOC-0149</x:v>
      </x:c>
      <x:c r="B290" s="12" t="str">
        <x:v>Lorong Mak Piah, Kampung Sungai Tiram</x:v>
      </x:c>
      <x:c r="C290" s="12" t="str">
        <x:v>DG-JB-20240104-20240113</x:v>
      </x:c>
      <x:c r="D290" s="18" t="n">
        <x:v>45298</x:v>
      </x:c>
      <x:c r="E290" s="18" t="n">
        <x:v>45298</x:v>
      </x:c>
      <x:c r="F290" s="12" t="n">
        <x:v>2024</x:v>
      </x:c>
      <x:c r="G290" s="12" t="str">
        <x:v>EVT-JB-2024-005</x:v>
      </x:c>
      <x:c r="H290" s="12" t="str">
        <x:v>Lorong Mak Piah</x:v>
      </x:c>
      <x:c r="I290" s="12" t="str">
        <x:v>https://bernama.com/bm/news.php?id=2260257</x:v>
      </x:c>
    </x:row>
    <x:row r="291">
      <x:c r="A291" s="12" t="str">
        <x:v>FLOC-0150</x:v>
      </x:c>
      <x:c r="B291" s="12" t="str">
        <x:v>Majidee</x:v>
      </x:c>
      <x:c r="C291" s="12" t="str">
        <x:v>DG-JB-20231206</x:v>
      </x:c>
      <x:c r="D291" s="18" t="n">
        <x:v>45266</x:v>
      </x:c>
      <x:c r="E291" s="18" t="n">
        <x:v>45266</x:v>
      </x:c>
      <x:c r="F291" s="12" t="n">
        <x:v>2023</x:v>
      </x:c>
      <x:c r="G291" s="12" t="str">
        <x:v>EVT-JB-2023-047</x:v>
      </x:c>
      <x:c r="H291" s="12" t="str">
        <x:v>Majidee</x:v>
      </x:c>
      <x:c r="I291" s="12" t="str">
        <x:v>https://mediadigitaljohor.gov.my/banjir-kilat-bomba-apm-mbjb-bertindak-proaktif/</x:v>
      </x:c>
    </x:row>
    <x:row r="292">
      <x:c r="A292" s="12" t="str">
        <x:v>FLOC-0151</x:v>
      </x:c>
      <x:c r="B292" s="12" t="str">
        <x:v>Maktab Sultan Abu Bakar / English College</x:v>
      </x:c>
      <x:c r="C292" s="12" t="str">
        <x:v>DG-JB-20260930</x:v>
      </x:c>
      <x:c r="D292" s="18" t="n">
        <x:v>46295</x:v>
      </x:c>
      <x:c r="E292" s="18" t="n">
        <x:v>46295</x:v>
      </x:c>
      <x:c r="F292" s="12" t="n">
        <x:v>2026</x:v>
      </x:c>
      <x:c r="G292" s="12" t="str">
        <x:v>EVT-JB-2026-022</x:v>
      </x:c>
      <x:c r="H292" s="12" t="str">
        <x:v>Maktab Sultan Abu Bakar, Jalan Ayer Molek</x:v>
      </x:c>
      <x:c r="I292" s="12" t="str">
        <x:v>https://malaysiagazette.com/2026/09/30/bandaraya-jb-dilanda-banjir-kilat/
https://www.utusan.com.my/terkini/2026/09/beberapa-kawasan-di-johor-bahru-dinaiki-air-susulan-hujan-lebat/</x:v>
      </x:c>
    </x:row>
    <x:row r="293">
      <x:c r="A293" s="12" t="str">
        <x:v>FLOC-0152</x:v>
      </x:c>
      <x:c r="B293" s="12" t="str">
        <x:v>Masjid Kg. Kangkar Tebrau</x:v>
      </x:c>
      <x:c r="C293" s="12" t="str">
        <x:v>DG-JB-20250110-20250115</x:v>
      </x:c>
      <x:c r="D293" s="18" t="n">
        <x:v>45668</x:v>
      </x:c>
      <x:c r="E293" s="18" t="n">
        <x:v>45668</x:v>
      </x:c>
      <x:c r="F293" s="12" t="n">
        <x:v>2025</x:v>
      </x:c>
      <x:c r="G293" s="12" t="str">
        <x:v>EVT-JB-2025-004</x:v>
      </x:c>
      <x:c r="H293" s="12" t="str">
        <x:v>Masjid Kampung Kangkar Tebrau</x:v>
      </x:c>
      <x:c r="I293" s="12" t="str">
        <x:v>https://www.utusan.com.my/berita/2025/01/300-keluarga-terjejas-banjir-di-kangkar-tebrau/</x:v>
      </x:c>
    </x:row>
    <x:row r="294">
      <x:c r="A294" s="12" t="str">
        <x:v>FLOC-0153</x:v>
      </x:c>
      <x:c r="B294" s="12" t="str">
        <x:v>No corroborated Skudai locality; official Kg. Sialang Dalam = Tangkak</x:v>
      </x:c>
      <x:c r="C294" s="12" t="str">
        <x:v>DG-JB-20170919</x:v>
      </x:c>
      <x:c r="D294" s="18" t="n">
        <x:v>42997</x:v>
      </x:c>
      <x:c r="E294" s="18" t="n">
        <x:v>42997</x:v>
      </x:c>
      <x:c r="F294" s="12" t="n">
        <x:v>2017</x:v>
      </x:c>
      <x:c r="G294" s="12" t="str">
        <x:v>EVT-JB-20170919-KAMPUNG-SIALANG-DALAM-SKUDAI</x:v>
      </x:c>
      <x:c r="H294" s="12" t="str">
        <x:v>Kampung Sialang Dalam, Skudai</x:v>
      </x:c>
      <x:c r="I294" s="12" t="str">
        <x:v>https://bangi.pulasan.my/_media/lampiran/lbt2017-2018.pdf</x:v>
      </x:c>
    </x:row>
    <x:row r="295">
      <x:c r="A295" s="12" t="str">
        <x:v>FLOC-0154</x:v>
      </x:c>
      <x:c r="B295" s="12" t="str">
        <x:v>Pandan</x:v>
      </x:c>
      <x:c r="C295" s="12" t="str">
        <x:v>DG-JB-20250319-20250324</x:v>
      </x:c>
      <x:c r="D295" s="18" t="n">
        <x:v>45736</x:v>
      </x:c>
      <x:c r="E295" s="18" t="n">
        <x:v>45736</x:v>
      </x:c>
      <x:c r="F295" s="12" t="n">
        <x:v>2025</x:v>
      </x:c>
      <x:c r="G295" s="12" t="str">
        <x:v>EVT-JB-2025-013</x:v>
      </x:c>
      <x:c r="H295" s="12" t="str">
        <x:v>Pandan</x:v>
      </x:c>
      <x:c r="I295" s="12" t="str">
        <x:v>https://www.nadma.gov.my/bi/media-en/news/3415-banjir-terburuk-dalam-tempoh-30-tahun-datuk-bandar-mbjb</x:v>
      </x:c>
    </x:row>
    <x:row r="296">
      <x:c r="A296" s="12" t="str">
        <x:v>FLOC-0155</x:v>
      </x:c>
      <x:c r="B296" s="12" t="str">
        <x:v>Perling / Taman Perling</x:v>
      </x:c>
      <x:c r="C296" s="12" t="str">
        <x:v>DG-JB-20250319-20250324</x:v>
      </x:c>
      <x:c r="D296" s="18" t="n">
        <x:v>45736</x:v>
      </x:c>
      <x:c r="E296" s="18" t="n">
        <x:v>45736</x:v>
      </x:c>
      <x:c r="F296" s="12" t="n">
        <x:v>2025</x:v>
      </x:c>
      <x:c r="G296" s="12" t="str">
        <x:v>EVT-JB-2025-020</x:v>
      </x:c>
      <x:c r="H296" s="12" t="str">
        <x:v>Perling</x:v>
      </x:c>
      <x:c r="I296" s="12" t="str">
        <x:v>https://dapmalaysia.org/unit-tindak-dap-johor-bertindak-pantas-membantu-mangsa-banjir/</x:v>
      </x:c>
    </x:row>
    <x:row r="297">
      <x:c r="A297" s="12" t="str">
        <x:v>FLOC-0156</x:v>
      </x:c>
      <x:c r="B297" s="12" t="str">
        <x:v>Persiaran Abu Bakar Sultan</x:v>
      </x:c>
      <x:c r="C297" s="12" t="str">
        <x:v>DG-JB-20220802</x:v>
      </x:c>
      <x:c r="D297" s="18" t="n">
        <x:v>44775</x:v>
      </x:c>
      <x:c r="E297" s="18" t="n">
        <x:v>44775</x:v>
      </x:c>
      <x:c r="F297" s="12" t="n">
        <x:v>2022</x:v>
      </x:c>
      <x:c r="G297" s="12" t="str">
        <x:v>EVT-JB-2022-013</x:v>
      </x:c>
      <x:c r="H297" s="12" t="str">
        <x:v>Persiaran Abu Bakar Sultan</x:v>
      </x:c>
      <x:c r="I297" s="12" t="str">
        <x:v>https://www.malaymail.com/news/malaysia/2022/08/02/parts-of-johor-baru-hit-by-flash-floods-video/20634</x:v>
      </x:c>
    </x:row>
    <x:row r="298">
      <x:c r="A298" s="12" t="str">
        <x:v>FLOC-0157</x:v>
      </x:c>
      <x:c r="B298" s="12" t="str">
        <x:v>Puteri Harbour Iskandar Puteri</x:v>
      </x:c>
      <x:c r="C298" s="12" t="str">
        <x:v>DG-JB-20220905</x:v>
      </x:c>
      <x:c r="D298" s="18" t="n">
        <x:v>44809</x:v>
      </x:c>
      <x:c r="E298" s="18" t="n">
        <x:v>44809</x:v>
      </x:c>
      <x:c r="F298" s="12" t="n">
        <x:v>2022</x:v>
      </x:c>
      <x:c r="G298" s="12" t="str">
        <x:v>EVT-JB-2022-024</x:v>
      </x:c>
      <x:c r="H298" s="12" t="str">
        <x:v>Puteri Harbour Iskandar Puteri</x:v>
      </x:c>
      <x:c r="I298" s="12" t="str">
        <x:v>https://www.water.gov.my/jps/resources/Anual%20Flood%20Reporting%20/LBT_2022.pdf</x:v>
      </x:c>
    </x:row>
    <x:row r="299">
      <x:c r="A299" s="12" t="str">
        <x:v>FLOC-0158</x:v>
      </x:c>
      <x:c r="B299" s="12" t="str">
        <x:v>Rumah Orang Tua Sam Poh</x:v>
      </x:c>
      <x:c r="C299" s="12" t="str">
        <x:v>DG-JB-20210101-20210102</x:v>
      </x:c>
      <x:c r="D299" s="18" t="n">
        <x:v>44198</x:v>
      </x:c>
      <x:c r="E299" s="18" t="n">
        <x:v>44198</x:v>
      </x:c>
      <x:c r="F299" s="12" t="n">
        <x:v>2021</x:v>
      </x:c>
      <x:c r="G299" s="12" t="str">
        <x:v>EVT-JB-2021-005</x:v>
      </x:c>
      <x:c r="H299" s="12" t="str">
        <x:v>Rumah Orang Tua Sam Poh</x:v>
      </x:c>
      <x:c r="I299" s="12" t="str">
        <x:v>https://www.malaymail.com/news/malaysia/2021/01/02/five-districts-affected-in-johor-floods-evacuees-on-the-rise/1936787
https://www.dosm.gov.my/v1/uploads/files/6_Newsletter/Newsletter%202023/DOSM_BPPD_11_2023_Series%2022.pdf</x:v>
      </x:c>
    </x:row>
    <x:row r="300">
      <x:c r="A300" s="12" t="str">
        <x:v>FLOC-0159</x:v>
      </x:c>
      <x:c r="B300" s="12" t="str">
        <x:v>Rumah Seri Kenangan Johor Bahru</x:v>
      </x:c>
      <x:c r="C300" s="12" t="str">
        <x:v>DG-JB-20181009</x:v>
      </x:c>
      <x:c r="D300" s="18" t="n">
        <x:v>43382</x:v>
      </x:c>
      <x:c r="E300" s="18" t="n">
        <x:v>43382</x:v>
      </x:c>
      <x:c r="F300" s="12" t="n">
        <x:v>2018</x:v>
      </x:c>
      <x:c r="G300" s="12" t="str">
        <x:v>EVT-JB-20181009-RUMAH-SERI-KENANGAN-KAMPUNG-UNGKU-MOHSIN</x:v>
      </x:c>
      <x:c r="H300" s="12" t="str">
        <x:v>Rumah Seri Kenangan, Kampung Ungku Mohsin</x:v>
      </x:c>
      <x:c r="I300" s="12" t="str">
        <x:v>https://www.utusan.com.my/nasional/2018/10/tanah-runtuh168-penghuni-rumah-kenangan-terjejas/</x:v>
      </x:c>
    </x:row>
    <x:row r="301">
      <x:c r="A301" s="12" t="str">
        <x:v>FLOC-0160</x:v>
      </x:c>
      <x:c r="B301" s="12" t="str">
        <x:v>Sanctuary Garden, Tebrau</x:v>
      </x:c>
      <x:c r="C301" s="12" t="str">
        <x:v>DG-JB-20221107</x:v>
      </x:c>
      <x:c r="D301" s="18" t="n">
        <x:v>44872</x:v>
      </x:c>
      <x:c r="E301" s="18" t="n">
        <x:v>44872</x:v>
      </x:c>
      <x:c r="F301" s="12" t="n">
        <x:v>2022</x:v>
      </x:c>
      <x:c r="G301" s="12" t="str">
        <x:v>EVT-JB-2022-037</x:v>
      </x:c>
      <x:c r="H301" s="12" t="str">
        <x:v>Sanctuary Garden, Tebrau</x:v>
      </x:c>
      <x:c r="I301" s="12" t="str">
        <x:v>https://www.astroawani.com/berita-malaysia/pru15-hujan-lebat-berterusan-tebrau-dilanda-banjir-kilat-390115</x:v>
      </x:c>
    </x:row>
    <x:row r="302">
      <x:c r="A302" s="12" t="str">
        <x:v>FLOC-0161</x:v>
      </x:c>
      <x:c r="B302" s="12" t="str">
        <x:v>Sekolah Agama Bandar Johor Bahru</x:v>
      </x:c>
      <x:c r="C302" s="12" t="str">
        <x:v>DG-JB-20260930</x:v>
      </x:c>
      <x:c r="D302" s="18" t="n">
        <x:v>46295</x:v>
      </x:c>
      <x:c r="E302" s="18" t="n">
        <x:v>46295</x:v>
      </x:c>
      <x:c r="F302" s="12" t="n">
        <x:v>2026</x:v>
      </x:c>
      <x:c r="G302" s="12" t="str">
        <x:v>EVT-JB-2026-023</x:v>
      </x:c>
      <x:c r="H302" s="12" t="str">
        <x:v>Sekolah Agama Bandar, Jalan Yahya Awal</x:v>
      </x:c>
      <x:c r="I302" s="12" t="str">
        <x:v>https://malaysiagazette.com/2026/09/30/bandaraya-jb-dilanda-banjir-kilat/</x:v>
      </x:c>
    </x:row>
    <x:row r="303">
      <x:c r="A303" s="12" t="str">
        <x:v>FLOC-0162</x:v>
      </x:c>
      <x:c r="B303" s="12" t="str">
        <x:v>Sekolah Kebangsaan Kangkar Tebrau</x:v>
      </x:c>
      <x:c r="C303" s="12" t="str">
        <x:v>DG-JB-20250110-20250115</x:v>
      </x:c>
      <x:c r="D303" s="18" t="n">
        <x:v>45668</x:v>
      </x:c>
      <x:c r="E303" s="18" t="n">
        <x:v>45668</x:v>
      </x:c>
      <x:c r="F303" s="12" t="n">
        <x:v>2025</x:v>
      </x:c>
      <x:c r="G303" s="12" t="str">
        <x:v>EVT-JB-2025-003</x:v>
      </x:c>
      <x:c r="H303" s="12" t="str">
        <x:v>SK Kangkar Tebrau</x:v>
      </x:c>
      <x:c r="I303" s="12" t="str">
        <x:v>https://www.utusan.com.my/berita/2025/01/300-keluarga-terjejas-banjir-di-kangkar-tebrau/</x:v>
      </x:c>
    </x:row>
    <x:row r="304">
      <x:c r="A304" s="12" t="str">
        <x:v>FLOC-0162</x:v>
      </x:c>
      <x:c r="B304" s="12" t="str">
        <x:v>Sekolah Kebangsaan Kangkar Tebrau</x:v>
      </x:c>
      <x:c r="C304" s="12" t="str">
        <x:v>DG-JB-20250319-20250324</x:v>
      </x:c>
      <x:c r="D304" s="18" t="n">
        <x:v>45736</x:v>
      </x:c>
      <x:c r="E304" s="18" t="n">
        <x:v>45736</x:v>
      </x:c>
      <x:c r="F304" s="12" t="n">
        <x:v>2025</x:v>
      </x:c>
      <x:c r="G304" s="12" t="str">
        <x:v>EVT-JB-2025-022</x:v>
      </x:c>
      <x:c r="H304" s="12" t="str">
        <x:v>SK Kangkar Tebrau</x:v>
      </x:c>
      <x:c r="I304" s="12" t="str">
        <x:v>https://www.bernama.com/bm/news.php?id=2404303</x:v>
      </x:c>
    </x:row>
    <x:row r="305">
      <x:c r="A305" s="12" t="str">
        <x:v>FLOC-0163</x:v>
      </x:c>
      <x:c r="B305" s="12" t="str">
        <x:v>Simpang Ladang Mados</x:v>
      </x:c>
      <x:c r="C305" s="12" t="str">
        <x:v>DG-JB-20240104-20240113</x:v>
      </x:c>
      <x:c r="D305" s="18" t="n">
        <x:v>45298</x:v>
      </x:c>
      <x:c r="E305" s="18" t="n">
        <x:v>45298</x:v>
      </x:c>
      <x:c r="F305" s="12" t="n">
        <x:v>2024</x:v>
      </x:c>
      <x:c r="G305" s="12" t="str">
        <x:v>EVT-JB-2024-006</x:v>
      </x:c>
      <x:c r="H305" s="12" t="str">
        <x:v>Simpang Ladang Mados</x:v>
      </x:c>
      <x:c r="I305" s="12" t="str">
        <x:v>https://bernama.com/bm/news.php?id=2260257</x:v>
      </x:c>
    </x:row>
    <x:row r="306">
      <x:c r="A306" s="12" t="str">
        <x:v>FLOC-0164</x:v>
      </x:c>
      <x:c r="B306" s="12" t="str">
        <x:v>Simpang Mados</x:v>
      </x:c>
      <x:c r="C306" s="12" t="str">
        <x:v>DG-JB-20210110</x:v>
      </x:c>
      <x:c r="D306" s="18" t="n">
        <x:v>44206</x:v>
      </x:c>
      <x:c r="E306" s="18" t="n">
        <x:v>44206</x:v>
      </x:c>
      <x:c r="F306" s="12" t="n">
        <x:v>2021</x:v>
      </x:c>
      <x:c r="G306" s="12" t="str">
        <x:v>EVT-JB-2021-014</x:v>
      </x:c>
      <x:c r="H306" s="12" t="str">
        <x:v>Simpang Mados</x:v>
      </x:c>
      <x:c r="I306" s="12" t="str">
        <x:v>https://www.kosmo.com.my/2021/01/10/johor-bahru-kota-tinggi-kembali-dilanda-banjir/</x:v>
      </x:c>
    </x:row>
    <x:row r="307">
      <x:c r="A307" s="12" t="str">
        <x:v>FLOC-0165</x:v>
      </x:c>
      <x:c r="B307" s="12" t="str">
        <x:v>SK Bukit Mutiara</x:v>
      </x:c>
      <x:c r="C307" s="12" t="str">
        <x:v>DG-JB-20240104-20240113</x:v>
      </x:c>
      <x:c r="D307" s="18" t="n">
        <x:v>45298</x:v>
      </x:c>
      <x:c r="E307" s="18" t="n">
        <x:v>45298</x:v>
      </x:c>
      <x:c r="F307" s="12" t="n">
        <x:v>2024</x:v>
      </x:c>
      <x:c r="G307" s="12" t="str">
        <x:v>EVT-JB-2024-011</x:v>
      </x:c>
      <x:c r="H307" s="12" t="str">
        <x:v>SK Bukit Mutiara</x:v>
      </x:c>
      <x:c r="I307" s="12" t="str">
        <x:v>https://berita.rtm.gov.my/nasional/senarai-berita-nasional/senarai-artikel/banjir-tiga-sekolah-di-johor-bahru-ditutup/</x:v>
      </x:c>
    </x:row>
    <x:row r="308">
      <x:c r="A308" s="12" t="str">
        <x:v>FLOC-0166</x:v>
      </x:c>
      <x:c r="B308" s="12" t="str">
        <x:v>SK Kampung Maju Jaya</x:v>
      </x:c>
      <x:c r="C308" s="12" t="str">
        <x:v>DG-JB-20240104-20240113</x:v>
      </x:c>
      <x:c r="D308" s="18" t="n">
        <x:v>45298</x:v>
      </x:c>
      <x:c r="E308" s="18" t="n">
        <x:v>45298</x:v>
      </x:c>
      <x:c r="F308" s="12" t="n">
        <x:v>2024</x:v>
      </x:c>
      <x:c r="G308" s="12" t="str">
        <x:v>EVT-JB-2024-010</x:v>
      </x:c>
      <x:c r="H308" s="12" t="str">
        <x:v>SK Kampung Maju Jaya</x:v>
      </x:c>
      <x:c r="I308" s="12" t="str">
        <x:v>https://www.sinarharian.com.my/article/643153/edisi/johor/murid-cemas-sekolah-dilanda-banjir
https://berita.rtm.gov.my/nasional/senarai-berita-nasional/senarai-artikel/banjir-tiga-sekolah-di-johor-bahru-ditutup/</x:v>
      </x:c>
    </x:row>
    <x:row r="309">
      <x:c r="A309" s="12" t="str">
        <x:v>FLOC-0166</x:v>
      </x:c>
      <x:c r="B309" s="12" t="str">
        <x:v>SK Kampung Maju Jaya</x:v>
      </x:c>
      <x:c r="C309" s="12" t="str">
        <x:v>DG-JB-20250319-20250324</x:v>
      </x:c>
      <x:c r="D309" s="18" t="n">
        <x:v>45736</x:v>
      </x:c>
      <x:c r="E309" s="18" t="n">
        <x:v>45736</x:v>
      </x:c>
      <x:c r="F309" s="12" t="n">
        <x:v>2025</x:v>
      </x:c>
      <x:c r="G309" s="12" t="str">
        <x:v>EVT-JB-2025-023</x:v>
      </x:c>
      <x:c r="H309" s="12" t="str">
        <x:v>SK Kampung Maju Jaya</x:v>
      </x:c>
      <x:c r="I309" s="12" t="str">
        <x:v>https://www.bernama.com/bm/news.php?id=2404303</x:v>
      </x:c>
    </x:row>
    <x:row r="310">
      <x:c r="A310" s="12" t="str">
        <x:v>FLOC-0167</x:v>
      </x:c>
      <x:c r="B310" s="12" t="str">
        <x:v>SK Sungai Tiram</x:v>
      </x:c>
      <x:c r="C310" s="12" t="str">
        <x:v>DG-JB-20240104-20240113</x:v>
      </x:c>
      <x:c r="D310" s="18" t="n">
        <x:v>45298</x:v>
      </x:c>
      <x:c r="E310" s="18" t="n">
        <x:v>45298</x:v>
      </x:c>
      <x:c r="F310" s="12" t="n">
        <x:v>2024</x:v>
      </x:c>
      <x:c r="G310" s="12" t="str">
        <x:v>EVT-JB-2024-012</x:v>
      </x:c>
      <x:c r="H310" s="12" t="str">
        <x:v>SK Sungai Tiram</x:v>
      </x:c>
      <x:c r="I310" s="12" t="str">
        <x:v>https://berita.rtm.gov.my/nasional/senarai-berita-nasional/senarai-artikel/banjir-tiga-sekolah-di-johor-bahru-ditutup/</x:v>
      </x:c>
    </x:row>
    <x:row r="311">
      <x:c r="A311" s="12" t="str">
        <x:v>FLOC-0168</x:v>
      </x:c>
      <x:c r="B311" s="12" t="str">
        <x:v>SK Taman Tampoi Utama</x:v>
      </x:c>
      <x:c r="C311" s="12" t="str">
        <x:v>DG-JB-20250319-20250324</x:v>
      </x:c>
      <x:c r="D311" s="18" t="n">
        <x:v>45736</x:v>
      </x:c>
      <x:c r="E311" s="18" t="n">
        <x:v>45736</x:v>
      </x:c>
      <x:c r="F311" s="12" t="n">
        <x:v>2025</x:v>
      </x:c>
      <x:c r="G311" s="12" t="str">
        <x:v>EVT-JB-2025-024</x:v>
      </x:c>
      <x:c r="H311" s="12" t="str">
        <x:v>SK Taman Tampoi Utama</x:v>
      </x:c>
      <x:c r="I311" s="12" t="str">
        <x:v>https://www.apac.com.my/jba1123-sk-taman-tampoi-utama.html</x:v>
      </x:c>
    </x:row>
    <x:row r="312">
      <x:c r="A312" s="12" t="str">
        <x:v>FLOC-0169</x:v>
      </x:c>
      <x:c r="B312" s="12" t="str">
        <x:v>Sungai Tiram PPS catchment</x:v>
      </x:c>
      <x:c r="C312" s="12" t="str">
        <x:v>DG-JB-20220102-20220103</x:v>
      </x:c>
      <x:c r="D312" s="18" t="n">
        <x:v>44564</x:v>
      </x:c>
      <x:c r="E312" s="18" t="n">
        <x:v>44564</x:v>
      </x:c>
      <x:c r="F312" s="12" t="n">
        <x:v>2022</x:v>
      </x:c>
      <x:c r="G312" s="12" t="str">
        <x:v>EVT-JB-2022-001</x:v>
      </x:c>
      <x:c r="H312" s="12" t="str">
        <x:v>Dewanraya Sungai Tiram / Sungai Tiram</x:v>
      </x:c>
      <x:c r="I312" s="12" t="str">
        <x:v>https://berita.rtm.gov.my/nasional/senarai-berita-nasional/senarai-artikel/perkembangan-banjir-di-johor
https://www.water.gov.my/jps/resources/Anual%20Flood%20Reporting%20/LBT_2022.pdf</x:v>
      </x:c>
    </x:row>
    <x:row r="313">
      <x:c r="A313" s="12" t="str">
        <x:v>FLOC-0170</x:v>
      </x:c>
      <x:c r="B313" s="12" t="str">
        <x:v>Tabika Kemas, Skudai Kiri</x:v>
      </x:c>
      <x:c r="C313" s="12" t="str">
        <x:v>DG-JB-20220925</x:v>
      </x:c>
      <x:c r="D313" s="18" t="n">
        <x:v>44829</x:v>
      </x:c>
      <x:c r="E313" s="18" t="n">
        <x:v>44829</x:v>
      </x:c>
      <x:c r="F313" s="12" t="n">
        <x:v>2022</x:v>
      </x:c>
      <x:c r="G313" s="12" t="str">
        <x:v>EVT-JB-2022-029</x:v>
      </x:c>
      <x:c r="H313" s="12" t="str">
        <x:v>Tabika Kemas, Skudai Kiri</x:v>
      </x:c>
      <x:c r="I313" s="12" t="str">
        <x:v>https://www.utusan.com.my/berita/2022/09/10-kawasan-di-johor-bahru-dilanda-banjir-kilat/
https://www.bharian.com.my/</x:v>
      </x:c>
    </x:row>
    <x:row r="314">
      <x:c r="A314" s="12" t="str">
        <x:v>FLOC-0171</x:v>
      </x:c>
      <x:c r="B314" s="12" t="str">
        <x:v>Tadika &amp; Taska Umiku Sayang, Jalan Mohd Amin</x:v>
      </x:c>
      <x:c r="C314" s="12" t="str">
        <x:v>DG-JB-20260930</x:v>
      </x:c>
      <x:c r="D314" s="18" t="n">
        <x:v>46295</x:v>
      </x:c>
      <x:c r="E314" s="18" t="n">
        <x:v>46295</x:v>
      </x:c>
      <x:c r="F314" s="12" t="n">
        <x:v>2026</x:v>
      </x:c>
      <x:c r="G314" s="12" t="str">
        <x:v>EVT-JB-2026-014</x:v>
      </x:c>
      <x:c r="H314" s="12" t="str">
        <x:v>Tadika &amp; Taska Umiku Sayang, Jalan Mohd Amin</x:v>
      </x:c>
      <x:c r="I314" s="12" t="str">
        <x:v>https://www.sinarharian.com.my/article/798515/edisi/johor/37-kanak-kanak-7-guru-tadika-terperangkap-banjir-kilat
https://www.malaymail.com/news/malaysia/2026/09/30/in-johor-bahru-firemen-rescue-44-pupils-and-teachers-in-kindergarten-trapped-by-flash-flood-probably-press-release/237174</x:v>
      </x:c>
    </x:row>
    <x:row r="315">
      <x:c r="A315" s="12" t="str">
        <x:v>FLOC-0172</x:v>
      </x:c>
      <x:c r="B315" s="12" t="str">
        <x:v>Taman Abad</x:v>
      </x:c>
      <x:c r="C315" s="12" t="str">
        <x:v>DG-JB-20231206</x:v>
      </x:c>
      <x:c r="D315" s="18" t="n">
        <x:v>45266</x:v>
      </x:c>
      <x:c r="E315" s="18" t="n">
        <x:v>45266</x:v>
      </x:c>
      <x:c r="F315" s="12" t="n">
        <x:v>2023</x:v>
      </x:c>
      <x:c r="G315" s="12" t="str">
        <x:v>EVT-JB-2023-050</x:v>
      </x:c>
      <x:c r="H315" s="12" t="str">
        <x:v>Taman Abad</x:v>
      </x:c>
      <x:c r="I315" s="12" t="str">
        <x:v>https://www.utusan.com.my/berita/2023/12/hujan-lebat-lebih-tiga-jam-sebabkan-banjir-kilat/</x:v>
      </x:c>
    </x:row>
    <x:row r="316">
      <x:c r="A316" s="12" t="str">
        <x:v>FLOC-0173</x:v>
      </x:c>
      <x:c r="B316" s="12" t="str">
        <x:v>Taman Bunga Ros</x:v>
      </x:c>
      <x:c r="C316" s="12" t="str">
        <x:v>DG-JB-20231201</x:v>
      </x:c>
      <x:c r="D316" s="18" t="n">
        <x:v>45261</x:v>
      </x:c>
      <x:c r="E316" s="18" t="n">
        <x:v>45261</x:v>
      </x:c>
      <x:c r="F316" s="12" t="n">
        <x:v>2023</x:v>
      </x:c>
      <x:c r="G316" s="12" t="str">
        <x:v>EVT-JB-2023-020</x:v>
      </x:c>
      <x:c r="H316" s="12" t="str">
        <x:v>Taman Bunga Ros</x:v>
      </x:c>
      <x:c r="I316" s="12" t="str">
        <x:v>https://berita.rtm.gov.my/nasional/senarai-berita-nasional/senarai-artikel/banjir-di-johor-463-penduduk-terjejas-banjir-tak-sempat-kemas-barang-air-naik-mendadak/
https://www.rmp.gov.my/arkib-berita/berita/2023/12/01/opbanjir-pdrm-bersama-jbpm-pindahkan-warga-kampung-terjejas-banjir-ke-pps</x:v>
      </x:c>
    </x:row>
    <x:row r="317">
      <x:c r="A317" s="12" t="str">
        <x:v>FLOC-0174</x:v>
      </x:c>
      <x:c r="B317" s="12" t="str">
        <x:v>Taman Damai Jaya</x:v>
      </x:c>
      <x:c r="C317" s="12" t="str">
        <x:v>DG-JB-20181022</x:v>
      </x:c>
      <x:c r="D317" s="18" t="n">
        <x:v>43395</x:v>
      </x:c>
      <x:c r="E317" s="18" t="n">
        <x:v>43395</x:v>
      </x:c>
      <x:c r="F317" s="12" t="n">
        <x:v>2018</x:v>
      </x:c>
      <x:c r="G317" s="12" t="str">
        <x:v>EVT-JB-20181022-TAMAN-DAMAI-JAYA-SKUDAI</x:v>
      </x:c>
      <x:c r="H317" s="12" t="str">
        <x:v>Taman Damai Jaya, Skudai</x:v>
      </x:c>
      <x:c r="I317" s="12" t="str">
        <x:v>https://bangi.pulasan.my/_media/lampiran/lbt2018_2019.pdf</x:v>
      </x:c>
    </x:row>
    <x:row r="318">
      <x:c r="A318" s="12" t="str">
        <x:v>FLOC-0174</x:v>
      </x:c>
      <x:c r="B318" s="12" t="str">
        <x:v>Taman Damai Jaya</x:v>
      </x:c>
      <x:c r="C318" s="12" t="str">
        <x:v>DG-JB-20200705</x:v>
      </x:c>
      <x:c r="D318" s="18" t="n">
        <x:v>44017</x:v>
      </x:c>
      <x:c r="E318" s="18" t="n">
        <x:v>44017</x:v>
      </x:c>
      <x:c r="F318" s="12" t="n">
        <x:v>2020</x:v>
      </x:c>
      <x:c r="G318" s="12" t="str">
        <x:v>EVT-JB-20200705-TAMAN-DAMAI-JAYA</x:v>
      </x:c>
      <x:c r="H318" s="12" t="str">
        <x:v>Taman Damai Jaya</x:v>
      </x:c>
      <x:c r="I318" s="12" t="str">
        <x:v>https://bangi.pulasan.my/_media/lampiran/lbt2020.pdf</x:v>
      </x:c>
    </x:row>
    <x:row r="319">
      <x:c r="A319" s="12" t="str">
        <x:v>FLOC-0175</x:v>
      </x:c>
      <x:c r="B319" s="12" t="str">
        <x:v>Taman Dato Syed Mohammad Idrus</x:v>
      </x:c>
      <x:c r="C319" s="12" t="str">
        <x:v>DG-JB-20200620</x:v>
      </x:c>
      <x:c r="D319" s="18" t="n">
        <x:v>44002</x:v>
      </x:c>
      <x:c r="E319" s="18" t="n">
        <x:v>44002</x:v>
      </x:c>
      <x:c r="F319" s="12" t="n">
        <x:v>2020</x:v>
      </x:c>
      <x:c r="G319" s="12" t="str">
        <x:v>EVT-JB-20200620-TAMAN-SYED-IDRUS</x:v>
      </x:c>
      <x:c r="H319" s="12" t="str">
        <x:v>Taman Syed Idrus</x:v>
      </x:c>
      <x:c r="I319" s="12" t="str">
        <x:v>https://bangi.pulasan.my/_media/lampiran/lbt2020.pdf</x:v>
      </x:c>
    </x:row>
    <x:row r="320">
      <x:c r="A320" s="12" t="str">
        <x:v>FLOC-0177</x:v>
      </x:c>
      <x:c r="B320" s="12" t="str">
        <x:v>Taman Desa Mutiara</x:v>
      </x:c>
      <x:c r="C320" s="12" t="str">
        <x:v>DG-JB-20250319-20250324</x:v>
      </x:c>
      <x:c r="D320" s="18" t="n">
        <x:v>45736</x:v>
      </x:c>
      <x:c r="E320" s="18" t="n">
        <x:v>45736</x:v>
      </x:c>
      <x:c r="F320" s="12" t="n">
        <x:v>2025</x:v>
      </x:c>
      <x:c r="G320" s="12" t="str">
        <x:v>EVT-JB-2025-014</x:v>
      </x:c>
      <x:c r="H320" s="12" t="str">
        <x:v>Taman Desa Mutiara</x:v>
      </x:c>
      <x:c r="I320" s="12" t="str">
        <x:v>https://www.nadma.gov.my/bi/media-en/news/3415-banjir-terburuk-dalam-tempoh-30-tahun-datuk-bandar-mbjb
https://www.nadma.gov.my/bm/media-2/berita/3317-econsave-hulur-bantuan-kepada-mangsa-banjir-di-johor-bahru</x:v>
      </x:c>
    </x:row>
    <x:row r="321">
      <x:c r="A321" s="12" t="str">
        <x:v>FLOC-0178</x:v>
      </x:c>
      <x:c r="B321" s="12" t="str">
        <x:v>Taman Istimewa</x:v>
      </x:c>
      <x:c r="C321" s="12" t="str">
        <x:v>DG-JB-20190217</x:v>
      </x:c>
      <x:c r="D321" s="18" t="n">
        <x:v>43513</x:v>
      </x:c>
      <x:c r="E321" s="18" t="n">
        <x:v>43513</x:v>
      </x:c>
      <x:c r="F321" s="12" t="n">
        <x:v>2019</x:v>
      </x:c>
      <x:c r="G321" s="12" t="str">
        <x:v>EVT-JB-20190217-TAMAN-ISTIMEWA-PANDAN</x:v>
      </x:c>
      <x:c r="H321" s="12" t="str">
        <x:v>Taman Istimewa, Pandan</x:v>
      </x:c>
      <x:c r="I321" s="12" t="str">
        <x:v>https://www.scribd.com/document/975564939/JPS2019</x:v>
      </x:c>
    </x:row>
    <x:row r="322">
      <x:c r="A322" s="12" t="str">
        <x:v>FLOC-0179</x:v>
      </x:c>
      <x:c r="B322" s="12" t="str">
        <x:v>Taman Johor Jaya</x:v>
      </x:c>
      <x:c r="C322" s="12" t="str">
        <x:v>DG-JB-20210930</x:v>
      </x:c>
      <x:c r="D322" s="18" t="n">
        <x:v>44469</x:v>
      </x:c>
      <x:c r="E322" s="18" t="n">
        <x:v>44469</x:v>
      </x:c>
      <x:c r="F322" s="12" t="n">
        <x:v>2021</x:v>
      </x:c>
      <x:c r="G322" s="12" t="str">
        <x:v>EVT-JB-2021-037</x:v>
      </x:c>
      <x:c r="H322" s="12" t="str">
        <x:v>Taman Johor Jaya</x:v>
      </x:c>
      <x:c r="I322" s="12" t="str">
        <x:v>https://www.sinarharian.com.my/article/164321/EDISI/Beberapa-kawasan-di-Johor-Bahru-dilanda-banjir-kilat</x:v>
      </x:c>
    </x:row>
    <x:row r="323">
      <x:c r="A323" s="12" t="str">
        <x:v>FLOC-0180</x:v>
      </x:c>
      <x:c r="B323" s="12" t="str">
        <x:v>Taman Kolam Air</x:v>
      </x:c>
      <x:c r="C323" s="12" t="str">
        <x:v>DG-JB-20210930</x:v>
      </x:c>
      <x:c r="D323" s="18" t="n">
        <x:v>44469</x:v>
      </x:c>
      <x:c r="E323" s="18" t="n">
        <x:v>44469</x:v>
      </x:c>
      <x:c r="F323" s="12" t="n">
        <x:v>2021</x:v>
      </x:c>
      <x:c r="G323" s="12" t="str">
        <x:v>EVT-JB-2021-039</x:v>
      </x:c>
      <x:c r="H323" s="12" t="str">
        <x:v>Kolam Air</x:v>
      </x:c>
      <x:c r="I323" s="12" t="str">
        <x:v>https://www.sinarharian.com.my/article/164321/EDISI/Beberapa-kawasan-di-Johor-Bahru-dilanda-banjir-kilat</x:v>
      </x:c>
    </x:row>
    <x:row r="324">
      <x:c r="A324" s="12" t="str">
        <x:v>FLOC-0180</x:v>
      </x:c>
      <x:c r="B324" s="12" t="str">
        <x:v>Taman Kolam Air</x:v>
      </x:c>
      <x:c r="C324" s="12" t="str">
        <x:v>DG-JB-20260930</x:v>
      </x:c>
      <x:c r="D324" s="18" t="n">
        <x:v>46295</x:v>
      </x:c>
      <x:c r="E324" s="18" t="n">
        <x:v>46295</x:v>
      </x:c>
      <x:c r="F324" s="12" t="n">
        <x:v>2026</x:v>
      </x:c>
      <x:c r="G324" s="12" t="str">
        <x:v>EVT-JB-2026-021</x:v>
      </x:c>
      <x:c r="H324" s="12" t="str">
        <x:v>Taman Kolam Air</x:v>
      </x:c>
      <x:c r="I324" s="12" t="str">
        <x:v>https://malaysiagazette.com/2026/09/30/bandaraya-jb-dilanda-banjir-kilat/</x:v>
      </x:c>
    </x:row>
    <x:row r="325">
      <x:c r="A325" s="12" t="str">
        <x:v>FLOC-0181</x:v>
      </x:c>
      <x:c r="B325" s="12" t="str">
        <x:v>Taman Mawar</x:v>
      </x:c>
      <x:c r="C325" s="12" t="str">
        <x:v>DG-JB-20210712</x:v>
      </x:c>
      <x:c r="D325" s="18" t="n">
        <x:v>44389</x:v>
      </x:c>
      <x:c r="E325" s="18" t="n">
        <x:v>44389</x:v>
      </x:c>
      <x:c r="F325" s="12" t="n">
        <x:v>2021</x:v>
      </x:c>
      <x:c r="G325" s="12" t="str">
        <x:v>EVT-JB-2021-025</x:v>
      </x:c>
      <x:c r="H325" s="12" t="str">
        <x:v>Taman Mawar</x:v>
      </x:c>
      <x:c r="I325" s="12" t="str">
        <x:v>https://www.umnopg.com.my/2021/07/14/sungai-masai-perlukan-segera-kerja-kerja-tebatan-banjir/</x:v>
      </x:c>
    </x:row>
    <x:row r="326">
      <x:c r="A326" s="12" t="str">
        <x:v>FLOC-0182</x:v>
      </x:c>
      <x:c r="B326" s="12" t="str">
        <x:v>Taman Melodies</x:v>
      </x:c>
      <x:c r="C326" s="12" t="str">
        <x:v>DG-JB-20221107</x:v>
      </x:c>
      <x:c r="D326" s="18" t="n">
        <x:v>44872</x:v>
      </x:c>
      <x:c r="E326" s="18" t="n">
        <x:v>44872</x:v>
      </x:c>
      <x:c r="F326" s="12" t="n">
        <x:v>2022</x:v>
      </x:c>
      <x:c r="G326" s="12" t="str">
        <x:v>EVT-JB-2022-041</x:v>
      </x:c>
      <x:c r="H326" s="12" t="str">
        <x:v>Taman Melodies</x:v>
      </x:c>
      <x:c r="I326" s="12" t="str">
        <x:v>https://mediadigitaljohor.gov.my/mb-johor-melawat-kawasan-terkesan-banjir-kilat/</x:v>
      </x:c>
    </x:row>
    <x:row r="327">
      <x:c r="A327" s="12" t="str">
        <x:v>FLOC-0182</x:v>
      </x:c>
      <x:c r="B327" s="12" t="str">
        <x:v>Taman Melodies</x:v>
      </x:c>
      <x:c r="C327" s="12" t="str">
        <x:v>DG-JB-20231206</x:v>
      </x:c>
      <x:c r="D327" s="18" t="n">
        <x:v>45266</x:v>
      </x:c>
      <x:c r="E327" s="18" t="n">
        <x:v>45266</x:v>
      </x:c>
      <x:c r="F327" s="12" t="n">
        <x:v>2023</x:v>
      </x:c>
      <x:c r="G327" s="12" t="str">
        <x:v>EVT-JB-2023-048</x:v>
      </x:c>
      <x:c r="H327" s="12" t="str">
        <x:v>Taman Melodies</x:v>
      </x:c>
      <x:c r="I327" s="12" t="str">
        <x:v>https://mediadigitaljohor.gov.my/banjir-kilat-bomba-apm-mbjb-bertindak-proaktif/</x:v>
      </x:c>
    </x:row>
    <x:row r="328">
      <x:c r="A328" s="12" t="str">
        <x:v>FLOC-0183</x:v>
      </x:c>
      <x:c r="B328" s="12" t="str">
        <x:v>Taman Nong Chik</x:v>
      </x:c>
      <x:c r="C328" s="12" t="str">
        <x:v>DG-JB-20231206</x:v>
      </x:c>
      <x:c r="D328" s="18" t="n">
        <x:v>45266</x:v>
      </x:c>
      <x:c r="E328" s="18" t="n">
        <x:v>45266</x:v>
      </x:c>
      <x:c r="F328" s="12" t="n">
        <x:v>2023</x:v>
      </x:c>
      <x:c r="G328" s="12" t="str">
        <x:v>EVT-JB-2023-046</x:v>
      </x:c>
      <x:c r="H328" s="12" t="str">
        <x:v>Nong Chik</x:v>
      </x:c>
      <x:c r="I328" s="12" t="str">
        <x:v>https://mediadigitaljohor.gov.my/banjir-kilat-bomba-apm-mbjb-bertindak-proaktif/</x:v>
      </x:c>
    </x:row>
    <x:row r="329">
      <x:c r="A329" s="12" t="str">
        <x:v>FLOC-0183</x:v>
      </x:c>
      <x:c r="B329" s="12" t="str">
        <x:v>Taman Nong Chik</x:v>
      </x:c>
      <x:c r="C329" s="12" t="str">
        <x:v>DG-JB-20251212</x:v>
      </x:c>
      <x:c r="D329" s="18" t="n">
        <x:v>46003</x:v>
      </x:c>
      <x:c r="E329" s="18" t="n">
        <x:v>46003</x:v>
      </x:c>
      <x:c r="F329" s="12" t="n">
        <x:v>2025</x:v>
      </x:c>
      <x:c r="G329" s="12" t="str">
        <x:v>EVT-JB-2025-039</x:v>
      </x:c>
      <x:c r="H329" s="12" t="str">
        <x:v>Nong Chik</x:v>
      </x:c>
      <x:c r="I329" s="12" t="str">
        <x:v>https://www.sinarharian.com.my/article/760321/edisi/johor/banjir-kilat-bumbung-pentas-runtuh-pokok-tumbang-di-johor-bahru</x:v>
      </x:c>
    </x:row>
    <x:row r="330">
      <x:c r="A330" s="12" t="str">
        <x:v>FLOC-0184</x:v>
      </x:c>
      <x:c r="B330" s="12" t="str">
        <x:v>Taman Nusa Bayu</x:v>
      </x:c>
      <x:c r="C330" s="12" t="str">
        <x:v>DG-JB-20191022</x:v>
      </x:c>
      <x:c r="D330" s="18" t="n">
        <x:v>43760</x:v>
      </x:c>
      <x:c r="E330" s="18" t="n">
        <x:v>43760</x:v>
      </x:c>
      <x:c r="F330" s="12" t="n">
        <x:v>2019</x:v>
      </x:c>
      <x:c r="G330" s="12" t="str">
        <x:v>EVT-JB-20191022-TAMAN-NUSA-BAYU</x:v>
      </x:c>
      <x:c r="H330" s="12" t="str">
        <x:v>Taman Nusa Bayu</x:v>
      </x:c>
      <x:c r="I330" s="12" t="str">
        <x:v>https://www.scribd.com/document/975564939/JPS2019</x:v>
      </x:c>
    </x:row>
    <x:row r="331">
      <x:c r="A331" s="12" t="str">
        <x:v>FLOC-0185</x:v>
      </x:c>
      <x:c r="B331" s="12" t="str">
        <x:v>Taman Nusantara Prima</x:v>
      </x:c>
      <x:c r="C331" s="12" t="str">
        <x:v>DG-JB-20191022</x:v>
      </x:c>
      <x:c r="D331" s="18" t="n">
        <x:v>43760</x:v>
      </x:c>
      <x:c r="E331" s="18" t="n">
        <x:v>43760</x:v>
      </x:c>
      <x:c r="F331" s="12" t="n">
        <x:v>2019</x:v>
      </x:c>
      <x:c r="G331" s="12" t="str">
        <x:v>EVT-JB-20191022-TAMAN-NUSA-PRIMA</x:v>
      </x:c>
      <x:c r="H331" s="12" t="str">
        <x:v>Taman Nusa Prima</x:v>
      </x:c>
      <x:c r="I331" s="12" t="str">
        <x:v>https://www.scribd.com/document/975564939/JPS2019</x:v>
      </x:c>
    </x:row>
    <x:row r="332">
      <x:c r="A332" s="12" t="str">
        <x:v>FLOC-0186</x:v>
      </x:c>
      <x:c r="B332" s="12" t="str">
        <x:v>Taman Pasir Putih</x:v>
      </x:c>
      <x:c r="C332" s="12" t="str">
        <x:v>DG-JB-20210902-MASAI</x:v>
      </x:c>
      <x:c r="D332" s="18" t="n">
        <x:v>44441</x:v>
      </x:c>
      <x:c r="E332" s="18" t="n">
        <x:v>44441</x:v>
      </x:c>
      <x:c r="F332" s="12" t="n">
        <x:v>2021</x:v>
      </x:c>
      <x:c r="G332" s="12" t="str">
        <x:v>EVT-JB-2021-030</x:v>
      </x:c>
      <x:c r="H332" s="12" t="str">
        <x:v>Taman Pasir Putih</x:v>
      </x:c>
      <x:c r="I332" s="12" t="str">
        <x:v>https://www.utusan.com.my/terkini/2021/09/100-rumah-dinaiki-air-akibat-banjir-kilat/</x:v>
      </x:c>
    </x:row>
    <x:row r="333">
      <x:c r="A333" s="12" t="str">
        <x:v>FLOC-0187</x:v>
      </x:c>
      <x:c r="B333" s="12" t="str">
        <x:v>Taman Pelangi</x:v>
      </x:c>
      <x:c r="C333" s="12" t="str">
        <x:v>DG-JB-20251212</x:v>
      </x:c>
      <x:c r="D333" s="18" t="n">
        <x:v>46003</x:v>
      </x:c>
      <x:c r="E333" s="18" t="n">
        <x:v>46003</x:v>
      </x:c>
      <x:c r="F333" s="12" t="n">
        <x:v>2025</x:v>
      </x:c>
      <x:c r="G333" s="12" t="str">
        <x:v>EVT-JB-2025-046</x:v>
      </x:c>
      <x:c r="H333" s="12" t="str">
        <x:v>Taman Pelangi</x:v>
      </x:c>
      <x:c r="I333" s="12" t="str">
        <x:v>https://www.kosmo.com.my/2025/12/12/video-hujan-lebat-lebih-2-jam-johor-bahru-dilanda-banjir-kilat/</x:v>
      </x:c>
    </x:row>
    <x:row r="334">
      <x:c r="A334" s="12" t="str">
        <x:v>FLOC-0188</x:v>
      </x:c>
      <x:c r="B334" s="12" t="str">
        <x:v>Taman Perling</x:v>
      </x:c>
      <x:c r="C334" s="12" t="str">
        <x:v>DG-JB-20260930</x:v>
      </x:c>
      <x:c r="D334" s="18" t="n">
        <x:v>46295</x:v>
      </x:c>
      <x:c r="E334" s="18" t="n">
        <x:v>46295</x:v>
      </x:c>
      <x:c r="F334" s="12" t="n">
        <x:v>2026</x:v>
      </x:c>
      <x:c r="G334" s="12" t="str">
        <x:v>EVT-JB-2026-008</x:v>
      </x:c>
      <x:c r="H334" s="12" t="str">
        <x:v>Taman Perling</x:v>
      </x:c>
      <x:c r="I334" s="12" t="str">
        <x:v>https://www.utusan.com.my/terkini/2026/09/beberapa-kawasan-di-johor-bahru-dinaiki-air-susulan-hujan-lebat/
https://www.malaymail.com/news/malaysia/2026/09/30/several-areas-in-johor-bahru-hit-by-flash-floods-following-heavy-rain-video/237172</x:v>
      </x:c>
    </x:row>
    <x:row r="335">
      <x:c r="A335" s="12" t="str">
        <x:v>FLOC-0189</x:v>
      </x:c>
      <x:c r="B335" s="12" t="str">
        <x:v>Taman Rinting</x:v>
      </x:c>
      <x:c r="C335" s="12" t="str">
        <x:v>DG-JB-20210712</x:v>
      </x:c>
      <x:c r="D335" s="18" t="n">
        <x:v>44389</x:v>
      </x:c>
      <x:c r="E335" s="18" t="n">
        <x:v>44389</x:v>
      </x:c>
      <x:c r="F335" s="12" t="n">
        <x:v>2021</x:v>
      </x:c>
      <x:c r="G335" s="12" t="str">
        <x:v>EVT-JB-2021-026</x:v>
      </x:c>
      <x:c r="H335" s="12" t="str">
        <x:v>Taman Rinting</x:v>
      </x:c>
      <x:c r="I335" s="12" t="str">
        <x:v>https://www.umnopg.com.my/2021/07/14/sungai-masai-perlukan-segera-kerja-kerja-tebatan-banjir/</x:v>
      </x:c>
    </x:row>
    <x:row r="336">
      <x:c r="A336" s="12" t="str">
        <x:v>FLOC-0190</x:v>
      </x:c>
      <x:c r="B336" s="12" t="str">
        <x:v>Taman Setia Indah</x:v>
      </x:c>
      <x:c r="C336" s="12" t="str">
        <x:v>DG-JB-20191022</x:v>
      </x:c>
      <x:c r="D336" s="18" t="n">
        <x:v>43760</x:v>
      </x:c>
      <x:c r="E336" s="18" t="n">
        <x:v>43760</x:v>
      </x:c>
      <x:c r="F336" s="12" t="n">
        <x:v>2019</x:v>
      </x:c>
      <x:c r="G336" s="12" t="str">
        <x:v>EVT-JB-20191022-TAMAN-SETIA-INDAH</x:v>
      </x:c>
      <x:c r="H336" s="12" t="str">
        <x:v>Taman Setia Indah</x:v>
      </x:c>
      <x:c r="I336" s="12" t="str">
        <x:v>https://www.scribd.com/document/975564939/JPS2019</x:v>
      </x:c>
    </x:row>
    <x:row r="337">
      <x:c r="A337" s="12" t="str">
        <x:v>FLOC-0190</x:v>
      </x:c>
      <x:c r="B337" s="12" t="str">
        <x:v>Taman Setia Indah</x:v>
      </x:c>
      <x:c r="C337" s="12" t="str">
        <x:v>DG-JB-20240104-20240113</x:v>
      </x:c>
      <x:c r="D337" s="18" t="n">
        <x:v>45302</x:v>
      </x:c>
      <x:c r="E337" s="18" t="n">
        <x:v>45302</x:v>
      </x:c>
      <x:c r="F337" s="12" t="n">
        <x:v>2024</x:v>
      </x:c>
      <x:c r="G337" s="12" t="str">
        <x:v>EVT-JB-2024-014</x:v>
      </x:c>
      <x:c r="H337" s="12" t="str">
        <x:v>Setia Indah</x:v>
      </x:c>
      <x:c r="I337" s="12" t="str">
        <x:v>https://www.nadma.gov.my/images/2024/File/SITREP/SITREP_11_Januari_2024.pdf</x:v>
      </x:c>
    </x:row>
    <x:row r="338">
      <x:c r="A338" s="12" t="str">
        <x:v>FLOC-0191</x:v>
      </x:c>
      <x:c r="B338" s="12" t="str">
        <x:v>Taman Skudai Baru</x:v>
      </x:c>
      <x:c r="C338" s="12" t="str">
        <x:v>DG-JB-20210930</x:v>
      </x:c>
      <x:c r="D338" s="18" t="n">
        <x:v>44469</x:v>
      </x:c>
      <x:c r="E338" s="18" t="n">
        <x:v>44469</x:v>
      </x:c>
      <x:c r="F338" s="12" t="n">
        <x:v>2021</x:v>
      </x:c>
      <x:c r="G338" s="12" t="str">
        <x:v>EVT-JB-2021-036</x:v>
      </x:c>
      <x:c r="H338" s="12" t="str">
        <x:v>Taman Skudai Baru</x:v>
      </x:c>
      <x:c r="I338" s="12" t="str">
        <x:v>https://www.sinarharian.com.my/article/164321/EDISI/Beberapa-kawasan-di-Johor-Bahru-dilanda-banjir-kilat</x:v>
      </x:c>
    </x:row>
    <x:row r="339">
      <x:c r="A339" s="12" t="str">
        <x:v>FLOC-0192</x:v>
      </x:c>
      <x:c r="B339" s="12" t="str">
        <x:v>Taman Sri Bahagia</x:v>
      </x:c>
      <x:c r="C339" s="12" t="str">
        <x:v>DG-JB-20230214</x:v>
      </x:c>
      <x:c r="D339" s="18" t="n">
        <x:v>44971</x:v>
      </x:c>
      <x:c r="E339" s="18" t="n">
        <x:v>44971</x:v>
      </x:c>
      <x:c r="F339" s="12" t="n">
        <x:v>2023</x:v>
      </x:c>
      <x:c r="G339" s="12" t="str">
        <x:v>EVT-JB-2023-003</x:v>
      </x:c>
      <x:c r="H339" s="12" t="str">
        <x:v>Taman Sri Bahagia</x:v>
      </x:c>
      <x:c r="I339" s="12" t="str">
        <x:v>https://www.sinarharian.com.my/article/245217/edisi/johor/johor-bahru-dilanda-banjir-kilat</x:v>
      </x:c>
    </x:row>
    <x:row r="340">
      <x:c r="A340" s="12" t="str">
        <x:v>FLOC-0193</x:v>
      </x:c>
      <x:c r="B340" s="12" t="str">
        <x:v>Taman Tampoi Indah</x:v>
      </x:c>
      <x:c r="C340" s="12" t="str">
        <x:v>DG-JB-20250319-20250324</x:v>
      </x:c>
      <x:c r="D340" s="18" t="n">
        <x:v>45736</x:v>
      </x:c>
      <x:c r="E340" s="18" t="n">
        <x:v>45736</x:v>
      </x:c>
      <x:c r="F340" s="12" t="n">
        <x:v>2025</x:v>
      </x:c>
      <x:c r="G340" s="12" t="str">
        <x:v>EVT-JB-2025-019</x:v>
      </x:c>
      <x:c r="H340" s="12" t="str">
        <x:v>Taman Tampoi Indah</x:v>
      </x:c>
      <x:c r="I340" s="12" t="str">
        <x:v>https://www.nadma.gov.my/bi/media-en/news/3415-banjir-terburuk-dalam-tempoh-30-tahun-datuk-bandar-mbjb
https://www.nadma.gov.my/bm/media-2/berita/3380-berulang-alik-lebih-30-kali-selamatkan-murid-terkandas-akibat-banjir</x:v>
      </x:c>
    </x:row>
    <x:row r="341">
      <x:c r="A341" s="12" t="str">
        <x:v>FLOC-0194</x:v>
      </x:c>
      <x:c r="B341" s="12" t="str">
        <x:v>Taman Tampoi Utama</x:v>
      </x:c>
      <x:c r="C341" s="12" t="str">
        <x:v>DG-JB-20201121</x:v>
      </x:c>
      <x:c r="D341" s="18" t="n">
        <x:v>44156</x:v>
      </x:c>
      <x:c r="E341" s="18" t="n">
        <x:v>44156</x:v>
      </x:c>
      <x:c r="F341" s="12" t="n">
        <x:v>2020</x:v>
      </x:c>
      <x:c r="G341" s="12" t="str">
        <x:v>EVT-JB-20201121-TAMAN-TAMPOI-UTAMA</x:v>
      </x:c>
      <x:c r="H341" s="12" t="str">
        <x:v>Taman Tampoi Utama</x:v>
      </x:c>
      <x:c r="I341" s="12" t="str">
        <x:v>https://www.sinarharian.com.my/article/111426/edisi/johor/banjir-di-kampung-pasir-tampoi-kedua-terburuk-selepas-2006</x:v>
      </x:c>
    </x:row>
    <x:row r="342">
      <x:c r="A342" s="12" t="str">
        <x:v>FLOC-0194</x:v>
      </x:c>
      <x:c r="B342" s="12" t="str">
        <x:v>Taman Tampoi Utama</x:v>
      </x:c>
      <x:c r="C342" s="12" t="str">
        <x:v>DG-JB-20250319-20250324</x:v>
      </x:c>
      <x:c r="D342" s="18" t="n">
        <x:v>45736</x:v>
      </x:c>
      <x:c r="E342" s="18" t="n">
        <x:v>45736</x:v>
      </x:c>
      <x:c r="F342" s="12" t="n">
        <x:v>2025</x:v>
      </x:c>
      <x:c r="G342" s="12" t="str">
        <x:v>EVT-JB-2025-015</x:v>
      </x:c>
      <x:c r="H342" s="12" t="str">
        <x:v>Taman Tampoi Utama</x:v>
      </x:c>
      <x:c r="I342" s="12" t="str">
        <x:v>https://www.nadma.gov.my/bi/media-en/news/3415-banjir-terburuk-dalam-tempoh-30-tahun-datuk-bandar-mbjb
https://www.nadma.gov.my/bi/media-en/news/3306-43-guru-murid-terkandas-sekolah-dinaiki-air</x:v>
      </x:c>
    </x:row>
    <x:row r="343">
      <x:c r="A343" s="12" t="str">
        <x:v>FLOC-0195</x:v>
      </x:c>
      <x:c r="B343" s="12" t="str">
        <x:v>Taman Tasik / Taman Merdeka</x:v>
      </x:c>
      <x:c r="C343" s="12" t="str">
        <x:v>DG-JB-20231206</x:v>
      </x:c>
      <x:c r="D343" s="18" t="n">
        <x:v>45266</x:v>
      </x:c>
      <x:c r="E343" s="18" t="n">
        <x:v>45266</x:v>
      </x:c>
      <x:c r="F343" s="12" t="n">
        <x:v>2023</x:v>
      </x:c>
      <x:c r="G343" s="12" t="str">
        <x:v>EVT-JB-2023-051</x:v>
      </x:c>
      <x:c r="H343" s="12" t="str">
        <x:v>Tasek Merdeka</x:v>
      </x:c>
      <x:c r="I343" s="12" t="str">
        <x:v>https://www.utusan.com.my/berita/2023/12/hujan-lebat-lebih-tiga-jam-sebabkan-banjir-kilat/</x:v>
      </x:c>
    </x:row>
    <x:row r="344">
      <x:c r="A344" s="12" t="str">
        <x:v>FLOC-0195</x:v>
      </x:c>
      <x:c r="B344" s="12" t="str">
        <x:v>Taman Tasik / Taman Merdeka</x:v>
      </x:c>
      <x:c r="C344" s="12" t="str">
        <x:v>DG-JB-20251212</x:v>
      </x:c>
      <x:c r="D344" s="18" t="n">
        <x:v>46003</x:v>
      </x:c>
      <x:c r="E344" s="18" t="n">
        <x:v>46003</x:v>
      </x:c>
      <x:c r="F344" s="12" t="n">
        <x:v>2025</x:v>
      </x:c>
      <x:c r="G344" s="12" t="str">
        <x:v>EVT-JB-2025-041</x:v>
      </x:c>
      <x:c r="H344" s="12" t="str">
        <x:v>Tasik Merdeka</x:v>
      </x:c>
      <x:c r="I344" s="12" t="str">
        <x:v>https://www.sinarharian.com.my/article/760321/edisi/johor/banjir-kilat-bumbung-pentas-runtuh-pokok-tumbang-di-johor-bahru</x:v>
      </x:c>
    </x:row>
    <x:row r="345">
      <x:c r="A345" s="12" t="str">
        <x:v>FLOC-0196</x:v>
      </x:c>
      <x:c r="B345" s="12" t="str">
        <x:v>Wisma Persekutuan Johor Bahru</x:v>
      </x:c>
      <x:c r="C345" s="12" t="str">
        <x:v>DG-JB-20260930</x:v>
      </x:c>
      <x:c r="D345" s="18" t="n">
        <x:v>46295</x:v>
      </x:c>
      <x:c r="E345" s="18" t="n">
        <x:v>46295</x:v>
      </x:c>
      <x:c r="F345" s="12" t="n">
        <x:v>2026</x:v>
      </x:c>
      <x:c r="G345" s="12" t="str">
        <x:v>EVT-JB-2026-012</x:v>
      </x:c>
      <x:c r="H345" s="12" t="str">
        <x:v>Wisma Persekutuan Johor Bahru</x:v>
      </x:c>
      <x:c r="I345" s="12" t="str">
        <x:v>https://www.utusan.com.my/terkini/2026/09/beberapa-kawasan-di-johor-bahru-dinaiki-air-susulan-hujan-lebat/
https://www.sinarharian.com.my/article/798490/edisi/johor/banjir-kilat-landa-johor-bahru-trafik-sesak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42" hidden="0" customWidth="1"/>
    <x:col min="4" max="4" width="82" hidden="0" customWidth="1"/>
  </x:cols>
  <x:sheetData>
    <x:row r="1">
      <x:c r="A1" s="6" t="str">
        <x:v>Decision</x:v>
      </x:c>
      <x:c r="B1" s="6" t="str">
        <x:v>Final_Standardized_Location</x:v>
      </x:c>
      <x:c r="C1" s="6" t="str">
        <x:v>Legacy_Master_IDs</x:v>
      </x:c>
      <x:c r="D1" s="6" t="str">
        <x:v>Reason</x:v>
      </x:c>
    </x:row>
    <x:row r="2">
      <x:c r="A2" s="12" t="str">
        <x:v>MERGED</x:v>
      </x:c>
      <x:c r="B2" s="12" t="str">
        <x:v>Jalan Kolam Ayer</x:v>
      </x:c>
      <x:c r="C2" s="12" t="str">
        <x:v>JBLOC-0037; JBLOC-0038</x:v>
      </x:c>
      <x:c r="D2" s="12" t="str">
        <x:v>Same road identity; 2026 label is Jalan Kolam Air with Nong Chik context, same validated coordinate.</x:v>
      </x:c>
    </x:row>
    <x:row r="3">
      <x:c r="A3" s="12" t="str">
        <x:v>MERGED</x:v>
      </x:c>
      <x:c r="B3" s="12" t="str">
        <x:v>Kampung Baru Muafakat, Gelang Patah</x:v>
      </x:c>
      <x:c r="C3" s="12" t="str">
        <x:v>JBLOC-0076; JBLOC-0077</x:v>
      </x:c>
      <x:c r="D3" s="12" t="str">
        <x:v>Same community name and area; 2020 and 2022 evidence refer to the same Gelang Patah locality.</x:v>
      </x:c>
    </x:row>
    <x:row r="4">
      <x:c r="A4" s="12" t="str">
        <x:v>MERGED</x:v>
      </x:c>
      <x:c r="B4" s="12" t="str">
        <x:v>Kampung Laut Batu 10, Skudai</x:v>
      </x:c>
      <x:c r="C4" s="12" t="str">
        <x:v>JBLOC-0093; JBLOC-0094</x:v>
      </x:c>
      <x:c r="D4" s="12" t="str">
        <x:v>Duplicate source-object identity and identical validated coordinate.</x:v>
      </x:c>
    </x:row>
    <x:row r="5">
      <x:c r="A5" s="12" t="str">
        <x:v>MERGED</x:v>
      </x:c>
      <x:c r="B5" s="12" t="str">
        <x:v>Kampung Melayu Majidi</x:v>
      </x:c>
      <x:c r="C5" s="12" t="str">
        <x:v>JBLOC-0097; JBLOC-0098</x:v>
      </x:c>
      <x:c r="D5" s="12" t="str">
        <x:v>Majidee/Majidi spelling variant at the same validated coordinate.</x:v>
      </x:c>
    </x:row>
    <x:row r="6">
      <x:c r="A6" s="12" t="str">
        <x:v>MERGED</x:v>
      </x:c>
      <x:c r="B6" s="12" t="str">
        <x:v>Kampung Mohd Amin, Kolam Air</x:v>
      </x:c>
      <x:c r="C6" s="12" t="str">
        <x:v>JBLOC-0100; JBLOC-0101; JBLOC-0102; JBLOC-0103</x:v>
      </x:c>
      <x:c r="D6" s="12" t="str">
        <x:v>Same community; context labels and historical records resolve to the same validated location.</x:v>
      </x:c>
    </x:row>
    <x:row r="7">
      <x:c r="A7" s="12" t="str">
        <x:v>MERGED</x:v>
      </x:c>
      <x:c r="B7" s="12" t="str">
        <x:v>Kampung Pasir, Tampoi/Skudai</x:v>
      </x:c>
      <x:c r="C7" s="12" t="str">
        <x:v>JBLOC-0104; JBLOC-0105; JBLOC-0106</x:v>
      </x:c>
      <x:c r="D7" s="12" t="str">
        <x:v>Same Kampung Pasir flood locality; Tampoi/Skudai are contextual qualifiers across years.</x:v>
      </x:c>
    </x:row>
    <x:row r="8">
      <x:c r="A8" s="12" t="str">
        <x:v>MERGED</x:v>
      </x:c>
      <x:c r="B8" s="12" t="str">
        <x:v>Kampung Pulai, Ulu Pulai</x:v>
      </x:c>
      <x:c r="C8" s="12" t="str">
        <x:v>JBLOC-0120; JBLOC-0121</x:v>
      </x:c>
      <x:c r="D8" s="12" t="str">
        <x:v>Duplicate source-object identity and identical coordinate.</x:v>
      </x:c>
    </x:row>
    <x:row r="9">
      <x:c r="A9" s="12" t="str">
        <x:v>MERGED</x:v>
      </x:c>
      <x:c r="B9" s="12" t="str">
        <x:v>Kampung Sri Jaya, Skudai</x:v>
      </x:c>
      <x:c r="C9" s="12" t="str">
        <x:v>JBLOC-0127; JBLOC-0133; JBLOC-0135</x:v>
      </x:c>
      <x:c r="D9" s="12" t="str">
        <x:v>Seri/Sri spelling variants and Skudai qualifier refer to the same validated community.</x:v>
      </x:c>
    </x:row>
    <x:row r="10">
      <x:c r="A10" s="12" t="str">
        <x:v>MERGED</x:v>
      </x:c>
      <x:c r="B10" s="12" t="str">
        <x:v>Kampung Sri Jaya Baru</x:v>
      </x:c>
      <x:c r="C10" s="12" t="str">
        <x:v>JBLOC-0128; JBLOC-0134</x:v>
      </x:c>
      <x:c r="D10" s="12" t="str">
        <x:v>Seri/Sri spelling variants; one unresolved legacy row is absorbed into the validated identity.</x:v>
      </x:c>
    </x:row>
    <x:row r="11">
      <x:c r="A11" s="12" t="str">
        <x:v>MERGED</x:v>
      </x:c>
      <x:c r="B11" s="12" t="str">
        <x:v>Kampung Sri Serdang</x:v>
      </x:c>
      <x:c r="C11" s="12" t="str">
        <x:v>JBLOC-0129; JBLOC-0136</x:v>
      </x:c>
      <x:c r="D11" s="12" t="str">
        <x:v>Seri/Sri spelling variants at the same validated coordinate.</x:v>
      </x:c>
    </x:row>
    <x:row r="12">
      <x:c r="A12" s="12" t="str">
        <x:v>MERGED</x:v>
      </x:c>
      <x:c r="B12" s="12" t="str">
        <x:v>Kampung Ubi Baru</x:v>
      </x:c>
      <x:c r="C12" s="12" t="str">
        <x:v>JBLOC-0146; JBLOC-0147</x:v>
      </x:c>
      <x:c r="D12" s="12" t="str">
        <x:v>Same source-object identity; later records explicitly normalize Kampung Ubi to Kampung Ubi Baru.</x:v>
      </x:c>
    </x:row>
    <x:row r="13">
      <x:c r="A13" s="12" t="str">
        <x:v>KEPT SEPARATE</x:v>
      </x:c>
      <x:c r="B13" s="12" t="str">
        <x:v>Kg. Dato Hajah Hasnah vs Kampung Dato' Hajah Hasnah Ahmad</x:v>
      </x:c>
      <x:c r="C13" s="12" t="str">
        <x:v>JBLOC-0085; JBLOC-0086</x:v>
      </x:c>
      <x:c r="D13" s="12" t="str">
        <x:v>Names and coordinates are close, but the existing evidence explicitly does not establish one identical spatial object across all years.</x:v>
      </x:c>
    </x:row>
    <x:row r="14">
      <x:c r="A14" s="12" t="str">
        <x:v>KEPT SEPARATE</x:v>
      </x:c>
      <x:c r="B14" s="12" t="str">
        <x:v>Jalan Permatang 6, Kempas vs Jalan Permatang, Kempas</x:v>
      </x:c>
      <x:c r="C14" s="12" t="str">
        <x:v>JBLOC-0050; JBLOC-0051</x:v>
      </x:c>
      <x:c r="D14" s="12" t="str">
        <x:v>Specific numbered street and broader road name are not treated as one location without direct identity evidence.</x:v>
      </x:c>
    </x:row>
    <x:row r="15">
      <x:c r="A15" s="12" t="str">
        <x:v>KEPT SEPARATE</x:v>
      </x:c>
      <x:c r="B15" s="12" t="str">
        <x:v>Kampung Paya (generic 2017 label) vs Kg. Paya Sg Redan</x:v>
      </x:c>
      <x:c r="C15" s="12" t="str">
        <x:v>JBLOC-0108; JBLOC-0113</x:v>
      </x:c>
      <x:c r="D15" s="12" t="str">
        <x:v>2017 generic source remains spatially uncertain; it is not used to inflate the resolved Paya Sg Redan frequency.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0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10" hidden="0" customWidth="1"/>
    <x:col min="9" max="9" width="14" hidden="0" customWidth="1"/>
    <x:col min="10" max="10" width="36" hidden="0" customWidth="1"/>
    <x:col min="11" max="11" width="42" hidden="0" customWidth="1"/>
    <x:col min="12" max="12" width="56" hidden="0" customWidth="1"/>
  </x:cols>
  <x:sheetData>
    <x:row r="1">
      <x:c r="A1" s="6" t="str">
        <x:v>Final_Location_ID</x:v>
      </x:c>
      <x:c r="B1" s="6" t="str">
        <x:v>Standardized_Location</x:v>
      </x:c>
      <x:c r="C1" s="6" t="str">
        <x:v>Years_Observed</x:v>
      </x:c>
      <x:c r="D1" s="6" t="str">
        <x:v>First_Event_Date</x:v>
      </x:c>
      <x:c r="E1" s="6" t="str">
        <x:v>Last_Event_Date</x:v>
      </x:c>
      <x:c r="F1" s="6" t="str">
        <x:v>Longitude_WGS84</x:v>
      </x:c>
      <x:c r="G1" s="6" t="str">
        <x:v>Latitude_WGS84</x:v>
      </x:c>
      <x:c r="H1" s="6" t="str">
        <x:v>GIS_Ready</x:v>
      </x:c>
      <x:c r="I1" s="6" t="str">
        <x:v>Plot_Status</x:v>
      </x:c>
      <x:c r="J1" s="6" t="str">
        <x:v>Legacy_Master_IDs</x:v>
      </x:c>
      <x:c r="K1" s="6" t="str">
        <x:v>Source_Object_IDs</x:v>
      </x:c>
      <x:c r="L1" s="6" t="str">
        <x:v>Notes</x:v>
      </x:c>
    </x:row>
    <x:row r="2">
      <x:c r="A2" s="12" t="str">
        <x:v>FLOC-0001</x:v>
      </x:c>
      <x:c r="B2" s="12" t="str">
        <x:v>Bangunan Lily, Hospital Sultanah Aminah</x:v>
      </x:c>
      <x:c r="C2" s="12" t="str">
        <x:v>2025</x:v>
      </x:c>
      <x:c r="D2" s="18" t="n">
        <x:v>45911</x:v>
      </x:c>
      <x:c r="E2" s="18" t="n">
        <x:v>45911</x:v>
      </x:c>
      <x:c r="F2" s="19"/>
      <x:c r="G2" s="19"/>
      <x:c r="H2" s="12" t="str">
        <x:v>NO</x:v>
      </x:c>
      <x:c r="I2" s="12" t="str">
        <x:v>DO NOT PLOT</x:v>
      </x:c>
      <x:c r="J2" s="12" t="str">
        <x:v>JBLOC-0001</x:v>
      </x:c>
      <x:c r="K2" s="12" t="str">
        <x:v>S2025-033</x:v>
      </x:c>
      <x:c r="L2" s="12"/>
    </x:row>
    <x:row r="3">
      <x:c r="A3" s="12" t="str">
        <x:v>FLOC-0002</x:v>
      </x:c>
      <x:c r="B3" s="12" t="str">
        <x:v>Batu 10, Sungai Tiram context</x:v>
      </x:c>
      <x:c r="C3" s="12" t="str">
        <x:v>2024</x:v>
      </x:c>
      <x:c r="D3" s="18" t="n">
        <x:v>45298</x:v>
      </x:c>
      <x:c r="E3" s="18" t="n">
        <x:v>45298</x:v>
      </x:c>
      <x:c r="F3" s="19"/>
      <x:c r="G3" s="19"/>
      <x:c r="H3" s="12" t="str">
        <x:v>NO</x:v>
      </x:c>
      <x:c r="I3" s="12" t="str">
        <x:v>DO NOT PLOT</x:v>
      </x:c>
      <x:c r="J3" s="12" t="str">
        <x:v>JBLOC-0004</x:v>
      </x:c>
      <x:c r="K3" s="12" t="str">
        <x:v>S2024-004</x:v>
      </x:c>
      <x:c r="L3" s="12"/>
    </x:row>
    <x:row r="4">
      <x:c r="A4" s="12" t="str">
        <x:v>FLOC-0008</x:v>
      </x:c>
      <x:c r="B4" s="12" t="str">
        <x:v>FT003 Jalan Johor Bahru–Kota Tinggi Sec 9.1–10.0</x:v>
      </x:c>
      <x:c r="C4" s="12" t="str">
        <x:v>2025</x:v>
      </x:c>
      <x:c r="D4" s="18" t="n">
        <x:v>45736</x:v>
      </x:c>
      <x:c r="E4" s="18" t="n">
        <x:v>45736</x:v>
      </x:c>
      <x:c r="F4" s="19"/>
      <x:c r="G4" s="19"/>
      <x:c r="H4" s="12" t="str">
        <x:v>NO</x:v>
      </x:c>
      <x:c r="I4" s="12" t="str">
        <x:v>DO NOT PLOT</x:v>
      </x:c>
      <x:c r="J4" s="12" t="str">
        <x:v>JBLOC-0010</x:v>
      </x:c>
      <x:c r="K4" s="12" t="str">
        <x:v>S2025-025</x:v>
      </x:c>
      <x:c r="L4" s="12"/>
    </x:row>
    <x:row r="5">
      <x:c r="A5" s="12" t="str">
        <x:v>FLOC-0009</x:v>
      </x:c>
      <x:c r="B5" s="12" t="str">
        <x:v>FT003 Johor Bahru–Endau Sec 21.0–21.8</x:v>
      </x:c>
      <x:c r="C5" s="12" t="str">
        <x:v>2025</x:v>
      </x:c>
      <x:c r="D5" s="18" t="n">
        <x:v>45736</x:v>
      </x:c>
      <x:c r="E5" s="18" t="n">
        <x:v>45736</x:v>
      </x:c>
      <x:c r="F5" s="19"/>
      <x:c r="G5" s="19"/>
      <x:c r="H5" s="12" t="str">
        <x:v>NO</x:v>
      </x:c>
      <x:c r="I5" s="12" t="str">
        <x:v>DO NOT PLOT</x:v>
      </x:c>
      <x:c r="J5" s="12" t="str">
        <x:v>JBLOC-0011</x:v>
      </x:c>
      <x:c r="K5" s="12" t="str">
        <x:v>S2025-024</x:v>
      </x:c>
      <x:c r="L5" s="12"/>
    </x:row>
    <x:row r="6">
      <x:c r="A6" s="12" t="str">
        <x:v>FLOC-0010</x:v>
      </x:c>
      <x:c r="B6" s="12" t="str">
        <x:v>FT01 Jalan Johor Bahru–Senai Sec 19.6–20.0</x:v>
      </x:c>
      <x:c r="C6" s="12" t="str">
        <x:v>2025</x:v>
      </x:c>
      <x:c r="D6" s="18" t="n">
        <x:v>45736</x:v>
      </x:c>
      <x:c r="E6" s="18" t="n">
        <x:v>45736</x:v>
      </x:c>
      <x:c r="F6" s="19"/>
      <x:c r="G6" s="19"/>
      <x:c r="H6" s="12" t="str">
        <x:v>NO</x:v>
      </x:c>
      <x:c r="I6" s="12" t="str">
        <x:v>DO NOT PLOT</x:v>
      </x:c>
      <x:c r="J6" s="12" t="str">
        <x:v>JBLOC-0012</x:v>
      </x:c>
      <x:c r="K6" s="12" t="str">
        <x:v>S2025-026</x:v>
      </x:c>
      <x:c r="L6" s="12"/>
    </x:row>
    <x:row r="7">
      <x:c r="A7" s="12" t="str">
        <x:v>FLOC-0011</x:v>
      </x:c>
      <x:c r="B7" s="12" t="str">
        <x:v>FT017 Lebuhraya Pasir Gudang Sec 10.20–10.70</x:v>
      </x:c>
      <x:c r="C7" s="12" t="str">
        <x:v>2025</x:v>
      </x:c>
      <x:c r="D7" s="18" t="n">
        <x:v>45736</x:v>
      </x:c>
      <x:c r="E7" s="18" t="n">
        <x:v>45736</x:v>
      </x:c>
      <x:c r="F7" s="19"/>
      <x:c r="G7" s="19"/>
      <x:c r="H7" s="12" t="str">
        <x:v>NO</x:v>
      </x:c>
      <x:c r="I7" s="12" t="str">
        <x:v>DO NOT PLOT</x:v>
      </x:c>
      <x:c r="J7" s="12" t="str">
        <x:v>JBLOC-0013</x:v>
      </x:c>
      <x:c r="K7" s="12" t="str">
        <x:v>S2025-027</x:v>
      </x:c>
      <x:c r="L7" s="12"/>
    </x:row>
    <x:row r="8">
      <x:c r="A8" s="12" t="str">
        <x:v>FLOC-0012</x:v>
      </x:c>
      <x:c r="B8" s="12" t="str">
        <x:v>FT017 Lebuhraya Pasir Gudang Sec 21.0–21.3</x:v>
      </x:c>
      <x:c r="C8" s="12" t="str">
        <x:v>2025</x:v>
      </x:c>
      <x:c r="D8" s="18" t="n">
        <x:v>45736</x:v>
      </x:c>
      <x:c r="E8" s="18" t="n">
        <x:v>45736</x:v>
      </x:c>
      <x:c r="F8" s="19"/>
      <x:c r="G8" s="19"/>
      <x:c r="H8" s="12" t="str">
        <x:v>NO</x:v>
      </x:c>
      <x:c r="I8" s="12" t="str">
        <x:v>DO NOT PLOT</x:v>
      </x:c>
      <x:c r="J8" s="12" t="str">
        <x:v>JBLOC-0014</x:v>
      </x:c>
      <x:c r="K8" s="12" t="str">
        <x:v>S2025-028</x:v>
      </x:c>
      <x:c r="L8" s="12"/>
    </x:row>
    <x:row r="9">
      <x:c r="A9" s="12" t="str">
        <x:v>FLOC-0016</x:v>
      </x:c>
      <x:c r="B9" s="12" t="str">
        <x:v>J105 Jalan Maju Jaya–Seelong Sec 5.0–5.5</x:v>
      </x:c>
      <x:c r="C9" s="12" t="str">
        <x:v>2025</x:v>
      </x:c>
      <x:c r="D9" s="18" t="n">
        <x:v>45736</x:v>
      </x:c>
      <x:c r="E9" s="18" t="n">
        <x:v>45736</x:v>
      </x:c>
      <x:c r="F9" s="19"/>
      <x:c r="G9" s="19"/>
      <x:c r="H9" s="12" t="str">
        <x:v>NO</x:v>
      </x:c>
      <x:c r="I9" s="12" t="str">
        <x:v>DO NOT PLOT</x:v>
      </x:c>
      <x:c r="J9" s="12" t="str">
        <x:v>JBLOC-0018</x:v>
      </x:c>
      <x:c r="K9" s="12" t="str">
        <x:v>S2025-029</x:v>
      </x:c>
      <x:c r="L9" s="12"/>
    </x:row>
    <x:row r="10">
      <x:c r="A10" s="12" t="str">
        <x:v>FLOC-0017</x:v>
      </x:c>
      <x:c r="B10" s="12" t="str">
        <x:v>J105 Jalan Maju Jaya–Seelong Sec 7.0–7.5</x:v>
      </x:c>
      <x:c r="C10" s="12" t="str">
        <x:v>2025</x:v>
      </x:c>
      <x:c r="D10" s="18" t="n">
        <x:v>45736</x:v>
      </x:c>
      <x:c r="E10" s="18" t="n">
        <x:v>45736</x:v>
      </x:c>
      <x:c r="F10" s="19"/>
      <x:c r="G10" s="19"/>
      <x:c r="H10" s="12" t="str">
        <x:v>NO</x:v>
      </x:c>
      <x:c r="I10" s="12" t="str">
        <x:v>DO NOT PLOT</x:v>
      </x:c>
      <x:c r="J10" s="12" t="str">
        <x:v>JBLOC-0019</x:v>
      </x:c>
      <x:c r="K10" s="12" t="str">
        <x:v>S2025-030</x:v>
      </x:c>
      <x:c r="L10" s="12"/>
    </x:row>
    <x:row r="11">
      <x:c r="A11" s="12" t="str">
        <x:v>FLOC-0018</x:v>
      </x:c>
      <x:c r="B11" s="12" t="str">
        <x:v>J46 Jalan Ulu Pulai Sec 2.0–2.3</x:v>
      </x:c>
      <x:c r="C11" s="12" t="str">
        <x:v>2025</x:v>
      </x:c>
      <x:c r="D11" s="18" t="n">
        <x:v>45737</x:v>
      </x:c>
      <x:c r="E11" s="18" t="n">
        <x:v>45737</x:v>
      </x:c>
      <x:c r="F11" s="19"/>
      <x:c r="G11" s="19"/>
      <x:c r="H11" s="12" t="str">
        <x:v>NO</x:v>
      </x:c>
      <x:c r="I11" s="12" t="str">
        <x:v>DO NOT PLOT</x:v>
      </x:c>
      <x:c r="J11" s="12" t="str">
        <x:v>JBLOC-0020</x:v>
      </x:c>
      <x:c r="K11" s="12" t="str">
        <x:v>S2025-031</x:v>
      </x:c>
      <x:c r="L11" s="12"/>
    </x:row>
    <x:row r="12">
      <x:c r="A12" s="12" t="str">
        <x:v>FLOC-0021</x:v>
      </x:c>
      <x:c r="B12" s="12" t="str">
        <x:v>Jalan Bukit Dagang</x:v>
      </x:c>
      <x:c r="C12" s="12" t="str">
        <x:v>2019</x:v>
      </x:c>
      <x:c r="D12" s="18" t="n">
        <x:v>43814</x:v>
      </x:c>
      <x:c r="E12" s="18" t="n">
        <x:v>43814</x:v>
      </x:c>
      <x:c r="F12" s="19" t="n">
        <x:v>103.924811</x:v>
      </x:c>
      <x:c r="G12" s="19" t="n">
        <x:v>1.59376731</x:v>
      </x:c>
      <x:c r="H12" s="12" t="str">
        <x:v>NO</x:v>
      </x:c>
      <x:c r="I12" s="12" t="str">
        <x:v>DO NOT PLOT</x:v>
      </x:c>
      <x:c r="J12" s="12" t="str">
        <x:v>JBLOC-0023</x:v>
      </x:c>
      <x:c r="K12" s="12" t="str">
        <x:v>LOC-JB-JLN-BUKIT-DAGANG</x:v>
      </x:c>
      <x:c r="L12" s="12"/>
    </x:row>
    <x:row r="13">
      <x:c r="A13" s="12" t="str">
        <x:v>FLOC-0025</x:v>
      </x:c>
      <x:c r="B13" s="12" t="str">
        <x:v>Jalan Gelang Patah–Lima Kedai</x:v>
      </x:c>
      <x:c r="C13" s="12" t="str">
        <x:v>2020</x:v>
      </x:c>
      <x:c r="D13" s="18" t="n">
        <x:v>44002</x:v>
      </x:c>
      <x:c r="E13" s="18" t="n">
        <x:v>44002</x:v>
      </x:c>
      <x:c r="F13" s="19" t="n">
        <x:v>103.6189</x:v>
      </x:c>
      <x:c r="G13" s="19" t="n">
        <x:v>1.5011</x:v>
      </x:c>
      <x:c r="H13" s="12" t="str">
        <x:v>NO</x:v>
      </x:c>
      <x:c r="I13" s="12" t="str">
        <x:v>DO NOT PLOT</x:v>
      </x:c>
      <x:c r="J13" s="12" t="str">
        <x:v>JBLOC-0027</x:v>
      </x:c>
      <x:c r="K13" s="12" t="str">
        <x:v>LOC-JB-JLN-GELANG-PATAH-LIMA-KEDAI</x:v>
      </x:c>
      <x:c r="L13" s="12"/>
    </x:row>
    <x:row r="14">
      <x:c r="A14" s="12" t="str">
        <x:v>FLOC-0029</x:v>
      </x:c>
      <x:c r="B14" s="12" t="str">
        <x:v>Jalan Johor Bahru–Ulu Tiram, Desa Cemerlang</x:v>
      </x:c>
      <x:c r="C14" s="12" t="str">
        <x:v>2020</x:v>
      </x:c>
      <x:c r="D14" s="18" t="n">
        <x:v>43986</x:v>
      </x:c>
      <x:c r="E14" s="18" t="n">
        <x:v>43986</x:v>
      </x:c>
      <x:c r="F14" s="19" t="n">
        <x:v>103.8009</x:v>
      </x:c>
      <x:c r="G14" s="19" t="n">
        <x:v>1.5513</x:v>
      </x:c>
      <x:c r="H14" s="12" t="str">
        <x:v>NO</x:v>
      </x:c>
      <x:c r="I14" s="12" t="str">
        <x:v>DO NOT PLOT</x:v>
      </x:c>
      <x:c r="J14" s="12" t="str">
        <x:v>JBLOC-0031</x:v>
      </x:c>
      <x:c r="K14" s="12" t="str">
        <x:v>LOC-JB-JLN-JB-ULU-TIRAM-DESA-CEMERLANG</x:v>
      </x:c>
      <x:c r="L14" s="12"/>
    </x:row>
    <x:row r="15">
      <x:c r="A15" s="12" t="str">
        <x:v>FLOC-0030</x:v>
      </x:c>
      <x:c r="B15" s="12" t="str">
        <x:v>Jalan Kampung Masjid, Masai</x:v>
      </x:c>
      <x:c r="C15" s="12" t="str">
        <x:v>2021</x:v>
      </x:c>
      <x:c r="D15" s="18" t="n">
        <x:v>44441</x:v>
      </x:c>
      <x:c r="E15" s="18" t="n">
        <x:v>44441</x:v>
      </x:c>
      <x:c r="F15" s="19"/>
      <x:c r="G15" s="19"/>
      <x:c r="H15" s="12" t="str">
        <x:v>NO</x:v>
      </x:c>
      <x:c r="I15" s="12" t="str">
        <x:v>DO NOT PLOT</x:v>
      </x:c>
      <x:c r="J15" s="12" t="str">
        <x:v>JBLOC-0032</x:v>
      </x:c>
      <x:c r="K15" s="12" t="str">
        <x:v>S2021-021</x:v>
      </x:c>
      <x:c r="L15" s="12"/>
    </x:row>
    <x:row r="16">
      <x:c r="A16" s="12" t="str">
        <x:v>FLOC-0031</x:v>
      </x:c>
      <x:c r="B16" s="12" t="str">
        <x:v>Jalan Kampung Sentosa Damai 8</x:v>
      </x:c>
      <x:c r="C16" s="12" t="str">
        <x:v>2023</x:v>
      </x:c>
      <x:c r="D16" s="18" t="n">
        <x:v>45261</x:v>
      </x:c>
      <x:c r="E16" s="18" t="n">
        <x:v>45261</x:v>
      </x:c>
      <x:c r="F16" s="19"/>
      <x:c r="G16" s="19"/>
      <x:c r="H16" s="12" t="str">
        <x:v>NO</x:v>
      </x:c>
      <x:c r="I16" s="12" t="str">
        <x:v>DO NOT PLOT</x:v>
      </x:c>
      <x:c r="J16" s="12" t="str">
        <x:v>JBLOC-0033</x:v>
      </x:c>
      <x:c r="K16" s="12" t="str">
        <x:v>S2023-019</x:v>
      </x:c>
      <x:c r="L16" s="12"/>
    </x:row>
    <x:row r="17">
      <x:c r="A17" s="12" t="str">
        <x:v>FLOC-0041</x:v>
      </x:c>
      <x:c r="B17" s="12" t="str">
        <x:v>Jalan Mohd Amin 7</x:v>
      </x:c>
      <x:c r="C17" s="12" t="str">
        <x:v>2023</x:v>
      </x:c>
      <x:c r="D17" s="18" t="n">
        <x:v>45274</x:v>
      </x:c>
      <x:c r="E17" s="18" t="n">
        <x:v>45274</x:v>
      </x:c>
      <x:c r="F17" s="19"/>
      <x:c r="G17" s="19"/>
      <x:c r="H17" s="12" t="str">
        <x:v>NO</x:v>
      </x:c>
      <x:c r="I17" s="12" t="str">
        <x:v>DO NOT PLOT</x:v>
      </x:c>
      <x:c r="J17" s="12" t="str">
        <x:v>JBLOC-0043</x:v>
      </x:c>
      <x:c r="K17" s="12" t="str">
        <x:v>S2023-050</x:v>
      </x:c>
      <x:c r="L17" s="12"/>
    </x:row>
    <x:row r="18">
      <x:c r="A18" s="12" t="str">
        <x:v>FLOC-0046</x:v>
      </x:c>
      <x:c r="B18" s="12" t="str">
        <x:v>Jalan Pantai</x:v>
      </x:c>
      <x:c r="C18" s="12" t="str">
        <x:v>2026</x:v>
      </x:c>
      <x:c r="D18" s="18" t="n">
        <x:v>46295</x:v>
      </x:c>
      <x:c r="E18" s="18" t="n">
        <x:v>46295</x:v>
      </x:c>
      <x:c r="F18" s="19"/>
      <x:c r="G18" s="19"/>
      <x:c r="H18" s="12" t="str">
        <x:v>NO</x:v>
      </x:c>
      <x:c r="I18" s="12" t="str">
        <x:v>DO NOT PLOT</x:v>
      </x:c>
      <x:c r="J18" s="12" t="str">
        <x:v>JBLOC-0048</x:v>
      </x:c>
      <x:c r="K18" s="12" t="str">
        <x:v>S2026-004</x:v>
      </x:c>
      <x:c r="L18" s="12"/>
    </x:row>
    <x:row r="19">
      <x:c r="A19" s="12" t="str">
        <x:v>FLOC-0048</x:v>
      </x:c>
      <x:c r="B19" s="12" t="str">
        <x:v>Jalan Permatang 6, Kempas</x:v>
      </x:c>
      <x:c r="C19" s="12" t="str">
        <x:v>2020</x:v>
      </x:c>
      <x:c r="D19" s="18" t="n">
        <x:v>43926</x:v>
      </x:c>
      <x:c r="E19" s="18" t="n">
        <x:v>43926</x:v>
      </x:c>
      <x:c r="F19" s="19" t="n">
        <x:v>103.7232702</x:v>
      </x:c>
      <x:c r="G19" s="19" t="n">
        <x:v>1.5353449</x:v>
      </x:c>
      <x:c r="H19" s="12" t="str">
        <x:v>NO</x:v>
      </x:c>
      <x:c r="I19" s="12" t="str">
        <x:v>DO NOT PLOT</x:v>
      </x:c>
      <x:c r="J19" s="12" t="str">
        <x:v>JBLOC-0050</x:v>
      </x:c>
      <x:c r="K19" s="12" t="str">
        <x:v>LOC-JB-JLN-PERMATANG-6-KEMPAS</x:v>
      </x:c>
      <x:c r="L19" s="12"/>
    </x:row>
    <x:row r="20">
      <x:c r="A20" s="12" t="str">
        <x:v>FLOC-0049</x:v>
      </x:c>
      <x:c r="B20" s="12" t="str">
        <x:v>Jalan Permatang Utama, Kampung Kempas Baru</x:v>
      </x:c>
      <x:c r="C20" s="12" t="str">
        <x:v>2020</x:v>
      </x:c>
      <x:c r="D20" s="18" t="n">
        <x:v>44154</x:v>
      </x:c>
      <x:c r="E20" s="18" t="n">
        <x:v>44154</x:v>
      </x:c>
      <x:c r="F20" s="19" t="n">
        <x:v>103.70542453</x:v>
      </x:c>
      <x:c r="G20" s="19" t="n">
        <x:v>1.5278641</x:v>
      </x:c>
      <x:c r="H20" s="12" t="str">
        <x:v>NO</x:v>
      </x:c>
      <x:c r="I20" s="12" t="str">
        <x:v>DO NOT PLOT</x:v>
      </x:c>
      <x:c r="J20" s="12" t="str">
        <x:v>JBLOC-0052</x:v>
      </x:c>
      <x:c r="K20" s="12" t="str">
        <x:v>LOC-JB-JLN-PERMATANG-UTAMA-KEMPAS-BARU</x:v>
      </x:c>
      <x:c r="L20" s="12"/>
    </x:row>
    <x:row r="21">
      <x:c r="A21" s="12" t="str">
        <x:v>FLOC-0051</x:v>
      </x:c>
      <x:c r="B21" s="12" t="str">
        <x:v>Jalan Persiaran Molek Utama, Taman Molek</x:v>
      </x:c>
      <x:c r="C21" s="12" t="str">
        <x:v>2023</x:v>
      </x:c>
      <x:c r="D21" s="18" t="n">
        <x:v>45274</x:v>
      </x:c>
      <x:c r="E21" s="18" t="n">
        <x:v>45274</x:v>
      </x:c>
      <x:c r="F21" s="19"/>
      <x:c r="G21" s="19"/>
      <x:c r="H21" s="12" t="str">
        <x:v>NO</x:v>
      </x:c>
      <x:c r="I21" s="12" t="str">
        <x:v>DO NOT PLOT</x:v>
      </x:c>
      <x:c r="J21" s="12" t="str">
        <x:v>JBLOC-0053</x:v>
      </x:c>
      <x:c r="K21" s="12" t="str">
        <x:v>S2023-057</x:v>
      </x:c>
      <x:c r="L21" s="12"/>
    </x:row>
    <x:row r="22">
      <x:c r="A22" s="12" t="str">
        <x:v>FLOC-0053</x:v>
      </x:c>
      <x:c r="B22" s="12" t="str">
        <x:v>Jalan Rosmerah Utama</x:v>
      </x:c>
      <x:c r="C22" s="12" t="str">
        <x:v>2023</x:v>
      </x:c>
      <x:c r="D22" s="18" t="n">
        <x:v>45274</x:v>
      </x:c>
      <x:c r="E22" s="18" t="n">
        <x:v>45274</x:v>
      </x:c>
      <x:c r="F22" s="19"/>
      <x:c r="G22" s="19"/>
      <x:c r="H22" s="12" t="str">
        <x:v>NO</x:v>
      </x:c>
      <x:c r="I22" s="12" t="str">
        <x:v>DO NOT PLOT</x:v>
      </x:c>
      <x:c r="J22" s="12" t="str">
        <x:v>JBLOC-0055</x:v>
      </x:c>
      <x:c r="K22" s="12" t="str">
        <x:v>S2023-047</x:v>
      </x:c>
      <x:c r="L22" s="12"/>
    </x:row>
    <x:row r="23">
      <x:c r="A23" s="12" t="str">
        <x:v>FLOC-0054</x:v>
      </x:c>
      <x:c r="B23" s="12" t="str">
        <x:v>Jalan Seelong Jaya 2</x:v>
      </x:c>
      <x:c r="C23" s="12" t="str">
        <x:v>2022</x:v>
      </x:c>
      <x:c r="D23" s="18" t="n">
        <x:v>44793</x:v>
      </x:c>
      <x:c r="E23" s="18" t="n">
        <x:v>44793</x:v>
      </x:c>
      <x:c r="F23" s="19"/>
      <x:c r="G23" s="19"/>
      <x:c r="H23" s="12" t="str">
        <x:v>NO</x:v>
      </x:c>
      <x:c r="I23" s="12" t="str">
        <x:v>DO NOT PLOT</x:v>
      </x:c>
      <x:c r="J23" s="12" t="str">
        <x:v>JBLOC-0056</x:v>
      </x:c>
      <x:c r="K23" s="12" t="str">
        <x:v>S2022-019</x:v>
      </x:c>
      <x:c r="L23" s="12"/>
    </x:row>
    <x:row r="24">
      <x:c r="A24" s="12" t="str">
        <x:v>FLOC-0055</x:v>
      </x:c>
      <x:c r="B24" s="12" t="str">
        <x:v>Jalan Seri Pelangi–Stulang Laut approach</x:v>
      </x:c>
      <x:c r="C24" s="12" t="str">
        <x:v>2022</x:v>
      </x:c>
      <x:c r="D24" s="18" t="n">
        <x:v>44775</x:v>
      </x:c>
      <x:c r="E24" s="18" t="n">
        <x:v>44775</x:v>
      </x:c>
      <x:c r="F24" s="19"/>
      <x:c r="G24" s="19"/>
      <x:c r="H24" s="12" t="str">
        <x:v>NO</x:v>
      </x:c>
      <x:c r="I24" s="12" t="str">
        <x:v>DO NOT PLOT</x:v>
      </x:c>
      <x:c r="J24" s="12" t="str">
        <x:v>JBLOC-0057</x:v>
      </x:c>
      <x:c r="K24" s="12" t="str">
        <x:v>S2022-016</x:v>
      </x:c>
      <x:c r="L24" s="12"/>
    </x:row>
    <x:row r="25">
      <x:c r="A25" s="12" t="str">
        <x:v>FLOC-0057</x:v>
      </x:c>
      <x:c r="B25" s="12" t="str">
        <x:v>Jalan Setia 10, Setia Indah</x:v>
      </x:c>
      <x:c r="C25" s="12" t="str">
        <x:v>2023</x:v>
      </x:c>
      <x:c r="D25" s="18" t="n">
        <x:v>45274</x:v>
      </x:c>
      <x:c r="E25" s="18" t="n">
        <x:v>45274</x:v>
      </x:c>
      <x:c r="F25" s="19"/>
      <x:c r="G25" s="19"/>
      <x:c r="H25" s="12" t="str">
        <x:v>NO</x:v>
      </x:c>
      <x:c r="I25" s="12" t="str">
        <x:v>DO NOT PLOT</x:v>
      </x:c>
      <x:c r="J25" s="12" t="str">
        <x:v>JBLOC-0059</x:v>
      </x:c>
      <x:c r="K25" s="12" t="str">
        <x:v>S2023-048</x:v>
      </x:c>
      <x:c r="L25" s="12"/>
    </x:row>
    <x:row r="26">
      <x:c r="A26" s="12" t="str">
        <x:v>FLOC-0058</x:v>
      </x:c>
      <x:c r="B26" s="12" t="str">
        <x:v>Jalan Setia 11, Setia Indah</x:v>
      </x:c>
      <x:c r="C26" s="12" t="str">
        <x:v>2023</x:v>
      </x:c>
      <x:c r="D26" s="18" t="n">
        <x:v>45274</x:v>
      </x:c>
      <x:c r="E26" s="18" t="n">
        <x:v>45274</x:v>
      </x:c>
      <x:c r="F26" s="19"/>
      <x:c r="G26" s="19"/>
      <x:c r="H26" s="12" t="str">
        <x:v>NO</x:v>
      </x:c>
      <x:c r="I26" s="12" t="str">
        <x:v>DO NOT PLOT</x:v>
      </x:c>
      <x:c r="J26" s="12" t="str">
        <x:v>JBLOC-0060</x:v>
      </x:c>
      <x:c r="K26" s="12" t="str">
        <x:v>S2023-051</x:v>
      </x:c>
      <x:c r="L26" s="12"/>
    </x:row>
    <x:row r="27">
      <x:c r="A27" s="12" t="str">
        <x:v>FLOC-0081</x:v>
      </x:c>
      <x:c r="B27" s="12" t="str">
        <x:v>Kampung Dagang, Sungai Tiram context</x:v>
      </x:c>
      <x:c r="C27" s="12" t="str">
        <x:v>2019</x:v>
      </x:c>
      <x:c r="D27" s="18" t="n">
        <x:v>43483</x:v>
      </x:c>
      <x:c r="E27" s="18" t="n">
        <x:v>43483</x:v>
      </x:c>
      <x:c r="F27" s="19"/>
      <x:c r="G27" s="19"/>
      <x:c r="H27" s="12" t="str">
        <x:v>NO</x:v>
      </x:c>
      <x:c r="I27" s="12" t="str">
        <x:v>DO NOT PLOT</x:v>
      </x:c>
      <x:c r="J27" s="12" t="str">
        <x:v>JBLOC-0084</x:v>
      </x:c>
      <x:c r="K27" s="12" t="str">
        <x:v>LOC-CAND-JB-KG-DAGANG-2019</x:v>
      </x:c>
      <x:c r="L27" s="12"/>
    </x:row>
    <x:row r="28">
      <x:c r="A28" s="12" t="str">
        <x:v>FLOC-0084</x:v>
      </x:c>
      <x:c r="B28" s="12" t="str">
        <x:v>Kampung Ibu</x:v>
      </x:c>
      <x:c r="C28" s="12" t="str">
        <x:v>2021</x:v>
      </x:c>
      <x:c r="D28" s="18" t="n">
        <x:v>44469</x:v>
      </x:c>
      <x:c r="E28" s="18" t="n">
        <x:v>44469</x:v>
      </x:c>
      <x:c r="F28" s="19"/>
      <x:c r="G28" s="19"/>
      <x:c r="H28" s="12" t="str">
        <x:v>NO</x:v>
      </x:c>
      <x:c r="I28" s="12" t="str">
        <x:v>DO NOT PLOT</x:v>
      </x:c>
      <x:c r="J28" s="12" t="str">
        <x:v>JBLOC-0088</x:v>
      </x:c>
      <x:c r="K28" s="12" t="str">
        <x:v>S2021-026</x:v>
      </x:c>
      <x:c r="L28" s="12"/>
    </x:row>
    <x:row r="29">
      <x:c r="A29" s="12" t="str">
        <x:v>FLOC-0097</x:v>
      </x:c>
      <x:c r="B29" s="12" t="str">
        <x:v>Kampung Paya (24-25 Jan 2017 source)</x:v>
      </x:c>
      <x:c r="C29" s="12" t="str">
        <x:v>2017</x:v>
      </x:c>
      <x:c r="D29" s="18" t="n">
        <x:v>42759</x:v>
      </x:c>
      <x:c r="E29" s="18" t="n">
        <x:v>42759</x:v>
      </x:c>
      <x:c r="F29" s="19" t="n">
        <x:v>103.931586</x:v>
      </x:c>
      <x:c r="G29" s="19" t="n">
        <x:v>1.619208</x:v>
      </x:c>
      <x:c r="H29" s="12" t="str">
        <x:v>NO</x:v>
      </x:c>
      <x:c r="I29" s="12" t="str">
        <x:v>DO NOT PLOT</x:v>
      </x:c>
      <x:c r="J29" s="12" t="str">
        <x:v>JBLOC-0108</x:v>
      </x:c>
      <x:c r="K29" s="12" t="str">
        <x:v>LOC-CAND-JB-KG-PAYA-UNSPEC-2017</x:v>
      </x:c>
      <x:c r="L29" s="12"/>
    </x:row>
    <x:row r="30">
      <x:c r="A30" s="12" t="str">
        <x:v>FLOC-0100</x:v>
      </x:c>
      <x:c r="B30" s="12" t="str">
        <x:v>Kampung Paya Tiram, Sg. Layang / Sg. Redan context</x:v>
      </x:c>
      <x:c r="C30" s="12" t="str">
        <x:v>2019</x:v>
      </x:c>
      <x:c r="D30" s="18" t="n">
        <x:v>43814</x:v>
      </x:c>
      <x:c r="E30" s="18" t="n">
        <x:v>43814</x:v>
      </x:c>
      <x:c r="F30" s="19"/>
      <x:c r="G30" s="19"/>
      <x:c r="H30" s="12" t="str">
        <x:v>NO</x:v>
      </x:c>
      <x:c r="I30" s="12" t="str">
        <x:v>DO NOT PLOT</x:v>
      </x:c>
      <x:c r="J30" s="12" t="str">
        <x:v>JBLOC-0114</x:v>
      </x:c>
      <x:c r="K30" s="12" t="str">
        <x:v>LOC-CAND-JB-KG-PAYA-TIRAM-2019</x:v>
      </x:c>
      <x:c r="L30" s="12"/>
    </x:row>
    <x:row r="31">
      <x:c r="A31" s="12" t="str">
        <x:v>FLOC-0101</x:v>
      </x:c>
      <x:c r="B31" s="12" t="str">
        <x:v>Kampung Paya, Bukit Mutiara</x:v>
      </x:c>
      <x:c r="C31" s="12" t="str">
        <x:v>2021</x:v>
      </x:c>
      <x:c r="D31" s="18" t="n">
        <x:v>44206</x:v>
      </x:c>
      <x:c r="E31" s="18" t="n">
        <x:v>44206</x:v>
      </x:c>
      <x:c r="F31" s="19"/>
      <x:c r="G31" s="19"/>
      <x:c r="H31" s="12" t="str">
        <x:v>NO</x:v>
      </x:c>
      <x:c r="I31" s="12" t="str">
        <x:v>DO NOT PLOT</x:v>
      </x:c>
      <x:c r="J31" s="12" t="str">
        <x:v>JBLOC-0109</x:v>
      </x:c>
      <x:c r="K31" s="12" t="str">
        <x:v>S2021-014</x:v>
      </x:c>
      <x:c r="L31" s="12"/>
    </x:row>
    <x:row r="32">
      <x:c r="A32" s="12" t="str">
        <x:v>FLOC-0102</x:v>
      </x:c>
      <x:c r="B32" s="12" t="str">
        <x:v>Kampung Paya, Nam Heng plantation / Mukim Sungai Tiram</x:v>
      </x:c>
      <x:c r="C32" s="12" t="str">
        <x:v>2017</x:v>
      </x:c>
      <x:c r="D32" s="18" t="n">
        <x:v>43053</x:v>
      </x:c>
      <x:c r="E32" s="18" t="n">
        <x:v>43053</x:v>
      </x:c>
      <x:c r="F32" s="19"/>
      <x:c r="G32" s="19"/>
      <x:c r="H32" s="12" t="str">
        <x:v>NO</x:v>
      </x:c>
      <x:c r="I32" s="12" t="str">
        <x:v>DO NOT PLOT</x:v>
      </x:c>
      <x:c r="J32" s="12" t="str">
        <x:v>JBLOC-0112</x:v>
      </x:c>
      <x:c r="K32" s="12" t="str">
        <x:v>LOC-JB-KG-PAYA-NAM-HENG</x:v>
      </x:c>
      <x:c r="L32" s="12"/>
    </x:row>
    <x:row r="33">
      <x:c r="A33" s="12" t="str">
        <x:v>FLOC-0103</x:v>
      </x:c>
      <x:c r="B33" s="12" t="str">
        <x:v>Kampung Pekajang</x:v>
      </x:c>
      <x:c r="C33" s="12" t="str">
        <x:v>2022</x:v>
      </x:c>
      <x:c r="D33" s="18" t="n">
        <x:v>44829</x:v>
      </x:c>
      <x:c r="E33" s="18" t="n">
        <x:v>44829</x:v>
      </x:c>
      <x:c r="F33" s="19" t="n">
        <x:v>103.55904663</x:v>
      </x:c>
      <x:c r="G33" s="19" t="n">
        <x:v>1.36899644</x:v>
      </x:c>
      <x:c r="H33" s="12" t="str">
        <x:v>NO</x:v>
      </x:c>
      <x:c r="I33" s="12" t="str">
        <x:v>DO NOT PLOT</x:v>
      </x:c>
      <x:c r="J33" s="12" t="str">
        <x:v>JBLOC-0115</x:v>
      </x:c>
      <x:c r="K33" s="12" t="str">
        <x:v>S2022-032</x:v>
      </x:c>
      <x:c r="L33" s="12"/>
    </x:row>
    <x:row r="34">
      <x:c r="A34" s="12" t="str">
        <x:v>FLOC-0104</x:v>
      </x:c>
      <x:c r="B34" s="12" t="str">
        <x:v>Kampung Peladang</x:v>
      </x:c>
      <x:c r="C34" s="12" t="str">
        <x:v>2022</x:v>
      </x:c>
      <x:c r="D34" s="18" t="n">
        <x:v>44829</x:v>
      </x:c>
      <x:c r="E34" s="18" t="n">
        <x:v>44829</x:v>
      </x:c>
      <x:c r="F34" s="19"/>
      <x:c r="G34" s="19"/>
      <x:c r="H34" s="12" t="str">
        <x:v>NO</x:v>
      </x:c>
      <x:c r="I34" s="12" t="str">
        <x:v>DO NOT PLOT</x:v>
      </x:c>
      <x:c r="J34" s="12" t="str">
        <x:v>JBLOC-0116</x:v>
      </x:c>
      <x:c r="K34" s="12" t="str">
        <x:v>S2022-031</x:v>
      </x:c>
      <x:c r="L34" s="12"/>
    </x:row>
    <x:row r="35">
      <x:c r="A35" s="12" t="str">
        <x:v>FLOC-0111</x:v>
      </x:c>
      <x:c r="B35" s="12" t="str">
        <x:v>Kampung Sinaran (JPS label)</x:v>
      </x:c>
      <x:c r="C35" s="12" t="str">
        <x:v>2019</x:v>
      </x:c>
      <x:c r="D35" s="18" t="n">
        <x:v>43814</x:v>
      </x:c>
      <x:c r="E35" s="18" t="n">
        <x:v>43814</x:v>
      </x:c>
      <x:c r="F35" s="19" t="n">
        <x:v>103.71992</x:v>
      </x:c>
      <x:c r="G35" s="19" t="n">
        <x:v>1.59821</x:v>
      </x:c>
      <x:c r="H35" s="12" t="str">
        <x:v>NO</x:v>
      </x:c>
      <x:c r="I35" s="12" t="str">
        <x:v>DO NOT PLOT</x:v>
      </x:c>
      <x:c r="J35" s="12" t="str">
        <x:v>JBLOC-0131</x:v>
      </x:c>
      <x:c r="K35" s="12" t="str">
        <x:v>LOC-CAND-JB-KG-SINARAN-2019</x:v>
      </x:c>
      <x:c r="L35" s="12"/>
    </x:row>
    <x:row r="36">
      <x:c r="A36" s="12" t="str">
        <x:v>FLOC-0118</x:v>
      </x:c>
      <x:c r="B36" s="12" t="str">
        <x:v>Kampung Sungai Rinting D, Taman Rinting</x:v>
      </x:c>
      <x:c r="C36" s="12" t="str">
        <x:v>2020</x:v>
      </x:c>
      <x:c r="D36" s="18" t="n">
        <x:v>44156</x:v>
      </x:c>
      <x:c r="E36" s="18" t="n">
        <x:v>44156</x:v>
      </x:c>
      <x:c r="F36" s="19" t="n">
        <x:v>103.873917</x:v>
      </x:c>
      <x:c r="G36" s="19" t="n">
        <x:v>1.4804527</x:v>
      </x:c>
      <x:c r="H36" s="12" t="str">
        <x:v>NO</x:v>
      </x:c>
      <x:c r="I36" s="12" t="str">
        <x:v>DO NOT PLOT</x:v>
      </x:c>
      <x:c r="J36" s="12" t="str">
        <x:v>JBLOC-0139</x:v>
      </x:c>
      <x:c r="K36" s="12" t="str">
        <x:v>LOC-JB-KG-SUNGAI-RINTING-D</x:v>
      </x:c>
      <x:c r="L36" s="12"/>
    </x:row>
    <x:row r="37">
      <x:c r="A37" s="12" t="str">
        <x:v>FLOC-0120</x:v>
      </x:c>
      <x:c r="B37" s="12" t="str">
        <x:v>Kampung Teluk Serdang Baru</x:v>
      </x:c>
      <x:c r="C37" s="12" t="str">
        <x:v>2021</x:v>
      </x:c>
      <x:c r="D37" s="18" t="n">
        <x:v>44198</x:v>
      </x:c>
      <x:c r="E37" s="18" t="n">
        <x:v>44198</x:v>
      </x:c>
      <x:c r="F37" s="19"/>
      <x:c r="G37" s="19"/>
      <x:c r="H37" s="12" t="str">
        <x:v>NO</x:v>
      </x:c>
      <x:c r="I37" s="12" t="str">
        <x:v>DO NOT PLOT</x:v>
      </x:c>
      <x:c r="J37" s="12" t="str">
        <x:v>JBLOC-0142</x:v>
      </x:c>
      <x:c r="K37" s="12" t="str">
        <x:v>S2021-007</x:v>
      </x:c>
      <x:c r="L37" s="12"/>
    </x:row>
    <x:row r="38">
      <x:c r="A38" s="12" t="str">
        <x:v>FLOC-0121</x:v>
      </x:c>
      <x:c r="B38" s="12" t="str">
        <x:v>Kampung Tengah Tebrau</x:v>
      </x:c>
      <x:c r="C38" s="12" t="str">
        <x:v>2022</x:v>
      </x:c>
      <x:c r="D38" s="18" t="n">
        <x:v>44793</x:v>
      </x:c>
      <x:c r="E38" s="18" t="n">
        <x:v>44793</x:v>
      </x:c>
      <x:c r="F38" s="19" t="n">
        <x:v>103.76595541</x:v>
      </x:c>
      <x:c r="G38" s="19" t="n">
        <x:v>1.51143829</x:v>
      </x:c>
      <x:c r="H38" s="12" t="str">
        <x:v>NO</x:v>
      </x:c>
      <x:c r="I38" s="12" t="str">
        <x:v>DO NOT PLOT</x:v>
      </x:c>
      <x:c r="J38" s="12" t="str">
        <x:v>JBLOC-0143</x:v>
      </x:c>
      <x:c r="K38" s="12" t="str">
        <x:v>S2022-020</x:v>
      </x:c>
      <x:c r="L38" s="12"/>
    </x:row>
    <x:row r="39">
      <x:c r="A39" s="12" t="str">
        <x:v>FLOC-0126</x:v>
      </x:c>
      <x:c r="B39" s="12" t="str">
        <x:v>Kampung Wawasan, Gelang Patah (JPS label)</x:v>
      </x:c>
      <x:c r="C39" s="12" t="str">
        <x:v>2020</x:v>
      </x:c>
      <x:c r="D39" s="18" t="n">
        <x:v>44002</x:v>
      </x:c>
      <x:c r="E39" s="18" t="n">
        <x:v>44002</x:v>
      </x:c>
      <x:c r="F39" s="19" t="n">
        <x:v>103.6039</x:v>
      </x:c>
      <x:c r="G39" s="19" t="n">
        <x:v>1.4415</x:v>
      </x:c>
      <x:c r="H39" s="12" t="str">
        <x:v>NO</x:v>
      </x:c>
      <x:c r="I39" s="12" t="str">
        <x:v>DO NOT PLOT</x:v>
      </x:c>
      <x:c r="J39" s="12" t="str">
        <x:v>JBLOC-0149</x:v>
      </x:c>
      <x:c r="K39" s="12" t="str">
        <x:v>LOC-CAND-JB-KG-WAWASAN-GP</x:v>
      </x:c>
      <x:c r="L39" s="12"/>
    </x:row>
    <x:row r="40">
      <x:c r="A40" s="12" t="str">
        <x:v>FLOC-0127</x:v>
      </x:c>
      <x:c r="B40" s="12" t="str">
        <x:v>Kangkar (source-short-name)</x:v>
      </x:c>
      <x:c r="C40" s="12" t="str">
        <x:v>2023</x:v>
      </x:c>
      <x:c r="D40" s="18" t="n">
        <x:v>44986</x:v>
      </x:c>
      <x:c r="E40" s="18" t="n">
        <x:v>44986</x:v>
      </x:c>
      <x:c r="F40" s="19"/>
      <x:c r="G40" s="19"/>
      <x:c r="H40" s="12" t="str">
        <x:v>NO</x:v>
      </x:c>
      <x:c r="I40" s="12" t="str">
        <x:v>DO NOT PLOT</x:v>
      </x:c>
      <x:c r="J40" s="12" t="str">
        <x:v>JBLOC-0150</x:v>
      </x:c>
      <x:c r="K40" s="12" t="str">
        <x:v>S2023-010</x:v>
      </x:c>
      <x:c r="L40" s="12"/>
    </x:row>
    <x:row r="41">
      <x:c r="A41" s="12" t="str">
        <x:v>FLOC-0128</x:v>
      </x:c>
      <x:c r="B41" s="12" t="str">
        <x:v>KD Maju Jaya</x:v>
      </x:c>
      <x:c r="C41" s="12" t="str">
        <x:v>2025</x:v>
      </x:c>
      <x:c r="D41" s="18" t="n">
        <x:v>45737</x:v>
      </x:c>
      <x:c r="E41" s="18" t="n">
        <x:v>45737</x:v>
      </x:c>
      <x:c r="F41" s="19"/>
      <x:c r="G41" s="19"/>
      <x:c r="H41" s="12" t="str">
        <x:v>NO</x:v>
      </x:c>
      <x:c r="I41" s="12" t="str">
        <x:v>DO NOT PLOT</x:v>
      </x:c>
      <x:c r="J41" s="12" t="str">
        <x:v>JBLOC-0151</x:v>
      </x:c>
      <x:c r="K41" s="12" t="str">
        <x:v>S2025-022</x:v>
      </x:c>
      <x:c r="L41" s="12"/>
    </x:row>
    <x:row r="42">
      <x:c r="A42" s="12" t="str">
        <x:v>FLOC-0143</x:v>
      </x:c>
      <x:c r="B42" s="12" t="str">
        <x:v>Kuil Sri Muniswarar Maha Mariamman, Kampung Kangkar Tebrau Kiri</x:v>
      </x:c>
      <x:c r="C42" s="12" t="str">
        <x:v>2024</x:v>
      </x:c>
      <x:c r="D42" s="18" t="n">
        <x:v>45315</x:v>
      </x:c>
      <x:c r="E42" s="18" t="n">
        <x:v>45315</x:v>
      </x:c>
      <x:c r="F42" s="19"/>
      <x:c r="G42" s="19"/>
      <x:c r="H42" s="12" t="str">
        <x:v>NO</x:v>
      </x:c>
      <x:c r="I42" s="12" t="str">
        <x:v>DO NOT PLOT</x:v>
      </x:c>
      <x:c r="J42" s="12" t="str">
        <x:v>JBLOC-0159</x:v>
      </x:c>
      <x:c r="K42" s="12" t="str">
        <x:v>S2024-015</x:v>
      </x:c>
      <x:c r="L42" s="12"/>
    </x:row>
    <x:row r="43">
      <x:c r="A43" s="12" t="str">
        <x:v>FLOC-0146</x:v>
      </x:c>
      <x:c r="B43" s="12" t="str">
        <x:v>Lebuhraya Pasir Gudang near Taman Rinting interchange</x:v>
      </x:c>
      <x:c r="C43" s="12" t="str">
        <x:v>2025</x:v>
      </x:c>
      <x:c r="D43" s="18" t="n">
        <x:v>45763</x:v>
      </x:c>
      <x:c r="E43" s="18" t="n">
        <x:v>45763</x:v>
      </x:c>
      <x:c r="F43" s="19"/>
      <x:c r="G43" s="19"/>
      <x:c r="H43" s="12" t="str">
        <x:v>NO</x:v>
      </x:c>
      <x:c r="I43" s="12" t="str">
        <x:v>DO NOT PLOT</x:v>
      </x:c>
      <x:c r="J43" s="12" t="str">
        <x:v>JBLOC-0162</x:v>
      </x:c>
      <x:c r="K43" s="12" t="str">
        <x:v>S2025-032</x:v>
      </x:c>
      <x:c r="L43" s="12"/>
    </x:row>
    <x:row r="44">
      <x:c r="A44" s="12" t="str">
        <x:v>FLOC-0147</x:v>
      </x:c>
      <x:c r="B44" s="12" t="str">
        <x:v>Lima Kedai, Stadium Baru</x:v>
      </x:c>
      <x:c r="C44" s="12" t="str">
        <x:v>2019</x:v>
      </x:c>
      <x:c r="D44" s="18" t="n">
        <x:v>43760</x:v>
      </x:c>
      <x:c r="E44" s="18" t="n">
        <x:v>43760</x:v>
      </x:c>
      <x:c r="F44" s="19" t="n">
        <x:v>103.61698</x:v>
      </x:c>
      <x:c r="G44" s="19" t="n">
        <x:v>1.50231</x:v>
      </x:c>
      <x:c r="H44" s="12" t="str">
        <x:v>NO</x:v>
      </x:c>
      <x:c r="I44" s="12" t="str">
        <x:v>DO NOT PLOT</x:v>
      </x:c>
      <x:c r="J44" s="12" t="str">
        <x:v>JBLOC-0163</x:v>
      </x:c>
      <x:c r="K44" s="12" t="str">
        <x:v>LOC-JB-LIMA-KEDAI-STADIUM-BARU</x:v>
      </x:c>
      <x:c r="L44" s="12"/>
    </x:row>
    <x:row r="45">
      <x:c r="A45" s="12" t="str">
        <x:v>FLOC-0149</x:v>
      </x:c>
      <x:c r="B45" s="12" t="str">
        <x:v>Lorong Mak Piah, Kampung Sungai Tiram</x:v>
      </x:c>
      <x:c r="C45" s="12" t="str">
        <x:v>2023;2024</x:v>
      </x:c>
      <x:c r="D45" s="18" t="n">
        <x:v>45231</x:v>
      </x:c>
      <x:c r="E45" s="18" t="n">
        <x:v>45298</x:v>
      </x:c>
      <x:c r="F45" s="19"/>
      <x:c r="G45" s="19"/>
      <x:c r="H45" s="12" t="str">
        <x:v>NO</x:v>
      </x:c>
      <x:c r="I45" s="12" t="str">
        <x:v>DO NOT PLOT</x:v>
      </x:c>
      <x:c r="J45" s="12" t="str">
        <x:v>JBLOC-0165</x:v>
      </x:c>
      <x:c r="K45" s="12" t="str">
        <x:v>S2023-011; S2024-005</x:v>
      </x:c>
      <x:c r="L45" s="12"/>
    </x:row>
    <x:row r="46">
      <x:c r="A46" s="12" t="str">
        <x:v>FLOC-0153</x:v>
      </x:c>
      <x:c r="B46" s="12" t="str">
        <x:v>No corroborated Skudai locality; official Kg. Sialang Dalam = Tangkak</x:v>
      </x:c>
      <x:c r="C46" s="12" t="str">
        <x:v>2017</x:v>
      </x:c>
      <x:c r="D46" s="18" t="n">
        <x:v>42997</x:v>
      </x:c>
      <x:c r="E46" s="18" t="n">
        <x:v>42997</x:v>
      </x:c>
      <x:c r="F46" s="19"/>
      <x:c r="G46" s="19"/>
      <x:c r="H46" s="12" t="str">
        <x:v>NO</x:v>
      </x:c>
      <x:c r="I46" s="12" t="str">
        <x:v>DO NOT PLOT</x:v>
      </x:c>
      <x:c r="J46" s="12" t="str">
        <x:v>JBLOC-0169</x:v>
      </x:c>
      <x:c r="K46" s="12" t="str">
        <x:v>LOC-CAND-JB-KG-SIALANG-DALAM-SKUDAI</x:v>
      </x:c>
      <x:c r="L46" s="12"/>
    </x:row>
    <x:row r="47">
      <x:c r="A47" s="12" t="str">
        <x:v>FLOC-0158</x:v>
      </x:c>
      <x:c r="B47" s="12" t="str">
        <x:v>Rumah Orang Tua Sam Poh</x:v>
      </x:c>
      <x:c r="C47" s="12" t="str">
        <x:v>2021</x:v>
      </x:c>
      <x:c r="D47" s="18" t="n">
        <x:v>44198</x:v>
      </x:c>
      <x:c r="E47" s="18" t="n">
        <x:v>44198</x:v>
      </x:c>
      <x:c r="F47" s="19"/>
      <x:c r="G47" s="19"/>
      <x:c r="H47" s="12" t="str">
        <x:v>NO</x:v>
      </x:c>
      <x:c r="I47" s="12" t="str">
        <x:v>DO NOT PLOT</x:v>
      </x:c>
      <x:c r="J47" s="12" t="str">
        <x:v>JBLOC-0174</x:v>
      </x:c>
      <x:c r="K47" s="12" t="str">
        <x:v>S2021-005</x:v>
      </x:c>
      <x:c r="L47" s="12"/>
    </x:row>
    <x:row r="48">
      <x:c r="A48" s="12" t="str">
        <x:v>FLOC-0159</x:v>
      </x:c>
      <x:c r="B48" s="12" t="str">
        <x:v>Rumah Seri Kenangan Johor Bahru</x:v>
      </x:c>
      <x:c r="C48" s="12" t="str">
        <x:v>2018</x:v>
      </x:c>
      <x:c r="D48" s="18" t="n">
        <x:v>43382</x:v>
      </x:c>
      <x:c r="E48" s="18" t="n">
        <x:v>43382</x:v>
      </x:c>
      <x:c r="F48" s="19" t="n">
        <x:v>103.7389388</x:v>
      </x:c>
      <x:c r="G48" s="19" t="n">
        <x:v>1.51349551</x:v>
      </x:c>
      <x:c r="H48" s="12" t="str">
        <x:v>NO</x:v>
      </x:c>
      <x:c r="I48" s="12" t="str">
        <x:v>DO NOT PLOT</x:v>
      </x:c>
      <x:c r="J48" s="12" t="str">
        <x:v>JBLOC-0175</x:v>
      </x:c>
      <x:c r="K48" s="12" t="str">
        <x:v>LOC-JB-RSK-UNGKU-MOHSIN</x:v>
      </x:c>
      <x:c r="L48" s="12"/>
    </x:row>
    <x:row r="49">
      <x:c r="A49" s="12" t="str">
        <x:v>FLOC-0160</x:v>
      </x:c>
      <x:c r="B49" s="12" t="str">
        <x:v>Sanctuary Garden, Tebrau</x:v>
      </x:c>
      <x:c r="C49" s="12" t="str">
        <x:v>2022</x:v>
      </x:c>
      <x:c r="D49" s="18" t="n">
        <x:v>44872</x:v>
      </x:c>
      <x:c r="E49" s="18" t="n">
        <x:v>44872</x:v>
      </x:c>
      <x:c r="F49" s="19"/>
      <x:c r="G49" s="19"/>
      <x:c r="H49" s="12" t="str">
        <x:v>NO</x:v>
      </x:c>
      <x:c r="I49" s="12" t="str">
        <x:v>DO NOT PLOT</x:v>
      </x:c>
      <x:c r="J49" s="12" t="str">
        <x:v>JBLOC-0176</x:v>
      </x:c>
      <x:c r="K49" s="12" t="str">
        <x:v>S2022-033</x:v>
      </x:c>
      <x:c r="L49" s="12"/>
    </x:row>
    <x:row r="50">
      <x:c r="A50" s="12" t="str">
        <x:v>FLOC-0163</x:v>
      </x:c>
      <x:c r="B50" s="12" t="str">
        <x:v>Simpang Ladang Mados</x:v>
      </x:c>
      <x:c r="C50" s="12" t="str">
        <x:v>2024</x:v>
      </x:c>
      <x:c r="D50" s="18" t="n">
        <x:v>45298</x:v>
      </x:c>
      <x:c r="E50" s="18" t="n">
        <x:v>45298</x:v>
      </x:c>
      <x:c r="F50" s="19"/>
      <x:c r="G50" s="19"/>
      <x:c r="H50" s="12" t="str">
        <x:v>NO</x:v>
      </x:c>
      <x:c r="I50" s="12" t="str">
        <x:v>DO NOT PLOT</x:v>
      </x:c>
      <x:c r="J50" s="12" t="str">
        <x:v>JBLOC-0183</x:v>
      </x:c>
      <x:c r="K50" s="12" t="str">
        <x:v>S2024-006</x:v>
      </x:c>
      <x:c r="L50" s="12"/>
    </x:row>
    <x:row r="51">
      <x:c r="A51" s="12" t="str">
        <x:v>FLOC-0164</x:v>
      </x:c>
      <x:c r="B51" s="12" t="str">
        <x:v>Simpang Mados</x:v>
      </x:c>
      <x:c r="C51" s="12" t="str">
        <x:v>2021</x:v>
      </x:c>
      <x:c r="D51" s="18" t="n">
        <x:v>44206</x:v>
      </x:c>
      <x:c r="E51" s="18" t="n">
        <x:v>44206</x:v>
      </x:c>
      <x:c r="F51" s="19"/>
      <x:c r="G51" s="19"/>
      <x:c r="H51" s="12" t="str">
        <x:v>NO</x:v>
      </x:c>
      <x:c r="I51" s="12" t="str">
        <x:v>DO NOT PLOT</x:v>
      </x:c>
      <x:c r="J51" s="12" t="str">
        <x:v>JBLOC-0184</x:v>
      </x:c>
      <x:c r="K51" s="12" t="str">
        <x:v>S2021-012</x:v>
      </x:c>
      <x:c r="L51" s="12"/>
    </x:row>
    <x:row r="52">
      <x:c r="A52" s="12" t="str">
        <x:v>FLOC-0170</x:v>
      </x:c>
      <x:c r="B52" s="12" t="str">
        <x:v>Tabika Kemas, Skudai Kiri</x:v>
      </x:c>
      <x:c r="C52" s="12" t="str">
        <x:v>2022</x:v>
      </x:c>
      <x:c r="D52" s="18" t="n">
        <x:v>44829</x:v>
      </x:c>
      <x:c r="E52" s="18" t="n">
        <x:v>44829</x:v>
      </x:c>
      <x:c r="F52" s="19"/>
      <x:c r="G52" s="19"/>
      <x:c r="H52" s="12" t="str">
        <x:v>NO</x:v>
      </x:c>
      <x:c r="I52" s="12" t="str">
        <x:v>DO NOT PLOT</x:v>
      </x:c>
      <x:c r="J52" s="12" t="str">
        <x:v>JBLOC-0186</x:v>
      </x:c>
      <x:c r="K52" s="12" t="str">
        <x:v>S2022-028</x:v>
      </x:c>
      <x:c r="L52" s="12"/>
    </x:row>
    <x:row r="53">
      <x:c r="A53" s="12" t="str">
        <x:v>FLOC-0171</x:v>
      </x:c>
      <x:c r="B53" s="12" t="str">
        <x:v>Tadika &amp; Taska Umiku Sayang, Jalan Mohd Amin</x:v>
      </x:c>
      <x:c r="C53" s="12" t="str">
        <x:v>2026</x:v>
      </x:c>
      <x:c r="D53" s="18" t="n">
        <x:v>46295</x:v>
      </x:c>
      <x:c r="E53" s="18" t="n">
        <x:v>46295</x:v>
      </x:c>
      <x:c r="F53" s="19"/>
      <x:c r="G53" s="19"/>
      <x:c r="H53" s="12" t="str">
        <x:v>NO</x:v>
      </x:c>
      <x:c r="I53" s="12" t="str">
        <x:v>DO NOT PLOT</x:v>
      </x:c>
      <x:c r="J53" s="12" t="str">
        <x:v>JBLOC-0187</x:v>
      </x:c>
      <x:c r="K53" s="12" t="str">
        <x:v>S2026-014</x:v>
      </x:c>
      <x:c r="L53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24" hidden="0" customWidth="1"/>
    <x:col min="5" max="5" width="15" hidden="0" customWidth="1"/>
    <x:col min="6" max="6" width="15" hidden="0" customWidth="1"/>
    <x:col min="7" max="7" width="9" hidden="0" customWidth="1"/>
    <x:col min="8" max="8" width="9" hidden="0" customWidth="1"/>
    <x:col min="9" max="9" width="9" hidden="0" customWidth="1"/>
    <x:col min="10" max="10" width="20" hidden="0" customWidth="1"/>
    <x:col min="11" max="11" width="58" hidden="0" customWidth="1"/>
    <x:col min="12" max="12" width="58" hidden="0" customWidth="1"/>
    <x:col min="13" max="13" width="14" hidden="0" customWidth="1"/>
    <x:col min="14" max="14" width="36" hidden="0" customWidth="1"/>
    <x:col min="15" max="15" width="16" hidden="0" customWidth="1"/>
  </x:cols>
  <x:sheetData>
    <x:row r="1">
      <x:c r="A1" s="6" t="str">
        <x:v>GIS_ID</x:v>
      </x:c>
      <x:c r="B1" s="6" t="str">
        <x:v>洪涝分类</x:v>
      </x:c>
      <x:c r="C1" s="6" t="str">
        <x:v>地点名称</x:v>
      </x:c>
      <x:c r="D1" s="6" t="str">
        <x:v>子区/Mukim</x:v>
      </x:c>
      <x:c r="E1" s="6" t="str">
        <x:v>经度_WGS84</x:v>
      </x:c>
      <x:c r="F1" s="6" t="str">
        <x:v>纬度_WGS84</x:v>
      </x:c>
      <x:c r="G1" s="6" t="str">
        <x:v>2022</x:v>
      </x:c>
      <x:c r="H1" s="6" t="str">
        <x:v>2023</x:v>
      </x:c>
      <x:c r="I1" s="6" t="str">
        <x:v>2025</x:v>
      </x:c>
      <x:c r="J1" s="6" t="str">
        <x:v>年份组合</x:v>
      </x:c>
      <x:c r="K1" s="6" t="str">
        <x:v>经常洪涝判定依据</x:v>
      </x:c>
      <x:c r="L1" s="6" t="str">
        <x:v>GIS标注建议</x:v>
      </x:c>
      <x:c r="M1" s="6" t="str">
        <x:v>Final_Location_ID</x:v>
      </x:c>
      <x:c r="N1" s="6" t="str">
        <x:v>Final_Standardized_Location</x:v>
      </x:c>
      <x:c r="O1" s="6" t="str">
        <x:v>Representation_QA</x:v>
      </x:c>
    </x:row>
    <x:row r="2">
      <x:c r="A2" s="12" t="str">
        <x:v>HF01</x:v>
      </x:c>
      <x:c r="B2" s="12" t="str">
        <x:v>经常洪涝</x:v>
      </x:c>
      <x:c r="C2" s="12" t="str">
        <x:v>Jalan Ayer Molek</x:v>
      </x:c>
      <x:c r="D2" s="12" t="str">
        <x:v>Bandar Johor Bahru</x:v>
      </x:c>
      <x:c r="E2" s="12" t="n">
        <x:v>103.7587117</x:v>
      </x:c>
      <x:c r="F2" s="12" t="n">
        <x:v>1.4594963</x:v>
      </x:c>
      <x:c r="G2" s="12" t="str">
        <x:v>是</x:v>
      </x:c>
      <x:c r="H2" s="12" t="str">
        <x:v>是</x:v>
      </x:c>
      <x:c r="I2" s="12"/>
      <x:c r="J2" s="12" t="str">
        <x:v>2022+2023</x:v>
      </x:c>
      <x:c r="K2" s="12" t="str">
        <x:v>官方2025政策热点（定义：近3年至少发生3次洪涝）；多年份历史记录（2个不同年份）</x:v>
      </x:c>
      <x:c r="L2" s="12" t="str">
        <x:v>道路/走廊：GIS中沿道路中心线标注；如无明确淹水长度，不自行扩展为面。</x:v>
      </x:c>
      <x:c r="M2" s="12" t="str">
        <x:v>FLOC-0019</x:v>
      </x:c>
      <x:c r="N2" s="12" t="str">
        <x:v>Jalan Ayer Molek</x:v>
      </x:c>
      <x:c r="O2" s="12" t="str">
        <x:v>PASS</x:v>
      </x:c>
    </x:row>
    <x:row r="3">
      <x:c r="A3" s="12" t="str">
        <x:v>HF02</x:v>
      </x:c>
      <x:c r="B3" s="12" t="str">
        <x:v>经常洪涝</x:v>
      </x:c>
      <x:c r="C3" s="12" t="str">
        <x:v>Jalan Kolam Ayer</x:v>
      </x:c>
      <x:c r="D3" s="12" t="str">
        <x:v>Bandar Johor Bahru</x:v>
      </x:c>
      <x:c r="E3" s="12" t="n">
        <x:v>103.7220526</x:v>
      </x:c>
      <x:c r="F3" s="12" t="n">
        <x:v>1.48238540000001</x:v>
      </x:c>
      <x:c r="G3" s="12" t="str">
        <x:v>是</x:v>
      </x:c>
      <x:c r="H3" s="12" t="str">
        <x:v>是</x:v>
      </x:c>
      <x:c r="I3" s="12"/>
      <x:c r="J3" s="12" t="str">
        <x:v>2022+2023</x:v>
      </x:c>
      <x:c r="K3" s="12" t="str">
        <x:v>官方2025政策热点（定义：近3年至少发生3次洪涝）；多年份历史记录（2个不同年份）</x:v>
      </x:c>
      <x:c r="L3" s="12" t="str">
        <x:v>道路/走廊：GIS中沿道路中心线标注；如无明确淹水长度，不自行扩展为面。</x:v>
      </x:c>
      <x:c r="M3" s="12" t="str">
        <x:v>FLOC-0035</x:v>
      </x:c>
      <x:c r="N3" s="12" t="str">
        <x:v>Jalan Kolam Ayer</x:v>
      </x:c>
      <x:c r="O3" s="12" t="str">
        <x:v>PASS</x:v>
      </x:c>
    </x:row>
    <x:row r="4">
      <x:c r="A4" s="12" t="str">
        <x:v>HF03</x:v>
      </x:c>
      <x:c r="B4" s="12" t="str">
        <x:v>经常洪涝</x:v>
      </x:c>
      <x:c r="C4" s="12" t="str">
        <x:v>Jalan Mahmoodiah</x:v>
      </x:c>
      <x:c r="D4" s="12" t="str">
        <x:v>Bandar Johor Bahru</x:v>
      </x:c>
      <x:c r="E4" s="12" t="n">
        <x:v>103.7482815</x:v>
      </x:c>
      <x:c r="F4" s="12" t="n">
        <x:v>1.4629658</x:v>
      </x:c>
      <x:c r="G4" s="12" t="str">
        <x:v>是</x:v>
      </x:c>
      <x:c r="H4" s="12" t="str">
        <x:v>是</x:v>
      </x:c>
      <x:c r="I4" s="12"/>
      <x:c r="J4" s="12" t="str">
        <x:v>2022+2023</x:v>
      </x:c>
      <x:c r="K4" s="12" t="str">
        <x:v>多年份历史记录（2个不同年份）</x:v>
      </x:c>
      <x:c r="L4" s="12" t="str">
        <x:v>道路/走廊：GIS中沿道路中心线标注；如无明确淹水长度，不自行扩展为面。</x:v>
      </x:c>
      <x:c r="M4" s="12" t="str">
        <x:v>FLOC-0039</x:v>
      </x:c>
      <x:c r="N4" s="12" t="str">
        <x:v>Jalan Mahmoodiah</x:v>
      </x:c>
      <x:c r="O4" s="12" t="str">
        <x:v>PASS</x:v>
      </x:c>
    </x:row>
    <x:row r="5">
      <x:c r="A5" s="12" t="str">
        <x:v>HF04</x:v>
      </x:c>
      <x:c r="B5" s="12" t="str">
        <x:v>经常洪涝</x:v>
      </x:c>
      <x:c r="C5" s="12" t="str">
        <x:v>Jalan Sungai Chat</x:v>
      </x:c>
      <x:c r="D5" s="12" t="str">
        <x:v>Bandar Johor Bahru</x:v>
      </x:c>
      <x:c r="E5" s="12" t="n">
        <x:v>103.7385575</x:v>
      </x:c>
      <x:c r="F5" s="12" t="n">
        <x:v>1.4609922</x:v>
      </x:c>
      <x:c r="G5" s="12" t="str">
        <x:v>是</x:v>
      </x:c>
      <x:c r="H5" s="12" t="str">
        <x:v>是</x:v>
      </x:c>
      <x:c r="I5" s="12"/>
      <x:c r="J5" s="12" t="str">
        <x:v>2022+2023</x:v>
      </x:c>
      <x:c r="K5" s="12" t="str">
        <x:v>多年份历史记录（2个不同年份）</x:v>
      </x:c>
      <x:c r="L5" s="12" t="str">
        <x:v>道路/走廊：GIS中沿道路中心线标注；如无明确淹水长度，不自行扩展为面。</x:v>
      </x:c>
      <x:c r="M5" s="12" t="str">
        <x:v>FLOC-0062</x:v>
      </x:c>
      <x:c r="N5" s="12" t="str">
        <x:v>Jalan Sungai Chat</x:v>
      </x:c>
      <x:c r="O5" s="12" t="str">
        <x:v>PASS</x:v>
      </x:c>
    </x:row>
    <x:row r="6">
      <x:c r="A6" s="12" t="str">
        <x:v>HF05</x:v>
      </x:c>
      <x:c r="B6" s="12" t="str">
        <x:v>经常洪涝</x:v>
      </x:c>
      <x:c r="C6" s="12" t="str">
        <x:v>Jalan Tebrau</x:v>
      </x:c>
      <x:c r="D6" s="12" t="str">
        <x:v>Bandar Johor Bahru</x:v>
      </x:c>
      <x:c r="E6" s="12" t="n">
        <x:v>103.762918</x:v>
      </x:c>
      <x:c r="F6" s="12" t="n">
        <x:v>1.47486940000001</x:v>
      </x:c>
      <x:c r="G6" s="12" t="str">
        <x:v>是</x:v>
      </x:c>
      <x:c r="H6" s="12" t="str">
        <x:v>是</x:v>
      </x:c>
      <x:c r="I6" s="12"/>
      <x:c r="J6" s="12" t="str">
        <x:v>2022+2023</x:v>
      </x:c>
      <x:c r="K6" s="12" t="str">
        <x:v>多年份历史记录（2个不同年份）</x:v>
      </x:c>
      <x:c r="L6" s="12" t="str">
        <x:v>道路/走廊：GIS中沿道路中心线标注；如无明确淹水长度，不自行扩展为面。</x:v>
      </x:c>
      <x:c r="M6" s="12" t="str">
        <x:v>FLOC-0065</x:v>
      </x:c>
      <x:c r="N6" s="12" t="str">
        <x:v>Jalan Tebrau</x:v>
      </x:c>
      <x:c r="O6" s="12" t="str">
        <x:v>PASS</x:v>
      </x:c>
    </x:row>
    <x:row r="7">
      <x:c r="A7" s="12" t="str">
        <x:v>HF06</x:v>
      </x:c>
      <x:c r="B7" s="12" t="str">
        <x:v>经常洪涝</x:v>
      </x:c>
      <x:c r="C7" s="12" t="str">
        <x:v>Jalan Tun Abdul Razak</x:v>
      </x:c>
      <x:c r="D7" s="12" t="str">
        <x:v>Bandar Johor Bahru</x:v>
      </x:c>
      <x:c r="E7" s="12" t="n">
        <x:v>103.7527329</x:v>
      </x:c>
      <x:c r="F7" s="12" t="n">
        <x:v>1.48037910000001</x:v>
      </x:c>
      <x:c r="G7" s="12" t="str">
        <x:v>是</x:v>
      </x:c>
      <x:c r="H7" s="12" t="str">
        <x:v>是</x:v>
      </x:c>
      <x:c r="I7" s="12"/>
      <x:c r="J7" s="12" t="str">
        <x:v>2022+2023</x:v>
      </x:c>
      <x:c r="K7" s="12" t="str">
        <x:v>多年份历史记录（2个不同年份）</x:v>
      </x:c>
      <x:c r="L7" s="12" t="str">
        <x:v>道路/走廊：GIS中沿道路中心线标注；如无明确淹水长度，不自行扩展为面。</x:v>
      </x:c>
      <x:c r="M7" s="12" t="str">
        <x:v>FLOC-0068</x:v>
      </x:c>
      <x:c r="N7" s="12" t="str">
        <x:v>Jalan Tun Abdul Razak</x:v>
      </x:c>
      <x:c r="O7" s="12" t="str">
        <x:v>PASS</x:v>
      </x:c>
    </x:row>
    <x:row r="8">
      <x:c r="A8" s="12" t="str">
        <x:v>HF07</x:v>
      </x:c>
      <x:c r="B8" s="12" t="str">
        <x:v>经常洪涝</x:v>
      </x:c>
      <x:c r="C8" s="12" t="str">
        <x:v>Jalan Yahya Awal</x:v>
      </x:c>
      <x:c r="D8" s="12" t="str">
        <x:v>Bandar Johor Bahru</x:v>
      </x:c>
      <x:c r="E8" s="12" t="n">
        <x:v>103.7553464</x:v>
      </x:c>
      <x:c r="F8" s="12" t="n">
        <x:v>1.46337250000001</x:v>
      </x:c>
      <x:c r="G8" s="12" t="str">
        <x:v>是</x:v>
      </x:c>
      <x:c r="H8" s="12" t="str">
        <x:v>是</x:v>
      </x:c>
      <x:c r="I8" s="12"/>
      <x:c r="J8" s="12" t="str">
        <x:v>2022+2023</x:v>
      </x:c>
      <x:c r="K8" s="12" t="str">
        <x:v>多年份历史记录（2个不同年份）</x:v>
      </x:c>
      <x:c r="L8" s="12" t="str">
        <x:v>道路/走廊：GIS中沿道路中心线标注；如无明确淹水长度，不自行扩展为面。</x:v>
      </x:c>
      <x:c r="M8" s="12" t="str">
        <x:v>FLOC-0071</x:v>
      </x:c>
      <x:c r="N8" s="12" t="str">
        <x:v>Jalan Yahya Awal</x:v>
      </x:c>
      <x:c r="O8" s="12" t="str">
        <x:v>PASS</x:v>
      </x:c>
    </x:row>
    <x:row r="9">
      <x:c r="A9" s="12" t="str">
        <x:v>HF08</x:v>
      </x:c>
      <x:c r="B9" s="12" t="str">
        <x:v>经常洪涝</x:v>
      </x:c>
      <x:c r="C9" s="12" t="str">
        <x:v>Kampung Mohd Amin</x:v>
      </x:c>
      <x:c r="D9" s="12" t="str">
        <x:v>Bandar Johor Bahru</x:v>
      </x:c>
      <x:c r="E9" s="12" t="n">
        <x:v>103.7354126</x:v>
      </x:c>
      <x:c r="F9" s="12" t="n">
        <x:v>1.46736369999999</x:v>
      </x:c>
      <x:c r="G9" s="12" t="str">
        <x:v>是</x:v>
      </x:c>
      <x:c r="H9" s="12" t="str">
        <x:v>是</x:v>
      </x:c>
      <x:c r="I9" s="12"/>
      <x:c r="J9" s="12" t="str">
        <x:v>2022+2023</x:v>
      </x:c>
      <x:c r="K9" s="12" t="str">
        <x:v>官方2025政策热点（定义：近3年至少发生3次洪涝）；多年份历史记录（2个不同年份）</x:v>
      </x:c>
      <x:c r="L9" s="12" t="str">
        <x:v>区域/社区：优先使用现有住宅区/社区真实边界；若无权威边界，用点位+名称标注，不用任意圆形缓冲代替真实洪涝范围。</x:v>
      </x:c>
      <x:c r="M9" s="12" t="str">
        <x:v>FLOC-0094</x:v>
      </x:c>
      <x:c r="N9" s="12" t="str">
        <x:v>Kampung Mohd Amin, Kolam Air</x:v>
      </x:c>
      <x:c r="O9" s="12" t="str">
        <x:v>PASS</x:v>
      </x:c>
    </x:row>
    <x:row r="10">
      <x:c r="A10" s="12" t="str">
        <x:v>HF09</x:v>
      </x:c>
      <x:c r="B10" s="12" t="str">
        <x:v>经常洪涝</x:v>
      </x:c>
      <x:c r="C10" s="12" t="str">
        <x:v>Taman Dato' Onn</x:v>
      </x:c>
      <x:c r="D10" s="12" t="str">
        <x:v>Bandar Johor Bahru</x:v>
      </x:c>
      <x:c r="E10" s="12" t="n">
        <x:v>103.7515869</x:v>
      </x:c>
      <x:c r="F10" s="12" t="n">
        <x:v>1.4877309</x:v>
      </x:c>
      <x:c r="G10" s="12"/>
      <x:c r="H10" s="12"/>
      <x:c r="I10" s="12"/>
      <x:c r="J10" s="12" t="str">
        <x:v>其他历史年份</x:v>
      </x:c>
      <x:c r="K10" s="12" t="str">
        <x:v>历史资料明确描述为反复/经常洪涝</x:v>
      </x:c>
      <x:c r="L10" s="12" t="str">
        <x:v>区域/社区：优先使用现有住宅区/社区真实边界；若无权威边界，用点位+名称标注，不用任意圆形缓冲代替真实洪涝范围。</x:v>
      </x:c>
      <x:c r="M10" s="12" t="str">
        <x:v>FLOC-0176</x:v>
      </x:c>
      <x:c r="N10" s="12" t="str">
        <x:v>Taman Dato' Onn</x:v>
      </x:c>
      <x:c r="O10" s="12" t="str">
        <x:v>PASS</x:v>
      </x:c>
    </x:row>
    <x:row r="11">
      <x:c r="A11" s="12" t="str">
        <x:v>HF10</x:v>
      </x:c>
      <x:c r="B11" s="12" t="str">
        <x:v>经常洪涝</x:v>
      </x:c>
      <x:c r="C11" s="12" t="str">
        <x:v>Jalan Stulang Darat</x:v>
      </x:c>
      <x:c r="D11" s="12" t="str">
        <x:v>Mukim Plentong</x:v>
      </x:c>
      <x:c r="E11" s="12" t="n">
        <x:v>103.7773894</x:v>
      </x:c>
      <x:c r="F11" s="12" t="n">
        <x:v>1.47246319999999</x:v>
      </x:c>
      <x:c r="G11" s="12" t="str">
        <x:v>是</x:v>
      </x:c>
      <x:c r="H11" s="12" t="str">
        <x:v>是</x:v>
      </x:c>
      <x:c r="I11" s="12"/>
      <x:c r="J11" s="12" t="str">
        <x:v>2022+2023</x:v>
      </x:c>
      <x:c r="K11" s="12" t="str">
        <x:v>多年份历史记录（2个不同年份）</x:v>
      </x:c>
      <x:c r="L11" s="12" t="str">
        <x:v>道路/走廊：GIS中沿道路中心线标注；如无明确淹水长度，不自行扩展为面。</x:v>
      </x:c>
      <x:c r="M11" s="12" t="str">
        <x:v>FLOC-0060</x:v>
      </x:c>
      <x:c r="N11" s="12" t="str">
        <x:v>Jalan Stulang Darat</x:v>
      </x:c>
      <x:c r="O11" s="12" t="str">
        <x:v>PASS</x:v>
      </x:c>
    </x:row>
    <x:row r="12">
      <x:c r="A12" s="12" t="str">
        <x:v>HF11</x:v>
      </x:c>
      <x:c r="B12" s="12" t="str">
        <x:v>经常洪涝</x:v>
      </x:c>
      <x:c r="C12" s="12" t="str">
        <x:v>Kampung Bendahara</x:v>
      </x:c>
      <x:c r="D12" s="12" t="str">
        <x:v>Mukim Plentong</x:v>
      </x:c>
      <x:c r="E12" s="12" t="n">
        <x:v>103.7627931</x:v>
      </x:c>
      <x:c r="F12" s="12" t="n">
        <x:v>1.512616</x:v>
      </x:c>
      <x:c r="G12" s="12"/>
      <x:c r="H12" s="12"/>
      <x:c r="I12" s="12"/>
      <x:c r="J12" s="12" t="str">
        <x:v>其他历史年份</x:v>
      </x:c>
      <x:c r="K12" s="12" t="str">
        <x:v>历史资料明确描述为反复/经常洪涝</x:v>
      </x:c>
      <x:c r="L12" s="12" t="str">
        <x:v>区域/社区：优先使用现有住宅区/社区真实边界；若无权威边界，用点位+名称标注，不用任意圆形缓冲代替真实洪涝范围。</x:v>
      </x:c>
      <x:c r="M12" s="12" t="str">
        <x:v>FLOC-0077</x:v>
      </x:c>
      <x:c r="N12" s="12" t="str">
        <x:v>Kampung Bendahara</x:v>
      </x:c>
      <x:c r="O12" s="12" t="str">
        <x:v>PASS</x:v>
      </x:c>
    </x:row>
    <x:row r="13">
      <x:c r="A13" s="12" t="str">
        <x:v>HF12</x:v>
      </x:c>
      <x:c r="B13" s="12" t="str">
        <x:v>经常洪涝</x:v>
      </x:c>
      <x:c r="C13" s="12" t="str">
        <x:v>Kampung Melayu Pandan</x:v>
      </x:c>
      <x:c r="D13" s="12" t="str">
        <x:v>Mukim Plentong</x:v>
      </x:c>
      <x:c r="E13" s="12" t="n">
        <x:v>103.773858346421</x:v>
      </x:c>
      <x:c r="F13" s="12" t="n">
        <x:v>1.52264915000001</x:v>
      </x:c>
      <x:c r="G13" s="12"/>
      <x:c r="H13" s="12"/>
      <x:c r="I13" s="12" t="str">
        <x:v>是</x:v>
      </x:c>
      <x:c r="J13" s="12" t="str">
        <x:v>2025</x:v>
      </x:c>
      <x:c r="K13" s="12" t="str">
        <x:v>官方2025政策热点（定义：近3年至少发生3次洪涝）</x:v>
      </x:c>
      <x:c r="L13" s="12" t="str">
        <x:v>区域/社区：优先使用现有住宅区/社区真实边界；若无权威边界，用点位+名称标注，不用任意圆形缓冲代替真实洪涝范围。</x:v>
      </x:c>
      <x:c r="M13" s="12" t="str">
        <x:v>FLOC-0093</x:v>
      </x:c>
      <x:c r="N13" s="12" t="str">
        <x:v>Kampung Melayu Pandan</x:v>
      </x:c>
      <x:c r="O13" s="12" t="str">
        <x:v>PASS</x:v>
      </x:c>
    </x:row>
    <x:row r="14">
      <x:c r="A14" s="12" t="str">
        <x:v>HF13</x:v>
      </x:c>
      <x:c r="B14" s="12" t="str">
        <x:v>经常洪涝</x:v>
      </x:c>
      <x:c r="C14" s="12" t="str">
        <x:v>Kampung Plentong Baru</x:v>
      </x:c>
      <x:c r="D14" s="12" t="str">
        <x:v>Mukim Plentong</x:v>
      </x:c>
      <x:c r="E14" s="12" t="n">
        <x:v>103.8166885</x:v>
      </x:c>
      <x:c r="F14" s="12" t="n">
        <x:v>1.5179158</x:v>
      </x:c>
      <x:c r="G14" s="12" t="str">
        <x:v>是</x:v>
      </x:c>
      <x:c r="H14" s="12"/>
      <x:c r="I14" s="12"/>
      <x:c r="J14" s="12" t="str">
        <x:v>2022</x:v>
      </x:c>
      <x:c r="K14" s="12" t="str">
        <x:v>官方2025政策热点（定义：近3年至少发生3次洪涝）</x:v>
      </x:c>
      <x:c r="L14" s="12" t="str">
        <x:v>区域/社区：优先使用现有住宅区/社区真实边界；若无权威边界，用点位+名称标注，不用任意圆形缓冲代替真实洪涝范围。</x:v>
      </x:c>
      <x:c r="M14" s="12" t="str">
        <x:v>FLOC-0107</x:v>
      </x:c>
      <x:c r="N14" s="12" t="str">
        <x:v>Kampung Plentong Baru</x:v>
      </x:c>
      <x:c r="O14" s="12" t="str">
        <x:v>PASS</x:v>
      </x:c>
    </x:row>
    <x:row r="15">
      <x:c r="A15" s="12" t="str">
        <x:v>HF14</x:v>
      </x:c>
      <x:c r="B15" s="12" t="str">
        <x:v>经常洪涝</x:v>
      </x:c>
      <x:c r="C15" s="12" t="str">
        <x:v>Kampung Pasir</x:v>
      </x:c>
      <x:c r="D15" s="12" t="str">
        <x:v>Mukim Pulai</x:v>
      </x:c>
      <x:c r="E15" s="12" t="n">
        <x:v>103.6969651</x:v>
      </x:c>
      <x:c r="F15" s="12" t="n">
        <x:v>1.49553030000001</x:v>
      </x:c>
      <x:c r="G15" s="12"/>
      <x:c r="H15" s="12"/>
      <x:c r="I15" s="12" t="str">
        <x:v>是</x:v>
      </x:c>
      <x:c r="J15" s="12" t="str">
        <x:v>2025</x:v>
      </x:c>
      <x:c r="K15" s="12" t="str">
        <x:v>官方2025政策热点（定义：近3年至少发生3次洪涝）</x:v>
      </x:c>
      <x:c r="L15" s="12" t="str">
        <x:v>区域/社区：优先使用现有住宅区/社区真实边界；若无权威边界，用点位+名称标注，不用任意圆形缓冲代替真实洪涝范围。</x:v>
      </x:c>
      <x:c r="M15" s="12" t="str">
        <x:v>FLOC-0096</x:v>
      </x:c>
      <x:c r="N15" s="12" t="str">
        <x:v>Kampung Pasir, Tampoi/Skudai</x:v>
      </x:c>
      <x:c r="O15" s="12" t="str">
        <x:v>PASS</x:v>
      </x:c>
    </x:row>
    <x:row r="16">
      <x:c r="A16" s="12" t="str">
        <x:v>HF15</x:v>
      </x:c>
      <x:c r="B16" s="12" t="str">
        <x:v>经常洪涝</x:v>
      </x:c>
      <x:c r="C16" s="12" t="str">
        <x:v>Kampung Sri Serdang</x:v>
      </x:c>
      <x:c r="D16" s="12" t="str">
        <x:v>Mukim Pulai</x:v>
      </x:c>
      <x:c r="E16" s="12" t="n">
        <x:v>103.6919335</x:v>
      </x:c>
      <x:c r="F16" s="12" t="n">
        <x:v>1.50174870000003</x:v>
      </x:c>
      <x:c r="G16" s="12"/>
      <x:c r="H16" s="12"/>
      <x:c r="I16" s="12" t="str">
        <x:v>是</x:v>
      </x:c>
      <x:c r="J16" s="12" t="str">
        <x:v>2025</x:v>
      </x:c>
      <x:c r="K16" s="12" t="str">
        <x:v>官方2025政策热点（定义：近3年至少发生3次洪涝）</x:v>
      </x:c>
      <x:c r="L16" s="12" t="str">
        <x:v>区域/社区：优先使用现有住宅区/社区真实边界；若无权威边界，用点位+名称标注，不用任意圆形缓冲代替真实洪涝范围。</x:v>
      </x:c>
      <x:c r="M16" s="12" t="str">
        <x:v>FLOC-0115</x:v>
      </x:c>
      <x:c r="N16" s="12" t="str">
        <x:v>Kampung Sri Serdang</x:v>
      </x:c>
      <x:c r="O16" s="12" t="str">
        <x:v>PASS</x:v>
      </x:c>
    </x:row>
    <x:row r="17">
      <x:c r="A17" s="12" t="str">
        <x:v>HF16</x:v>
      </x:c>
      <x:c r="B17" s="12" t="str">
        <x:v>经常洪涝</x:v>
      </x:c>
      <x:c r="C17" s="12" t="str">
        <x:v>Taman Tampoi Indah</x:v>
      </x:c>
      <x:c r="D17" s="12" t="str">
        <x:v>Mukim Pulai</x:v>
      </x:c>
      <x:c r="E17" s="12" t="n">
        <x:v>103.6818886</x:v>
      </x:c>
      <x:c r="F17" s="12" t="n">
        <x:v>1.51047560000001</x:v>
      </x:c>
      <x:c r="G17" s="12"/>
      <x:c r="H17" s="12"/>
      <x:c r="I17" s="12" t="str">
        <x:v>是</x:v>
      </x:c>
      <x:c r="J17" s="12" t="str">
        <x:v>2025</x:v>
      </x:c>
      <x:c r="K17" s="12" t="str">
        <x:v>官方2025政策热点（定义：近3年至少发生3次洪涝）</x:v>
      </x:c>
      <x:c r="L17" s="12" t="str">
        <x:v>区域/社区：优先使用现有住宅区/社区真实边界；若无权威边界，用点位+名称标注，不用任意圆形缓冲代替真实洪涝范围。</x:v>
      </x:c>
      <x:c r="M17" s="12" t="str">
        <x:v>FLOC-0193</x:v>
      </x:c>
      <x:c r="N17" s="12" t="str">
        <x:v>Taman Tampoi Indah</x:v>
      </x:c>
      <x:c r="O17" s="12" t="str">
        <x:v>PASS</x:v>
      </x:c>
    </x:row>
    <x:row r="18">
      <x:c r="A18" s="12" t="str">
        <x:v>HF17</x:v>
      </x:c>
      <x:c r="B18" s="12" t="str">
        <x:v>经常洪涝</x:v>
      </x:c>
      <x:c r="C18" s="12" t="str">
        <x:v>Kampung Kangkar Tebrau</x:v>
      </x:c>
      <x:c r="D18" s="12" t="str">
        <x:v>Mukim Tebrau</x:v>
      </x:c>
      <x:c r="E18" s="12" t="n">
        <x:v>103.756604173059</x:v>
      </x:c>
      <x:c r="F18" s="12" t="n">
        <x:v>1.531815</x:v>
      </x:c>
      <x:c r="G18" s="12"/>
      <x:c r="H18" s="12" t="str">
        <x:v>是</x:v>
      </x:c>
      <x:c r="I18" s="12" t="str">
        <x:v>是</x:v>
      </x:c>
      <x:c r="J18" s="12" t="str">
        <x:v>2023+2025</x:v>
      </x:c>
      <x:c r="K18" s="12" t="str">
        <x:v>官方2025政策热点（定义：近3年至少发生3次洪涝）；多年份历史记录（3个不同年份）；历史资料明确描述为反复/经常洪涝</x:v>
      </x:c>
      <x:c r="L18" s="12" t="str">
        <x:v>区域/社区：优先使用现有住宅区/社区真实边界；若无权威边界，用点位+名称标注，不用任意圆形缓冲代替真实洪涝范围。</x:v>
      </x:c>
      <x:c r="M18" s="12" t="str">
        <x:v>FLOC-0086</x:v>
      </x:c>
      <x:c r="N18" s="12" t="str">
        <x:v>Kampung Kangkar Tebrau</x:v>
      </x:c>
      <x:c r="O18" s="12" t="str">
        <x:v>PASS</x:v>
      </x:c>
    </x:row>
    <x:row r="19">
      <x:c r="A19" s="12" t="str">
        <x:v>HF18</x:v>
      </x:c>
      <x:c r="B19" s="12" t="str">
        <x:v>经常洪涝</x:v>
      </x:c>
      <x:c r="C19" s="12" t="str">
        <x:v>Kampung Maju Jaya</x:v>
      </x:c>
      <x:c r="D19" s="12" t="str">
        <x:v>Mukim Tebrau</x:v>
      </x:c>
      <x:c r="E19" s="12" t="n">
        <x:v>103.7159181</x:v>
      </x:c>
      <x:c r="F19" s="12" t="n">
        <x:v>1.58109209999999</x:v>
      </x:c>
      <x:c r="G19" s="12" t="str">
        <x:v>是</x:v>
      </x:c>
      <x:c r="H19" s="12"/>
      <x:c r="I19" s="12"/>
      <x:c r="J19" s="12" t="str">
        <x:v>2022</x:v>
      </x:c>
      <x:c r="K19" s="12" t="str">
        <x:v>官方2025政策热点（定义：近3年至少发生3次洪涝）；多年份历史记录（3个不同年份）；历史资料明确描述为反复/经常洪涝</x:v>
      </x:c>
      <x:c r="L19" s="12" t="str">
        <x:v>区域/社区：优先使用现有住宅区/社区真实边界；若无权威边界，用点位+名称标注，不用任意圆形缓冲代替真实洪涝范围。</x:v>
      </x:c>
      <x:c r="M19" s="12" t="str">
        <x:v>FLOC-0090</x:v>
      </x:c>
      <x:c r="N19" s="12" t="str">
        <x:v>Kampung Maju Jaya</x:v>
      </x:c>
      <x:c r="O19" s="12" t="str">
        <x:v>PASS</x:v>
      </x:c>
    </x:row>
    <x:row r="20">
      <x:c r="A20" s="12" t="str">
        <x:v>HF19</x:v>
      </x:c>
      <x:c r="B20" s="12" t="str">
        <x:v>经常洪涝</x:v>
      </x:c>
      <x:c r="C20" s="12" t="str">
        <x:v>Taman Istimewa</x:v>
      </x:c>
      <x:c r="D20" s="12" t="str">
        <x:v>Mukim Tebrau</x:v>
      </x:c>
      <x:c r="E20" s="12" t="n">
        <x:v>103.7698568</x:v>
      </x:c>
      <x:c r="F20" s="12" t="n">
        <x:v>1.5305637</x:v>
      </x:c>
      <x:c r="G20" s="12"/>
      <x:c r="H20" s="12"/>
      <x:c r="I20" s="12"/>
      <x:c r="J20" s="12" t="str">
        <x:v>其他历史年份</x:v>
      </x:c>
      <x:c r="K20" s="12" t="str">
        <x:v>多年份历史记录（2个不同年份）；历史资料明确描述为反复/经常洪涝</x:v>
      </x:c>
      <x:c r="L20" s="12" t="str">
        <x:v>区域/社区：优先使用现有住宅区/社区真实边界；若无权威边界，用点位+名称标注，不用任意圆形缓冲代替真实洪涝范围。</x:v>
      </x:c>
      <x:c r="M20" s="12" t="str">
        <x:v>FLOC-0178</x:v>
      </x:c>
      <x:c r="N20" s="12" t="str">
        <x:v>Taman Istimewa</x:v>
      </x:c>
      <x:c r="O20" s="12" t="str">
        <x:v>PASS</x:v>
      </x:c>
    </x:row>
    <x:row r="21">
      <x:c r="A21" s="12" t="str">
        <x:v>HF20</x:v>
      </x:c>
      <x:c r="B21" s="12" t="str">
        <x:v>经常洪涝</x:v>
      </x:c>
      <x:c r="C21" s="12" t="str">
        <x:v>Taman Setia Indah</x:v>
      </x:c>
      <x:c r="D21" s="12" t="str">
        <x:v>Mukim Tebrau</x:v>
      </x:c>
      <x:c r="E21" s="12" t="n">
        <x:v>103.7592769</x:v>
      </x:c>
      <x:c r="F21" s="12" t="n">
        <x:v>1.56898939999998</x:v>
      </x:c>
      <x:c r="G21" s="12"/>
      <x:c r="H21" s="12"/>
      <x:c r="I21" s="12"/>
      <x:c r="J21" s="12" t="str">
        <x:v>其他历史年份</x:v>
      </x:c>
      <x:c r="K21" s="12" t="str">
        <x:v>历史资料明确描述为反复/经常洪涝</x:v>
      </x:c>
      <x:c r="L21" s="12" t="str">
        <x:v>区域/社区：优先使用现有住宅区/社区真实边界；若无权威边界，用点位+名称标注，不用任意圆形缓冲代替真实洪涝范围。</x:v>
      </x:c>
      <x:c r="M21" s="12" t="str">
        <x:v>FLOC-0190</x:v>
      </x:c>
      <x:c r="N21" s="12" t="str">
        <x:v>Taman Setia Indah</x:v>
      </x:c>
      <x:c r="O21" s="12" t="str">
        <x:v>PASS</x:v>
      </x:c>
    </x:row>
    <x:row r="22">
      <x:c r="A22" s="12" t="str">
        <x:v>HF21</x:v>
      </x:c>
      <x:c r="B22" s="12" t="str">
        <x:v>发生洪涝</x:v>
      </x:c>
      <x:c r="C22" s="12" t="str">
        <x:v>Dataran Bandaraya Johor Bahru</x:v>
      </x:c>
      <x:c r="D22" s="12" t="str">
        <x:v>Bandar Johor Bahru</x:v>
      </x:c>
      <x:c r="E22" s="12" t="n">
        <x:v>103.74196336546</x:v>
      </x:c>
      <x:c r="F22" s="12" t="n">
        <x:v>1.4597388</x:v>
      </x:c>
      <x:c r="G22" s="12"/>
      <x:c r="H22" s="12" t="str">
        <x:v>是</x:v>
      </x:c>
      <x:c r="I22" s="12"/>
      <x:c r="J22" s="12" t="str">
        <x:v>2023</x:v>
      </x:c>
      <x:c r="K22" s="12"/>
      <x:c r="L22" s="12" t="str">
        <x:v>道路/走廊：GIS中沿道路中心线标注；如无明确淹水长度，不自行扩展为面。</x:v>
      </x:c>
      <x:c r="M22" s="12" t="str">
        <x:v>FLOC-0006</x:v>
      </x:c>
      <x:c r="N22" s="12" t="str">
        <x:v>Dataran Bandaraya Johor Bahru</x:v>
      </x:c>
      <x:c r="O22" s="12" t="str">
        <x:v>PASS</x:v>
      </x:c>
    </x:row>
    <x:row r="23">
      <x:c r="A23" s="12" t="str">
        <x:v>HF22</x:v>
      </x:c>
      <x:c r="B23" s="12" t="str">
        <x:v>发生洪涝</x:v>
      </x:c>
      <x:c r="C23" s="12" t="str">
        <x:v>Hospital Sultanah Aminah</x:v>
      </x:c>
      <x:c r="D23" s="12" t="str">
        <x:v>Bandar Johor Bahru</x:v>
      </x:c>
      <x:c r="E23" s="12" t="n">
        <x:v>103.7466457</x:v>
      </x:c>
      <x:c r="F23" s="12" t="n">
        <x:v>1.4575013</x:v>
      </x:c>
      <x:c r="G23" s="12" t="str">
        <x:v>是</x:v>
      </x:c>
      <x:c r="H23" s="12"/>
      <x:c r="I23" s="12"/>
      <x:c r="J23" s="12" t="str">
        <x:v>2022</x:v>
      </x:c>
      <x:c r="K23" s="12"/>
      <x:c r="L23" s="12" t="str">
        <x:v>设施点：以设施点位标注；仅说明该设施/周边发生洪涝，不扩大为区域。</x:v>
      </x:c>
      <x:c r="M23" s="12" t="str">
        <x:v>FLOC-0014</x:v>
      </x:c>
      <x:c r="N23" s="12" t="str">
        <x:v>Hospital Sultanah Aminah</x:v>
      </x:c>
      <x:c r="O23" s="12" t="str">
        <x:v>PASS</x:v>
      </x:c>
    </x:row>
    <x:row r="24">
      <x:c r="A24" s="12" t="str">
        <x:v>HF23</x:v>
      </x:c>
      <x:c r="B24" s="12" t="str">
        <x:v>发生洪涝</x:v>
      </x:c>
      <x:c r="C24" s="12" t="str">
        <x:v>Jalan Bilal Mahmood</x:v>
      </x:c>
      <x:c r="D24" s="12" t="str">
        <x:v>Bandar Johor Bahru</x:v>
      </x:c>
      <x:c r="E24" s="12" t="n">
        <x:v>103.7460468</x:v>
      </x:c>
      <x:c r="F24" s="12" t="n">
        <x:v>1.46528000000001</x:v>
      </x:c>
      <x:c r="G24" s="12"/>
      <x:c r="H24" s="12" t="str">
        <x:v>是</x:v>
      </x:c>
      <x:c r="I24" s="12"/>
      <x:c r="J24" s="12" t="str">
        <x:v>2023</x:v>
      </x:c>
      <x:c r="K24" s="12"/>
      <x:c r="L24" s="12" t="str">
        <x:v>道路/走廊：GIS中沿道路中心线标注；如无明确淹水长度，不自行扩展为面。</x:v>
      </x:c>
      <x:c r="M24" s="12" t="str">
        <x:v>FLOC-0020</x:v>
      </x:c>
      <x:c r="N24" s="12" t="str">
        <x:v>Jalan Bilal Mahmood</x:v>
      </x:c>
      <x:c r="O24" s="12" t="str">
        <x:v>PASS</x:v>
      </x:c>
    </x:row>
    <x:row r="25">
      <x:c r="A25" s="12" t="str">
        <x:v>HF24</x:v>
      </x:c>
      <x:c r="B25" s="12" t="str">
        <x:v>发生洪涝</x:v>
      </x:c>
      <x:c r="C25" s="12" t="str">
        <x:v>Jalan Dato Sulaiman</x:v>
      </x:c>
      <x:c r="D25" s="12" t="str">
        <x:v>Bandar Johor Bahru</x:v>
      </x:c>
      <x:c r="E25" s="12" t="n">
        <x:v>103.7570514</x:v>
      </x:c>
      <x:c r="F25" s="12" t="n">
        <x:v>1.48073119999999</x:v>
      </x:c>
      <x:c r="G25" s="12"/>
      <x:c r="H25" s="12" t="str">
        <x:v>是</x:v>
      </x:c>
      <x:c r="I25" s="12"/>
      <x:c r="J25" s="12" t="str">
        <x:v>2023</x:v>
      </x:c>
      <x:c r="K25" s="12"/>
      <x:c r="L25" s="12" t="str">
        <x:v>道路/走廊：GIS中沿道路中心线标注；如无明确淹水长度，不自行扩展为面。</x:v>
      </x:c>
      <x:c r="M25" s="12" t="str">
        <x:v>FLOC-0023</x:v>
      </x:c>
      <x:c r="N25" s="12" t="str">
        <x:v>Jalan Dato Sulaiman</x:v>
      </x:c>
      <x:c r="O25" s="12" t="str">
        <x:v>PASS</x:v>
      </x:c>
    </x:row>
    <x:row r="26">
      <x:c r="A26" s="12" t="str">
        <x:v>HF25</x:v>
      </x:c>
      <x:c r="B26" s="12" t="str">
        <x:v>发生洪涝</x:v>
      </x:c>
      <x:c r="C26" s="12" t="str">
        <x:v>Jalan Dato' Sulaiman</x:v>
      </x:c>
      <x:c r="D26" s="12" t="str">
        <x:v>Bandar Johor Bahru</x:v>
      </x:c>
      <x:c r="E26" s="12" t="n">
        <x:v>103.7570514</x:v>
      </x:c>
      <x:c r="F26" s="12" t="n">
        <x:v>1.48073119999999</x:v>
      </x:c>
      <x:c r="G26" s="12"/>
      <x:c r="H26" s="12" t="str">
        <x:v>是</x:v>
      </x:c>
      <x:c r="I26" s="12"/>
      <x:c r="J26" s="12" t="str">
        <x:v>2023</x:v>
      </x:c>
      <x:c r="K26" s="12"/>
      <x:c r="L26" s="12" t="str">
        <x:v>道路/走廊：GIS中沿道路中心线标注；如无明确淹水长度，不自行扩展为面。</x:v>
      </x:c>
      <x:c r="M26" s="12" t="str">
        <x:v>FLOC-0023</x:v>
      </x:c>
      <x:c r="N26" s="12" t="str">
        <x:v>Jalan Dato Sulaiman</x:v>
      </x:c>
      <x:c r="O26" s="12" t="str">
        <x:v>PASS</x:v>
      </x:c>
    </x:row>
    <x:row r="27">
      <x:c r="A27" s="12" t="str">
        <x:v>HF26</x:v>
      </x:c>
      <x:c r="B27" s="12" t="str">
        <x:v>发生洪涝</x:v>
      </x:c>
      <x:c r="C27" s="12" t="str">
        <x:v>Jalan Ibrahim Sultan</x:v>
      </x:c>
      <x:c r="D27" s="12" t="str">
        <x:v>Bandar Johor Bahru</x:v>
      </x:c>
      <x:c r="E27" s="12" t="n">
        <x:v>103.7755173</x:v>
      </x:c>
      <x:c r="F27" s="12" t="n">
        <x:v>1.4644141</x:v>
      </x:c>
      <x:c r="G27" s="12"/>
      <x:c r="H27" s="12" t="str">
        <x:v>是</x:v>
      </x:c>
      <x:c r="I27" s="12"/>
      <x:c r="J27" s="12" t="str">
        <x:v>2023</x:v>
      </x:c>
      <x:c r="K27" s="12"/>
      <x:c r="L27" s="12" t="str">
        <x:v>道路/走廊：GIS中沿道路中心线标注；如无明确淹水长度，不自行扩展为面。</x:v>
      </x:c>
      <x:c r="M27" s="12" t="str">
        <x:v>FLOC-0027</x:v>
      </x:c>
      <x:c r="N27" s="12" t="str">
        <x:v>Jalan Ibrahim Sultan</x:v>
      </x:c>
      <x:c r="O27" s="12" t="str">
        <x:v>PASS</x:v>
      </x:c>
    </x:row>
    <x:row r="28">
      <x:c r="A28" s="12" t="str">
        <x:v>HF27</x:v>
      </x:c>
      <x:c r="B28" s="12" t="str">
        <x:v>发生洪涝</x:v>
      </x:c>
      <x:c r="C28" s="12" t="str">
        <x:v>Jalan Mohd Amin</x:v>
      </x:c>
      <x:c r="D28" s="12" t="str">
        <x:v>Bandar Johor Bahru</x:v>
      </x:c>
      <x:c r="E28" s="12" t="n">
        <x:v>103.7363992</x:v>
      </x:c>
      <x:c r="F28" s="12" t="n">
        <x:v>1.46757569999999</x:v>
      </x:c>
      <x:c r="G28" s="12"/>
      <x:c r="H28" s="12" t="str">
        <x:v>是</x:v>
      </x:c>
      <x:c r="I28" s="12"/>
      <x:c r="J28" s="12" t="str">
        <x:v>2023</x:v>
      </x:c>
      <x:c r="K28" s="12"/>
      <x:c r="L28" s="12" t="str">
        <x:v>道路/走廊：GIS中沿道路中心线标注；如无明确淹水长度，不自行扩展为面。</x:v>
      </x:c>
      <x:c r="M28" s="12" t="str">
        <x:v>FLOC-0040</x:v>
      </x:c>
      <x:c r="N28" s="12" t="str">
        <x:v>Jalan Mohd Amin</x:v>
      </x:c>
      <x:c r="O28" s="12" t="str">
        <x:v>PASS</x:v>
      </x:c>
    </x:row>
    <x:row r="29">
      <x:c r="A29" s="12" t="str">
        <x:v>HF28</x:v>
      </x:c>
      <x:c r="B29" s="12" t="str">
        <x:v>发生洪涝</x:v>
      </x:c>
      <x:c r="C29" s="12" t="str">
        <x:v>Jalan Padi Huma 10</x:v>
      </x:c>
      <x:c r="D29" s="12" t="str">
        <x:v>Bandar Johor Bahru</x:v>
      </x:c>
      <x:c r="E29" s="12" t="n">
        <x:v>103.7234744</x:v>
      </x:c>
      <x:c r="F29" s="12" t="n">
        <x:v>1.49891240000001</x:v>
      </x:c>
      <x:c r="G29" s="12"/>
      <x:c r="H29" s="12" t="str">
        <x:v>是</x:v>
      </x:c>
      <x:c r="I29" s="12"/>
      <x:c r="J29" s="12" t="str">
        <x:v>2023</x:v>
      </x:c>
      <x:c r="K29" s="12"/>
      <x:c r="L29" s="12" t="str">
        <x:v>道路/走廊：GIS中沿道路中心线标注；如无明确淹水长度，不自行扩展为面。</x:v>
      </x:c>
      <x:c r="M29" s="12" t="str">
        <x:v>FLOC-0043</x:v>
      </x:c>
      <x:c r="N29" s="12" t="str">
        <x:v>Jalan Padi Huma 10</x:v>
      </x:c>
      <x:c r="O29" s="12" t="str">
        <x:v>PASS</x:v>
      </x:c>
    </x:row>
    <x:row r="30">
      <x:c r="A30" s="12" t="str">
        <x:v>HF29</x:v>
      </x:c>
      <x:c r="B30" s="12" t="str">
        <x:v>发生洪涝</x:v>
      </x:c>
      <x:c r="C30" s="12" t="str">
        <x:v>Jalan Padi Huma 9</x:v>
      </x:c>
      <x:c r="D30" s="12" t="str">
        <x:v>Bandar Johor Bahru</x:v>
      </x:c>
      <x:c r="E30" s="12" t="n">
        <x:v>103.7237744</x:v>
      </x:c>
      <x:c r="F30" s="12" t="n">
        <x:v>1.4983831</x:v>
      </x:c>
      <x:c r="G30" s="12"/>
      <x:c r="H30" s="12" t="str">
        <x:v>是</x:v>
      </x:c>
      <x:c r="I30" s="12"/>
      <x:c r="J30" s="12" t="str">
        <x:v>2023</x:v>
      </x:c>
      <x:c r="K30" s="12"/>
      <x:c r="L30" s="12" t="str">
        <x:v>道路/走廊：GIS中沿道路中心线标注；如无明确淹水长度，不自行扩展为面。</x:v>
      </x:c>
      <x:c r="M30" s="12" t="str">
        <x:v>FLOC-0044</x:v>
      </x:c>
      <x:c r="N30" s="12" t="str">
        <x:v>Jalan Padi Huma 9</x:v>
      </x:c>
      <x:c r="O30" s="12" t="str">
        <x:v>PASS</x:v>
      </x:c>
    </x:row>
    <x:row r="31">
      <x:c r="A31" s="12" t="str">
        <x:v>HF30</x:v>
      </x:c>
      <x:c r="B31" s="12" t="str">
        <x:v>发生洪涝</x:v>
      </x:c>
      <x:c r="C31" s="12" t="str">
        <x:v>Jalan Padi Makmur</x:v>
      </x:c>
      <x:c r="D31" s="12" t="str">
        <x:v>Bandar Johor Bahru</x:v>
      </x:c>
      <x:c r="E31" s="12" t="n">
        <x:v>103.7208677</x:v>
      </x:c>
      <x:c r="F31" s="12" t="n">
        <x:v>1.4866099</x:v>
      </x:c>
      <x:c r="G31" s="12"/>
      <x:c r="H31" s="12" t="str">
        <x:v>是</x:v>
      </x:c>
      <x:c r="I31" s="12"/>
      <x:c r="J31" s="12" t="str">
        <x:v>2023</x:v>
      </x:c>
      <x:c r="K31" s="12"/>
      <x:c r="L31" s="12" t="str">
        <x:v>道路/走廊：GIS中沿道路中心线标注；如无明确淹水长度，不自行扩展为面。</x:v>
      </x:c>
      <x:c r="M31" s="12" t="str">
        <x:v>FLOC-0045</x:v>
      </x:c>
      <x:c r="N31" s="12" t="str">
        <x:v>Jalan Padi Makmur</x:v>
      </x:c>
      <x:c r="O31" s="12" t="str">
        <x:v>PASS</x:v>
      </x:c>
    </x:row>
    <x:row r="32">
      <x:c r="A32" s="12" t="str">
        <x:v>HF31</x:v>
      </x:c>
      <x:c r="B32" s="12" t="str">
        <x:v>发生洪涝</x:v>
      </x:c>
      <x:c r="C32" s="12" t="str">
        <x:v>Jalan Serigala</x:v>
      </x:c>
      <x:c r="D32" s="12" t="str">
        <x:v>Bandar Johor Bahru</x:v>
      </x:c>
      <x:c r="E32" s="12" t="n">
        <x:v>103.760885</x:v>
      </x:c>
      <x:c r="F32" s="12" t="n">
        <x:v>1.48538309999999</x:v>
      </x:c>
      <x:c r="G32" s="12"/>
      <x:c r="H32" s="12" t="str">
        <x:v>是</x:v>
      </x:c>
      <x:c r="I32" s="12"/>
      <x:c r="J32" s="12" t="str">
        <x:v>2023</x:v>
      </x:c>
      <x:c r="K32" s="12"/>
      <x:c r="L32" s="12" t="str">
        <x:v>道路/走廊：GIS中沿道路中心线标注；如无明确淹水长度，不自行扩展为面。</x:v>
      </x:c>
      <x:c r="M32" s="12" t="str">
        <x:v>FLOC-0056</x:v>
      </x:c>
      <x:c r="N32" s="12" t="str">
        <x:v>Jalan Serigala</x:v>
      </x:c>
      <x:c r="O32" s="12" t="str">
        <x:v>PASS</x:v>
      </x:c>
    </x:row>
    <x:row r="33">
      <x:c r="A33" s="12" t="str">
        <x:v>HF32</x:v>
      </x:c>
      <x:c r="B33" s="12" t="str">
        <x:v>发生洪涝</x:v>
      </x:c>
      <x:c r="C33" s="12" t="str">
        <x:v>Jalan Wong Ah Fook</x:v>
      </x:c>
      <x:c r="D33" s="12" t="str">
        <x:v>Bandar Johor Bahru</x:v>
      </x:c>
      <x:c r="E33" s="12" t="n">
        <x:v>103.7656178</x:v>
      </x:c>
      <x:c r="F33" s="12" t="n">
        <x:v>1.4576093</x:v>
      </x:c>
      <x:c r="G33" s="12" t="str">
        <x:v>是</x:v>
      </x:c>
      <x:c r="H33" s="12"/>
      <x:c r="I33" s="12"/>
      <x:c r="J33" s="12" t="str">
        <x:v>2022</x:v>
      </x:c>
      <x:c r="K33" s="12"/>
      <x:c r="L33" s="12" t="str">
        <x:v>道路/走廊：GIS中沿道路中心线标注；如无明确淹水长度，不自行扩展为面。</x:v>
      </x:c>
      <x:c r="M33" s="12" t="str">
        <x:v>FLOC-0069</x:v>
      </x:c>
      <x:c r="N33" s="12" t="str">
        <x:v>Jalan Wong Ah Fook</x:v>
      </x:c>
      <x:c r="O33" s="12" t="str">
        <x:v>PASS</x:v>
      </x:c>
    </x:row>
    <x:row r="34">
      <x:c r="A34" s="12" t="str">
        <x:v>HF33</x:v>
      </x:c>
      <x:c r="B34" s="12" t="str">
        <x:v>发生洪涝</x:v>
      </x:c>
      <x:c r="C34" s="12" t="str">
        <x:v>Persiaran Abu Bakar Sultan</x:v>
      </x:c>
      <x:c r="D34" s="12" t="str">
        <x:v>Bandar Johor Bahru</x:v>
      </x:c>
      <x:c r="E34" s="12" t="n">
        <x:v>103.7190029</x:v>
      </x:c>
      <x:c r="F34" s="12" t="n">
        <x:v>1.4843025</x:v>
      </x:c>
      <x:c r="G34" s="12" t="str">
        <x:v>是</x:v>
      </x:c>
      <x:c r="H34" s="12"/>
      <x:c r="I34" s="12"/>
      <x:c r="J34" s="12" t="str">
        <x:v>2022</x:v>
      </x:c>
      <x:c r="K34" s="12"/>
      <x:c r="L34" s="12" t="str">
        <x:v>道路/走廊：GIS中沿道路中心线标注；如无明确淹水长度，不自行扩展为面。</x:v>
      </x:c>
      <x:c r="M34" s="12" t="str">
        <x:v>FLOC-0156</x:v>
      </x:c>
      <x:c r="N34" s="12" t="str">
        <x:v>Persiaran Abu Bakar Sultan</x:v>
      </x:c>
      <x:c r="O34" s="12" t="str">
        <x:v>PASS</x:v>
      </x:c>
    </x:row>
    <x:row r="35">
      <x:c r="A35" s="12" t="str">
        <x:v>HF34</x:v>
      </x:c>
      <x:c r="B35" s="12" t="str">
        <x:v>发生洪涝</x:v>
      </x:c>
      <x:c r="C35" s="12" t="str">
        <x:v>Taman Melodies</x:v>
      </x:c>
      <x:c r="D35" s="12" t="str">
        <x:v>Bandar Johor Bahru</x:v>
      </x:c>
      <x:c r="E35" s="12" t="n">
        <x:v>103.7613894</x:v>
      </x:c>
      <x:c r="F35" s="12" t="n">
        <x:v>1.49019649999999</x:v>
      </x:c>
      <x:c r="G35" s="12"/>
      <x:c r="H35" s="12" t="str">
        <x:v>是</x:v>
      </x:c>
      <x:c r="I35" s="12"/>
      <x:c r="J35" s="12" t="str">
        <x:v>2023</x:v>
      </x:c>
      <x:c r="K35" s="12"/>
      <x:c r="L35" s="12" t="str">
        <x:v>区域/社区：优先使用现有住宅区/社区真实边界；若无权威边界，用点位+名称标注，不用任意圆形缓冲代替真实洪涝范围。</x:v>
      </x:c>
      <x:c r="M35" s="12" t="str">
        <x:v>FLOC-0182</x:v>
      </x:c>
      <x:c r="N35" s="12" t="str">
        <x:v>Taman Melodies</x:v>
      </x:c>
      <x:c r="O35" s="12" t="str">
        <x:v>PASS</x:v>
      </x:c>
    </x:row>
    <x:row r="36">
      <x:c r="A36" s="12" t="str">
        <x:v>HF35</x:v>
      </x:c>
      <x:c r="B36" s="12" t="str">
        <x:v>发生洪涝</x:v>
      </x:c>
      <x:c r="C36" s="12" t="str">
        <x:v>Taman Nong Chik</x:v>
      </x:c>
      <x:c r="D36" s="12" t="str">
        <x:v>Bandar Johor Bahru</x:v>
      </x:c>
      <x:c r="E36" s="12" t="n">
        <x:v>103.7395647</x:v>
      </x:c>
      <x:c r="F36" s="12" t="n">
        <x:v>1.47655640000002</x:v>
      </x:c>
      <x:c r="G36" s="12"/>
      <x:c r="H36" s="12" t="str">
        <x:v>是</x:v>
      </x:c>
      <x:c r="I36" s="12"/>
      <x:c r="J36" s="12" t="str">
        <x:v>2023</x:v>
      </x:c>
      <x:c r="K36" s="12"/>
      <x:c r="L36" s="12" t="str">
        <x:v>区域/社区：优先使用现有住宅区/社区真实边界；若无权威边界，用点位+名称标注，不用任意圆形缓冲代替真实洪涝范围。</x:v>
      </x:c>
      <x:c r="M36" s="12" t="str">
        <x:v>FLOC-0183</x:v>
      </x:c>
      <x:c r="N36" s="12" t="str">
        <x:v>Taman Nong Chik</x:v>
      </x:c>
      <x:c r="O36" s="12" t="str">
        <x:v>PASS</x:v>
      </x:c>
    </x:row>
    <x:row r="37">
      <x:c r="A37" s="12" t="str">
        <x:v>HF36</x:v>
      </x:c>
      <x:c r="B37" s="12" t="str">
        <x:v>发生洪涝</x:v>
      </x:c>
      <x:c r="C37" s="12" t="str">
        <x:v>Majidee</x:v>
      </x:c>
      <x:c r="D37" s="12" t="str">
        <x:v>Mukim Plentong</x:v>
      </x:c>
      <x:c r="E37" s="12" t="n">
        <x:v>103.7579076</x:v>
      </x:c>
      <x:c r="F37" s="12" t="n">
        <x:v>1.5145389</x:v>
      </x:c>
      <x:c r="G37" s="12"/>
      <x:c r="H37" s="12" t="str">
        <x:v>是</x:v>
      </x:c>
      <x:c r="I37" s="12"/>
      <x:c r="J37" s="12" t="str">
        <x:v>2023</x:v>
      </x:c>
      <x:c r="K37" s="12"/>
      <x:c r="L37" s="12" t="str">
        <x:v>区域/社区：优先使用现有住宅区/社区真实边界；若无权威边界，用点位+名称标注，不用任意圆形缓冲代替真实洪涝范围。</x:v>
      </x:c>
      <x:c r="M37" s="12" t="str">
        <x:v>FLOC-0150</x:v>
      </x:c>
      <x:c r="N37" s="12" t="str">
        <x:v>Majidee</x:v>
      </x:c>
      <x:c r="O37" s="12" t="str">
        <x:v>PASS</x:v>
      </x:c>
    </x:row>
    <x:row r="38">
      <x:c r="A38" s="12" t="str">
        <x:v>HF37</x:v>
      </x:c>
      <x:c r="B38" s="12" t="str">
        <x:v>发生洪涝</x:v>
      </x:c>
      <x:c r="C38" s="12" t="str">
        <x:v>Taman Bunga Ros</x:v>
      </x:c>
      <x:c r="D38" s="12" t="str">
        <x:v>Mukim Plentong</x:v>
      </x:c>
      <x:c r="E38" s="12" t="n">
        <x:v>103.8206509</x:v>
      </x:c>
      <x:c r="F38" s="12" t="n">
        <x:v>1.5212749</x:v>
      </x:c>
      <x:c r="G38" s="12"/>
      <x:c r="H38" s="12" t="str">
        <x:v>是</x:v>
      </x:c>
      <x:c r="I38" s="12"/>
      <x:c r="J38" s="12" t="str">
        <x:v>2023</x:v>
      </x:c>
      <x:c r="K38" s="12"/>
      <x:c r="L38" s="12" t="str">
        <x:v>区域/社区：优先使用现有住宅区/社区真实边界；若无权威边界，用点位+名称标注，不用任意圆形缓冲代替真实洪涝范围。</x:v>
      </x:c>
      <x:c r="M38" s="12" t="str">
        <x:v>FLOC-0173</x:v>
      </x:c>
      <x:c r="N38" s="12" t="str">
        <x:v>Taman Bunga Ros</x:v>
      </x:c>
      <x:c r="O38" s="12" t="str">
        <x:v>PASS</x:v>
      </x:c>
    </x:row>
    <x:row r="39">
      <x:c r="A39" s="12" t="str">
        <x:v>HF38</x:v>
      </x:c>
      <x:c r="B39" s="12" t="str">
        <x:v>发生洪涝</x:v>
      </x:c>
      <x:c r="C39" s="12" t="str">
        <x:v>Jalan Ismail Sultan</x:v>
      </x:c>
      <x:c r="D39" s="12" t="str">
        <x:v>Mukim Pulai</x:v>
      </x:c>
      <x:c r="E39" s="12" t="n">
        <x:v>103.6763692</x:v>
      </x:c>
      <x:c r="F39" s="12" t="n">
        <x:v>1.47258519999999</x:v>
      </x:c>
      <x:c r="G39" s="12"/>
      <x:c r="H39" s="12" t="str">
        <x:v>是</x:v>
      </x:c>
      <x:c r="I39" s="12"/>
      <x:c r="J39" s="12" t="str">
        <x:v>2023</x:v>
      </x:c>
      <x:c r="K39" s="12"/>
      <x:c r="L39" s="12" t="str">
        <x:v>道路/走廊：GIS中沿道路中心线标注；如无明确淹水长度，不自行扩展为面。</x:v>
      </x:c>
      <x:c r="M39" s="12" t="str">
        <x:v>FLOC-0028</x:v>
      </x:c>
      <x:c r="N39" s="12" t="str">
        <x:v>Jalan Ismail Sultan</x:v>
      </x:c>
      <x:c r="O39" s="12" t="str">
        <x:v>PASS</x:v>
      </x:c>
    </x:row>
    <x:row r="40">
      <x:c r="A40" s="12" t="str">
        <x:v>HF39</x:v>
      </x:c>
      <x:c r="B40" s="12" t="str">
        <x:v>发生洪涝</x:v>
      </x:c>
      <x:c r="C40" s="12" t="str">
        <x:v>Puteri Harbour Iskandar Puteri</x:v>
      </x:c>
      <x:c r="D40" s="12" t="str">
        <x:v>Mukim Pulai</x:v>
      </x:c>
      <x:c r="E40" s="12" t="n">
        <x:v>103.66077</x:v>
      </x:c>
      <x:c r="F40" s="12" t="n">
        <x:v>1.41407400000001</x:v>
      </x:c>
      <x:c r="G40" s="12" t="str">
        <x:v>是</x:v>
      </x:c>
      <x:c r="H40" s="12"/>
      <x:c r="I40" s="12"/>
      <x:c r="J40" s="12" t="str">
        <x:v>2022</x:v>
      </x:c>
      <x:c r="K40" s="12"/>
      <x:c r="L40" s="12" t="str">
        <x:v>区域/社区：优先使用现有住宅区/社区真实边界；若无权威边界，用点位+名称标注，不用任意圆形缓冲代替真实洪涝范围。</x:v>
      </x:c>
      <x:c r="M40" s="12" t="str">
        <x:v>FLOC-0157</x:v>
      </x:c>
      <x:c r="N40" s="12" t="str">
        <x:v>Puteri Harbour Iskandar Puteri</x:v>
      </x:c>
      <x:c r="O40" s="12" t="str">
        <x:v>PASS</x:v>
      </x:c>
    </x:row>
    <x:row r="41">
      <x:c r="A41" s="12" t="str">
        <x:v>HF40</x:v>
      </x:c>
      <x:c r="B41" s="12" t="str">
        <x:v>发生洪涝</x:v>
      </x:c>
      <x:c r="C41" s="12" t="str">
        <x:v>Taman Tampoi Utama</x:v>
      </x:c>
      <x:c r="D41" s="12" t="str">
        <x:v>Mukim Pulai</x:v>
      </x:c>
      <x:c r="E41" s="12" t="n">
        <x:v>103.6859554</x:v>
      </x:c>
      <x:c r="F41" s="12" t="n">
        <x:v>1.50251799999999</x:v>
      </x:c>
      <x:c r="G41" s="12"/>
      <x:c r="H41" s="12"/>
      <x:c r="I41" s="12" t="str">
        <x:v>是</x:v>
      </x:c>
      <x:c r="J41" s="12" t="str">
        <x:v>2025</x:v>
      </x:c>
      <x:c r="K41" s="12"/>
      <x:c r="L41" s="12" t="str">
        <x:v>区域/社区：优先使用现有住宅区/社区真实边界；若无权威边界，用点位+名称标注，不用任意圆形缓冲代替真实洪涝范围。</x:v>
      </x:c>
      <x:c r="M41" s="12" t="str">
        <x:v>FLOC-0194</x:v>
      </x:c>
      <x:c r="N41" s="12" t="str">
        <x:v>Taman Tampoi Utama</x:v>
      </x:c>
      <x:c r="O41" s="12" t="str">
        <x:v>PASS</x:v>
      </x:c>
    </x:row>
    <x:row r="42">
      <x:c r="A42" s="12" t="str">
        <x:v>HF41</x:v>
      </x:c>
      <x:c r="B42" s="12" t="str">
        <x:v>发生洪涝</x:v>
      </x:c>
      <x:c r="C42" s="12" t="str">
        <x:v>Jalan Lurah 3</x:v>
      </x:c>
      <x:c r="D42" s="12" t="str">
        <x:v>Mukim Tebrau</x:v>
      </x:c>
      <x:c r="E42" s="12" t="n">
        <x:v>103.7155955</x:v>
      </x:c>
      <x:c r="F42" s="12" t="n">
        <x:v>1.5302594</x:v>
      </x:c>
      <x:c r="G42" s="12"/>
      <x:c r="H42" s="12" t="str">
        <x:v>是</x:v>
      </x:c>
      <x:c r="I42" s="12"/>
      <x:c r="J42" s="12" t="str">
        <x:v>2023</x:v>
      </x:c>
      <x:c r="K42" s="12"/>
      <x:c r="L42" s="12" t="str">
        <x:v>道路/走廊：GIS中沿道路中心线标注；如无明确淹水长度，不自行扩展为面。</x:v>
      </x:c>
      <x:c r="M42" s="12" t="str">
        <x:v>FLOC-0038</x:v>
      </x:c>
      <x:c r="N42" s="12" t="str">
        <x:v>Jalan Lurah 3</x:v>
      </x:c>
      <x:c r="O42" s="12" t="str">
        <x:v>PASS</x:v>
      </x:c>
    </x:row>
    <x:row r="43">
      <x:c r="A43" s="12" t="str">
        <x:v>HF42</x:v>
      </x:c>
      <x:c r="B43" s="12" t="str">
        <x:v>发生洪涝</x:v>
      </x:c>
      <x:c r="C43" s="12" t="str">
        <x:v>Kampung Ulu Pandan</x:v>
      </x:c>
      <x:c r="D43" s="12" t="str">
        <x:v>Mukim Tebrau</x:v>
      </x:c>
      <x:c r="E43" s="12" t="n">
        <x:v>103.7683272</x:v>
      </x:c>
      <x:c r="F43" s="12" t="n">
        <x:v>1.53455009999999</x:v>
      </x:c>
      <x:c r="G43" s="12"/>
      <x:c r="H43" s="12"/>
      <x:c r="I43" s="12" t="str">
        <x:v>是</x:v>
      </x:c>
      <x:c r="J43" s="12" t="str">
        <x:v>2025</x:v>
      </x:c>
      <x:c r="K43" s="12"/>
      <x:c r="L43" s="12" t="str">
        <x:v>区域/社区：优先使用现有住宅区/社区真实边界；若无权威边界，用点位+名称标注，不用任意圆形缓冲代替真实洪涝范围。</x:v>
      </x:c>
      <x:c r="M43" s="12" t="str">
        <x:v>FLOC-0125</x:v>
      </x:c>
      <x:c r="N43" s="12" t="str">
        <x:v>Kampung Ulu Pandan</x:v>
      </x:c>
      <x:c r="O43" s="12" t="str">
        <x:v>PASS</x:v>
      </x:c>
    </x:row>
    <x:row r="44">
      <x:c r="A44" s="12" t="str">
        <x:v>HF43</x:v>
      </x:c>
      <x:c r="B44" s="12" t="str">
        <x:v>发生洪涝</x:v>
      </x:c>
      <x:c r="C44" s="12" t="str">
        <x:v>Pandan</x:v>
      </x:c>
      <x:c r="D44" s="12" t="str">
        <x:v>Mukim Tebrau</x:v>
      </x:c>
      <x:c r="E44" s="12" t="n">
        <x:v>103.7639473</x:v>
      </x:c>
      <x:c r="F44" s="12" t="n">
        <x:v>1.52182970000001</x:v>
      </x:c>
      <x:c r="G44" s="12"/>
      <x:c r="H44" s="12"/>
      <x:c r="I44" s="12" t="str">
        <x:v>是</x:v>
      </x:c>
      <x:c r="J44" s="12" t="str">
        <x:v>2025</x:v>
      </x:c>
      <x:c r="K44" s="12"/>
      <x:c r="L44" s="12" t="str">
        <x:v>区域/社区：优先使用现有住宅区/社区真实边界；若无权威边界，用点位+名称标注，不用任意圆形缓冲代替真实洪涝范围。</x:v>
      </x:c>
      <x:c r="M44" s="12" t="str">
        <x:v>FLOC-0154</x:v>
      </x:c>
      <x:c r="N44" s="12" t="str">
        <x:v>Pandan</x:v>
      </x:c>
      <x:c r="O44" s="12" t="str">
        <x:v>PASS</x:v>
      </x:c>
    </x:row>
    <x:row r="45">
      <x:c r="A45" s="12" t="str">
        <x:v>HF44</x:v>
      </x:c>
      <x:c r="B45" s="12" t="str">
        <x:v>发生洪涝</x:v>
      </x:c>
      <x:c r="C45" s="12" t="str">
        <x:v>SK Kampung Maju Jaya</x:v>
      </x:c>
      <x:c r="D45" s="12" t="str">
        <x:v>Mukim Tebrau</x:v>
      </x:c>
      <x:c r="E45" s="12" t="n">
        <x:v>103.718275204555</x:v>
      </x:c>
      <x:c r="F45" s="12" t="n">
        <x:v>1.5804887</x:v>
      </x:c>
      <x:c r="G45" s="12"/>
      <x:c r="H45" s="12"/>
      <x:c r="I45" s="12" t="str">
        <x:v>是</x:v>
      </x:c>
      <x:c r="J45" s="12" t="str">
        <x:v>2025</x:v>
      </x:c>
      <x:c r="K45" s="12"/>
      <x:c r="L45" s="12" t="str">
        <x:v>设施点：以设施点位标注；仅说明该设施/周边发生洪涝，不扩大为区域。</x:v>
      </x:c>
      <x:c r="M45" s="12" t="str">
        <x:v>FLOC-0166</x:v>
      </x:c>
      <x:c r="N45" s="12" t="str">
        <x:v>SK Kampung Maju Jaya</x:v>
      </x:c>
      <x:c r="O45" s="12" t="str">
        <x:v>PASS</x:v>
      </x:c>
    </x:row>
    <x:row r="46">
      <x:c r="A46" s="12" t="str">
        <x:v>HF45</x:v>
      </x:c>
      <x:c r="B46" s="12" t="str">
        <x:v>发生洪涝</x:v>
      </x:c>
      <x:c r="C46" s="12" t="str">
        <x:v>Taman Desa Mutiara</x:v>
      </x:c>
      <x:c r="D46" s="12" t="str">
        <x:v>Mukim Tebrau</x:v>
      </x:c>
      <x:c r="E46" s="12" t="n">
        <x:v>103.747256167436</x:v>
      </x:c>
      <x:c r="F46" s="12" t="n">
        <x:v>1.5406298</x:v>
      </x:c>
      <x:c r="G46" s="12"/>
      <x:c r="H46" s="12"/>
      <x:c r="I46" s="12" t="str">
        <x:v>是</x:v>
      </x:c>
      <x:c r="J46" s="12" t="str">
        <x:v>2025</x:v>
      </x:c>
      <x:c r="K46" s="12"/>
      <x:c r="L46" s="12" t="str">
        <x:v>区域/社区：优先使用现有住宅区/社区真实边界；若无权威边界，用点位+名称标注，不用任意圆形缓冲代替真实洪涝范围。</x:v>
      </x:c>
      <x:c r="M46" s="12" t="str">
        <x:v>FLOC-0177</x:v>
      </x:c>
      <x:c r="N46" s="12" t="str">
        <x:v>Taman Desa Mutiara</x:v>
      </x:c>
      <x:c r="O46" s="12" t="str">
        <x:v>PASS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14" hidden="0" customWidth="1"/>
    <x:col min="4" max="4" width="10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8" hidden="0" customWidth="1"/>
    <x:col min="10" max="10" width="12" hidden="0" customWidth="1"/>
    <x:col min="11" max="11" width="64" hidden="0" customWidth="1"/>
    <x:col min="12" max="12" width="58" hidden="0" customWidth="1"/>
    <x:col min="13" max="13" width="22" hidden="0" customWidth="1"/>
    <x:col min="14" max="14" width="14" hidden="0" customWidth="1"/>
    <x:col min="15" max="15" width="40" hidden="0" customWidth="1"/>
    <x:col min="16" max="16" width="16" hidden="0" customWidth="1"/>
  </x:cols>
  <x:sheetData>
    <x:row r="1">
      <x:c r="A1" s="6" t="str">
        <x:v>Polygon_ID</x:v>
      </x:c>
      <x:c r="B1" s="6" t="str">
        <x:v>Polygon_Name</x:v>
      </x:c>
      <x:c r="C1" s="6" t="str">
        <x:v>Geometry_Type</x:v>
      </x:c>
      <x:c r="D1" s="6" t="str">
        <x:v>Ring_Count</x:v>
      </x:c>
      <x:c r="E1" s="6" t="str">
        <x:v>Vertex_Count</x:v>
      </x:c>
      <x:c r="F1" s="6" t="str">
        <x:v>Ring_Closed</x:v>
      </x:c>
      <x:c r="G1" s="6" t="str">
        <x:v>Finite_Coordinates</x:v>
      </x:c>
      <x:c r="H1" s="6" t="str">
        <x:v>Within_JB_Bounds</x:v>
      </x:c>
      <x:c r="I1" s="6" t="str">
        <x:v>Source_Geometry_Valid</x:v>
      </x:c>
      <x:c r="J1" s="6" t="str">
        <x:v>Area_km2</x:v>
      </x:c>
      <x:c r="K1" s="6" t="str">
        <x:v>Interpretation</x:v>
      </x:c>
      <x:c r="L1" s="6" t="str">
        <x:v>Source_URL</x:v>
      </x:c>
      <x:c r="M1" s="6" t="str">
        <x:v>Annual_Pass</x:v>
      </x:c>
      <x:c r="N1" s="6" t="str">
        <x:v>Final_Location_ID</x:v>
      </x:c>
      <x:c r="O1" s="6" t="str">
        <x:v>Final_Standardized_Location</x:v>
      </x:c>
      <x:c r="P1" s="6" t="str">
        <x:v>Final_Link_QA</x:v>
      </x:c>
    </x:row>
    <x:row r="2">
      <x:c r="A2" s="12" t="str">
        <x:v>PG2016-HSA-CAMPUS</x:v>
      </x:c>
      <x:c r="B2" s="12" t="str">
        <x:v>Hospital Sultanah Aminah Campus</x:v>
      </x:c>
      <x:c r="C2" s="12" t="str">
        <x:v>Polygon</x:v>
      </x:c>
      <x:c r="D2" s="12" t="n">
        <x:v>1</x:v>
      </x:c>
      <x:c r="E2" s="12" t="n">
        <x:v>44</x:v>
      </x:c>
      <x:c r="F2" s="12" t="str">
        <x:v>PASS</x:v>
      </x:c>
      <x:c r="G2" s="12" t="str">
        <x:v>PASS</x:v>
      </x:c>
      <x:c r="H2" s="12" t="str">
        <x:v>PASS</x:v>
      </x:c>
      <x:c r="I2" s="12"/>
      <x:c r="J2" s="12" t="n">
        <x:v>0.288325</x:v>
      </x:c>
      <x:c r="K2" s="12" t="str">
        <x:v>Analysis polygon only; do not interpret as exact inundation footprint.</x:v>
      </x:c>
      <x:c r="L2" s="12" t="str">
        <x:v>https://www.openstreetmap.org/way/566502798</x:v>
      </x:c>
      <x:c r="M2" s="12"/>
      <x:c r="N2" s="12" t="str">
        <x:v>FLOC-0014</x:v>
      </x:c>
      <x:c r="O2" s="12" t="str">
        <x:v>Hospital Sultanah Aminah</x:v>
      </x:c>
      <x:c r="P2" s="12" t="str">
        <x:v>PASS</x:v>
      </x:c>
    </x:row>
    <x:row r="3">
      <x:c r="A3" s="12" t="str">
        <x:v>PG2016-CBD-SEGGET</x:v>
      </x:c>
      <x:c r="B3" s="12" t="str">
        <x:v>Jalan Wong Ah Fook / Sungai Segget Project Corridor</x:v>
      </x:c>
      <x:c r="C3" s="12" t="str">
        <x:v>Polygon</x:v>
      </x:c>
      <x:c r="D3" s="12" t="n">
        <x:v>1</x:v>
      </x:c>
      <x:c r="E3" s="12" t="n">
        <x:v>35</x:v>
      </x:c>
      <x:c r="F3" s="12" t="str">
        <x:v>PASS</x:v>
      </x:c>
      <x:c r="G3" s="12" t="str">
        <x:v>PASS</x:v>
      </x:c>
      <x:c r="H3" s="12" t="str">
        <x:v>PASS</x:v>
      </x:c>
      <x:c r="I3" s="12"/>
      <x:c r="J3" s="12" t="n">
        <x:v>0.029149</x:v>
      </x:c>
      <x:c r="K3" s="12" t="str">
        <x:v>Derived analysis-area polygon, not observed flood-water extent. If a higher-authority official project polygon becomes available, retain this geometry for audit and version the replacement.</x:v>
      </x:c>
      <x:c r="L3" s="12" t="str">
        <x:v>https://waterwaymap.org/river/Sungai%20Segget%20004200366310/geometry.geojson</x:v>
      </x:c>
      <x:c r="M3" s="12"/>
      <x:c r="N3" s="12" t="str">
        <x:v>FLOC-0070</x:v>
      </x:c>
      <x:c r="O3" s="12" t="str">
        <x:v>Jalan Wong Ah Fook / Sungai Segget Project Area</x:v>
      </x:c>
      <x:c r="P3" s="12" t="str">
        <x:v>PASS</x:v>
      </x:c>
    </x:row>
    <x:row r="4">
      <x:c r="A4" s="12" t="str">
        <x:v>PG2017-KIPMALL-TAMPOI</x:v>
      </x:c>
      <x:c r="B4" s="12" t="str">
        <x:v>KIPMall Tampoi Building</x:v>
      </x:c>
      <x:c r="C4" s="12" t="str">
        <x:v>Polygon</x:v>
      </x:c>
      <x:c r="D4" s="12" t="n">
        <x:v>1</x:v>
      </x:c>
      <x:c r="E4" s="12" t="n">
        <x:v>15</x:v>
      </x:c>
      <x:c r="F4" s="12" t="str">
        <x:v>PASS</x:v>
      </x:c>
      <x:c r="G4" s="12" t="str">
        <x:v>PASS</x:v>
      </x:c>
      <x:c r="H4" s="12" t="str">
        <x:v>PASS</x:v>
      </x:c>
      <x:c r="I4" s="12"/>
      <x:c r="J4" s="12" t="n">
        <x:v>0.018912</x:v>
      </x:c>
      <x:c r="K4" s="12" t="str">
        <x:v>Facility polygon only; do not interpret as the full inundated area.</x:v>
      </x:c>
      <x:c r="L4" s="12" t="str">
        <x:v>https://www.openstreetmap.org/way/231526258</x:v>
      </x:c>
      <x:c r="M4" s="12"/>
      <x:c r="N4" s="12" t="str">
        <x:v>FLOC-0139</x:v>
      </x:c>
      <x:c r="O4" s="12" t="str">
        <x:v>KIPMall Tampoi</x:v>
      </x:c>
      <x:c r="P4" s="12" t="str">
        <x:v>PASS</x:v>
      </x:c>
    </x:row>
    <x:row r="5">
      <x:c r="A5" s="12" t="str">
        <x:v>PG2017-KANGKAR-TEBRAU</x:v>
      </x:c>
      <x:c r="B5" s="12" t="str">
        <x:v>Kampung Kangkar Tebrau Residential Area</x:v>
      </x:c>
      <x:c r="C5" s="12" t="str">
        <x:v>Polygon</x:v>
      </x:c>
      <x:c r="D5" s="12" t="n">
        <x:v>1</x:v>
      </x:c>
      <x:c r="E5" s="12" t="n">
        <x:v>12</x:v>
      </x:c>
      <x:c r="F5" s="12" t="str">
        <x:v>PASS</x:v>
      </x:c>
      <x:c r="G5" s="12" t="str">
        <x:v>PASS</x:v>
      </x:c>
      <x:c r="H5" s="12" t="str">
        <x:v>PASS</x:v>
      </x:c>
      <x:c r="I5" s="12"/>
      <x:c r="J5" s="12" t="n">
        <x:v>0.370071</x:v>
      </x:c>
      <x:c r="K5" s="12" t="str">
        <x:v>Community analysis polygon; not automatically the exact inundation footprint.</x:v>
      </x:c>
      <x:c r="L5" s="12" t="str">
        <x:v>https://www.openstreetmap.org/way/657910839</x:v>
      </x:c>
      <x:c r="M5" s="12"/>
      <x:c r="N5" s="12" t="str">
        <x:v>FLOC-0086</x:v>
      </x:c>
      <x:c r="O5" s="12" t="str">
        <x:v>Kampung Kangkar Tebrau</x:v>
      </x:c>
      <x:c r="P5" s="12" t="str">
        <x:v>PASS</x:v>
      </x:c>
    </x:row>
    <x:row r="6">
      <x:c r="A6" s="12" t="str">
        <x:v>PG2017-TUAH-JAYA</x:v>
      </x:c>
      <x:c r="B6" s="12" t="str">
        <x:v>Kampung Tuah Jaya Residential Area</x:v>
      </x:c>
      <x:c r="C6" s="12" t="str">
        <x:v>Polygon</x:v>
      </x:c>
      <x:c r="D6" s="12" t="n">
        <x:v>1</x:v>
      </x:c>
      <x:c r="E6" s="12" t="n">
        <x:v>43</x:v>
      </x:c>
      <x:c r="F6" s="12" t="str">
        <x:v>PASS</x:v>
      </x:c>
      <x:c r="G6" s="12" t="str">
        <x:v>PASS</x:v>
      </x:c>
      <x:c r="H6" s="12" t="str">
        <x:v>PASS</x:v>
      </x:c>
      <x:c r="I6" s="12"/>
      <x:c r="J6" s="12" t="n">
        <x:v>0.127928</x:v>
      </x:c>
      <x:c r="K6" s="12" t="str">
        <x:v>Community analysis polygon; not automatically the exact inundation footprint.</x:v>
      </x:c>
      <x:c r="L6" s="12" t="str">
        <x:v>https://www.openstreetmap.org/way/473550504</x:v>
      </x:c>
      <x:c r="M6" s="12"/>
      <x:c r="N6" s="12" t="str">
        <x:v>FLOC-0123</x:v>
      </x:c>
      <x:c r="O6" s="12" t="str">
        <x:v>Kampung Tuah Jaya</x:v>
      </x:c>
      <x:c r="P6" s="12" t="str">
        <x:v>PASS</x:v>
      </x:c>
    </x:row>
    <x:row r="7">
      <x:c r="A7" s="12" t="str">
        <x:v>PG2017-WISMA-DAIMAN-ANCHOR</x:v>
      </x:c>
      <x:c r="B7" s="12" t="str">
        <x:v>Wisma Daiman Landmark Anchor</x:v>
      </x:c>
      <x:c r="C7" s="12" t="str">
        <x:v>Polygon</x:v>
      </x:c>
      <x:c r="D7" s="12" t="n">
        <x:v>1</x:v>
      </x:c>
      <x:c r="E7" s="12" t="n">
        <x:v>9</x:v>
      </x:c>
      <x:c r="F7" s="12" t="str">
        <x:v>PASS</x:v>
      </x:c>
      <x:c r="G7" s="12" t="str">
        <x:v>PASS</x:v>
      </x:c>
      <x:c r="H7" s="12" t="str">
        <x:v>PASS</x:v>
      </x:c>
      <x:c r="I7" s="12"/>
      <x:c r="J7" s="12" t="n">
        <x:v>0.002401</x:v>
      </x:c>
      <x:c r="K7" s="12" t="str">
        <x:v>Anchor-only polygon. Never treat this building outline as the flooded road extent.</x:v>
      </x:c>
      <x:c r="L7" s="12" t="str">
        <x:v>https://www.openstreetmap.org/way/176304886</x:v>
      </x:c>
      <x:c r="M7" s="12"/>
      <x:c r="N7" s="12" t="str">
        <x:v>FLOC-0066</x:v>
      </x:c>
      <x:c r="O7" s="12" t="str">
        <x:v>Jalan Tebrau near Wisma Daiman</x:v>
      </x:c>
      <x:c r="P7" s="12" t="str">
        <x:v>PASS</x:v>
      </x:c>
    </x:row>
    <x:row r="8">
      <x:c r="A8" s="12" t="str">
        <x:v>PG2018-MELAYU-LIMA-KEDAI</x:v>
      </x:c>
      <x:c r="B8" s="12" t="str">
        <x:v>Kampung Melayu Lima Kedai Residential Area</x:v>
      </x:c>
      <x:c r="C8" s="12" t="str">
        <x:v>Polygon</x:v>
      </x:c>
      <x:c r="D8" s="12" t="n">
        <x:v>1</x:v>
      </x:c>
      <x:c r="E8" s="12" t="n">
        <x:v>11</x:v>
      </x:c>
      <x:c r="F8" s="12" t="str">
        <x:v>PASS</x:v>
      </x:c>
      <x:c r="G8" s="12" t="str">
        <x:v>PASS</x:v>
      </x:c>
      <x:c r="H8" s="12" t="str">
        <x:v>PASS</x:v>
      </x:c>
      <x:c r="I8" s="12"/>
      <x:c r="J8" s="12" t="n">
        <x:v>0.167286</x:v>
      </x:c>
      <x:c r="K8" s="12" t="str">
        <x:v>Community analysis polygon; not automatically the exact observed inundation footprint.</x:v>
      </x:c>
      <x:c r="L8" s="12" t="str">
        <x:v>https://www.openstreetmap.org/way/683471898</x:v>
      </x:c>
      <x:c r="M8" s="12"/>
      <x:c r="N8" s="12" t="str">
        <x:v>FLOC-0091</x:v>
      </x:c>
      <x:c r="O8" s="12" t="str">
        <x:v>Kampung Melayu Lima Kedai</x:v>
      </x:c>
      <x:c r="P8" s="12" t="str">
        <x:v>PASS</x:v>
      </x:c>
    </x:row>
    <x:row r="9">
      <x:c r="A9" s="12" t="str">
        <x:v>PG2018-TAMAN-DAMAI-JAYA</x:v>
      </x:c>
      <x:c r="B9" s="12" t="str">
        <x:v>Taman Damai Jaya Residential Area</x:v>
      </x:c>
      <x:c r="C9" s="12" t="str">
        <x:v>Polygon</x:v>
      </x:c>
      <x:c r="D9" s="12" t="n">
        <x:v>1</x:v>
      </x:c>
      <x:c r="E9" s="12" t="n">
        <x:v>21</x:v>
      </x:c>
      <x:c r="F9" s="12" t="str">
        <x:v>PASS</x:v>
      </x:c>
      <x:c r="G9" s="12" t="str">
        <x:v>PASS</x:v>
      </x:c>
      <x:c r="H9" s="12" t="str">
        <x:v>PASS</x:v>
      </x:c>
      <x:c r="I9" s="12"/>
      <x:c r="J9" s="12" t="n">
        <x:v>0.713393</x:v>
      </x:c>
      <x:c r="K9" s="12" t="str">
        <x:v>Neighbourhood analysis polygon; not automatically the exact observed inundation footprint.</x:v>
      </x:c>
      <x:c r="L9" s="12" t="str">
        <x:v>https://www.openstreetmap.org/way/681808163</x:v>
      </x:c>
      <x:c r="M9" s="12"/>
      <x:c r="N9" s="12" t="str">
        <x:v>FLOC-0174</x:v>
      </x:c>
      <x:c r="O9" s="12" t="str">
        <x:v>Taman Damai Jaya</x:v>
      </x:c>
      <x:c r="P9" s="12" t="str">
        <x:v>PASS</x:v>
      </x:c>
    </x:row>
    <x:row r="10">
      <x:c r="A10" s="12" t="str">
        <x:v>PG2019-TAMAN-NUSA-BAYU</x:v>
      </x:c>
      <x:c r="B10" s="12" t="str">
        <x:v>Taman Nusa Bayu Residential Area</x:v>
      </x:c>
      <x:c r="C10" s="12" t="str">
        <x:v>Polygon</x:v>
      </x:c>
      <x:c r="D10" s="12" t="n">
        <x:v>1</x:v>
      </x:c>
      <x:c r="E10" s="12" t="n">
        <x:v>24</x:v>
      </x:c>
      <x:c r="F10" s="12" t="str">
        <x:v>PASS</x:v>
      </x:c>
      <x:c r="G10" s="12" t="str">
        <x:v>PASS</x:v>
      </x:c>
      <x:c r="H10" s="12" t="str">
        <x:v>PASS</x:v>
      </x:c>
      <x:c r="I10" s="12"/>
      <x:c r="J10" s="12" t="n">
        <x:v>1.019146</x:v>
      </x:c>
      <x:c r="K10" s="12" t="str">
        <x:v>Community/neighbourhood analysis polygon; not automatically the exact observed inundation footprint.</x:v>
      </x:c>
      <x:c r="L10" s="12" t="str">
        <x:v>https://www.openstreetmap.org/way/681880040</x:v>
      </x:c>
      <x:c r="M10" s="12"/>
      <x:c r="N10" s="12" t="str">
        <x:v>FLOC-0184</x:v>
      </x:c>
      <x:c r="O10" s="12" t="str">
        <x:v>Taman Nusa Bayu</x:v>
      </x:c>
      <x:c r="P10" s="12" t="str">
        <x:v>PASS</x:v>
      </x:c>
    </x:row>
    <x:row r="11">
      <x:c r="A11" s="12" t="str">
        <x:v>PG2019-KG-SEPAKAT-BARU</x:v>
      </x:c>
      <x:c r="B11" s="12" t="str">
        <x:v>Kampung Sepakat Baru Residential Area</x:v>
      </x:c>
      <x:c r="C11" s="12" t="str">
        <x:v>Polygon</x:v>
      </x:c>
      <x:c r="D11" s="12" t="n">
        <x:v>1</x:v>
      </x:c>
      <x:c r="E11" s="12" t="n">
        <x:v>41</x:v>
      </x:c>
      <x:c r="F11" s="12" t="str">
        <x:v>PASS</x:v>
      </x:c>
      <x:c r="G11" s="12" t="str">
        <x:v>PASS</x:v>
      </x:c>
      <x:c r="H11" s="12" t="str">
        <x:v>PASS</x:v>
      </x:c>
      <x:c r="I11" s="12"/>
      <x:c r="J11" s="12" t="n">
        <x:v>0.105241</x:v>
      </x:c>
      <x:c r="K11" s="12" t="str">
        <x:v>Community analysis polygon, not an observed inundation footprint. Preserve the location's administrative/context provenance note.</x:v>
      </x:c>
      <x:c r="L11" s="12" t="str">
        <x:v>https://www.openstreetmap.org/way/463347299</x:v>
      </x:c>
      <x:c r="M11" s="12"/>
      <x:c r="N11" s="12" t="str">
        <x:v>FLOC-0109</x:v>
      </x:c>
      <x:c r="O11" s="12" t="str">
        <x:v>Kampung Sepakat Baru</x:v>
      </x:c>
      <x:c r="P11" s="12" t="str">
        <x:v>PASS</x:v>
      </x:c>
    </x:row>
    <x:row r="12">
      <x:c r="A12" s="12" t="str">
        <x:v>PG2020-KG-BARU-MUAFAKAT</x:v>
      </x:c>
      <x:c r="B12" s="12" t="str">
        <x:v>Kampung Baru Muafakat Residential Area</x:v>
      </x:c>
      <x:c r="C12" s="12" t="str">
        <x:v>Polygon</x:v>
      </x:c>
      <x:c r="D12" s="12" t="n">
        <x:v>1</x:v>
      </x:c>
      <x:c r="E12" s="12" t="n">
        <x:v>44</x:v>
      </x:c>
      <x:c r="F12" s="12" t="str">
        <x:v>PASS</x:v>
      </x:c>
      <x:c r="G12" s="12" t="str">
        <x:v>PASS</x:v>
      </x:c>
      <x:c r="H12" s="12" t="str">
        <x:v>PASS</x:v>
      </x:c>
      <x:c r="I12" s="12"/>
      <x:c r="J12" s="12" t="n">
        <x:v>0.13438</x:v>
      </x:c>
      <x:c r="K12" s="12" t="str">
        <x:v>Community analysis polygon only; not the exact observed inundation footprint.</x:v>
      </x:c>
      <x:c r="L12" s="12" t="str">
        <x:v>https://www.openstreetmap.org/way/468638324</x:v>
      </x:c>
      <x:c r="M12" s="12"/>
      <x:c r="N12" s="12" t="str">
        <x:v>FLOC-0074</x:v>
      </x:c>
      <x:c r="O12" s="12" t="str">
        <x:v>Kampung Baru Muafakat, Gelang Patah</x:v>
      </x:c>
      <x:c r="P12" s="12" t="str">
        <x:v>PASS</x:v>
      </x:c>
    </x:row>
    <x:row r="13">
      <x:c r="A13" s="12" t="str">
        <x:v>PG2020-KG-MELAYU-KANGKAR-PULAI</x:v>
      </x:c>
      <x:c r="B13" s="12" t="str">
        <x:v>Kampung Melayu Kangkar Pulai Residential Area</x:v>
      </x:c>
      <x:c r="C13" s="12" t="str">
        <x:v>Polygon</x:v>
      </x:c>
      <x:c r="D13" s="12" t="n">
        <x:v>1</x:v>
      </x:c>
      <x:c r="E13" s="12" t="n">
        <x:v>14</x:v>
      </x:c>
      <x:c r="F13" s="12" t="str">
        <x:v>PASS</x:v>
      </x:c>
      <x:c r="G13" s="12" t="str">
        <x:v>PASS</x:v>
      </x:c>
      <x:c r="H13" s="12" t="str">
        <x:v>PASS</x:v>
      </x:c>
      <x:c r="I13" s="12"/>
      <x:c r="J13" s="12" t="n">
        <x:v>0.345854</x:v>
      </x:c>
      <x:c r="K13" s="12" t="str">
        <x:v>Parent-community analysis polygon only; do not interpret the whole polygon as the Jalan Tawakal inundation footprint.</x:v>
      </x:c>
      <x:c r="L13" s="12" t="str">
        <x:v>https://www.openstreetmap.org/way/656735022</x:v>
      </x:c>
      <x:c r="M13" s="12"/>
      <x:c r="N13" s="12" t="str">
        <x:v>FLOC-0064</x:v>
      </x:c>
      <x:c r="O13" s="12" t="str">
        <x:v>Jalan Tawakal, Kampung Melayu Kangkar Pulai</x:v>
      </x:c>
      <x:c r="P13" s="12" t="str">
        <x:v>PASS</x:v>
      </x:c>
    </x:row>
    <x:row r="14">
      <x:c r="A14" s="12" t="str">
        <x:v>PG2021-KEMPAS-LURAH</x:v>
      </x:c>
      <x:c r="B14" s="12" t="str">
        <x:v>Kempas Lurah</x:v>
      </x:c>
      <x:c r="C14" s="12" t="str">
        <x:v>Polygon</x:v>
      </x:c>
      <x:c r="D14" s="12" t="n">
        <x:v>1</x:v>
      </x:c>
      <x:c r="E14" s="12" t="n">
        <x:v>13</x:v>
      </x:c>
      <x:c r="F14" s="12" t="str">
        <x:v>PASS</x:v>
      </x:c>
      <x:c r="G14" s="12" t="str">
        <x:v>PASS</x:v>
      </x:c>
      <x:c r="H14" s="12" t="str">
        <x:v>PASS</x:v>
      </x:c>
      <x:c r="I14" s="24" t="b">
        <x:v>1</x:v>
      </x:c>
      <x:c r="J14" s="12" t="n">
        <x:v>0.619978</x:v>
      </x:c>
      <x:c r="K14" s="12" t="str">
        <x:v>Defensible community/residential analysis boundary; not an observed inundation footprint.</x:v>
      </x:c>
      <x:c r="L14" s="12" t="str">
        <x:v>https://www.openstreetmap.org/way/407852454</x:v>
      </x:c>
      <x:c r="M14" s="12" t="str">
        <x:v>2021 Polygon Closure</x:v>
      </x:c>
      <x:c r="N14" s="12" t="str">
        <x:v>FLOC-0130</x:v>
      </x:c>
      <x:c r="O14" s="12" t="str">
        <x:v>Kempas Lurah</x:v>
      </x:c>
      <x:c r="P14" s="12" t="str">
        <x:v>PASS</x:v>
      </x:c>
    </x:row>
    <x:row r="15">
      <x:c r="A15" s="12" t="str">
        <x:v>PG2021-TAMAN-MAWAR</x:v>
      </x:c>
      <x:c r="B15" s="12" t="str">
        <x:v>Taman Mawar</x:v>
      </x:c>
      <x:c r="C15" s="12" t="str">
        <x:v>Polygon</x:v>
      </x:c>
      <x:c r="D15" s="12" t="n">
        <x:v>1</x:v>
      </x:c>
      <x:c r="E15" s="12" t="n">
        <x:v>22</x:v>
      </x:c>
      <x:c r="F15" s="12" t="str">
        <x:v>PASS</x:v>
      </x:c>
      <x:c r="G15" s="12" t="str">
        <x:v>PASS</x:v>
      </x:c>
      <x:c r="H15" s="12" t="str">
        <x:v>PASS</x:v>
      </x:c>
      <x:c r="I15" s="24" t="b">
        <x:v>1</x:v>
      </x:c>
      <x:c r="J15" s="12" t="n">
        <x:v>1.232917</x:v>
      </x:c>
      <x:c r="K15" s="12" t="str">
        <x:v>Defensible community/residential analysis boundary; not an observed inundation footprint.</x:v>
      </x:c>
      <x:c r="L15" s="12" t="str">
        <x:v>https://www.openstreetmap.org/way/617816429</x:v>
      </x:c>
      <x:c r="M15" s="12" t="str">
        <x:v>2021 Polygon Closure</x:v>
      </x:c>
      <x:c r="N15" s="12" t="str">
        <x:v>FLOC-0181</x:v>
      </x:c>
      <x:c r="O15" s="12" t="str">
        <x:v>Taman Mawar</x:v>
      </x:c>
      <x:c r="P15" s="12" t="str">
        <x:v>PASS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76" hidden="0" customWidth="1"/>
  </x:cols>
  <x:sheetData>
    <x:row r="1">
      <x:c r="A1" s="6" t="str">
        <x:v>QA_Item</x:v>
      </x:c>
      <x:c r="B1" s="6" t="str">
        <x:v>Result</x:v>
      </x:c>
      <x:c r="C1" s="6" t="str">
        <x:v>Status</x:v>
      </x:c>
      <x:c r="D1" s="6" t="str">
        <x:v>Note</x:v>
      </x:c>
    </x:row>
    <x:row r="2">
      <x:c r="A2" s="12" t="str">
        <x:v>Event_ID uniqueness</x:v>
      </x:c>
      <x:c r="B2" s="12" t="n">
        <x:v>346</x:v>
      </x:c>
      <x:c r="C2" s="12" t="str">
        <x:v>PASS</x:v>
      </x:c>
      <x:c r="D2" s="12" t="str">
        <x:v>Expected 346 unique Event_IDs</x:v>
      </x:c>
    </x:row>
    <x:row r="3">
      <x:c r="A3" s="12" t="str">
        <x:v>Dedup groups</x:v>
      </x:c>
      <x:c r="B3" s="12" t="n">
        <x:v>78</x:v>
      </x:c>
      <x:c r="C3" s="12" t="str">
        <x:v>PASS</x:v>
      </x:c>
      <x:c r="D3" s="12" t="str">
        <x:v>Frequency is based on distinct Dedup_Group_ID per final location</x:v>
      </x:c>
    </x:row>
    <x:row r="4">
      <x:c r="A4" s="12" t="str">
        <x:v>Final normalized locations</x:v>
      </x:c>
      <x:c r="B4" s="12" t="n">
        <x:v>196</x:v>
      </x:c>
      <x:c r="C4" s="12" t="str">
        <x:v>PASS</x:v>
      </x:c>
      <x:c r="D4" s="12" t="str">
        <x:v>Legacy duplicates/aliases merged only where evidence supports identity</x:v>
      </x:c>
    </x:row>
    <x:row r="5">
      <x:c r="A5" s="12" t="str">
        <x:v>Independent location-episode pairs</x:v>
      </x:c>
      <x:c r="B5" s="12" t="n">
        <x:v>344</x:v>
      </x:c>
      <x:c r="C5" s="12" t="str">
        <x:v>PASS</x:v>
      </x:c>
      <x:c r="D5" s="12" t="str">
        <x:v>346 raw rows collapse to unique location-episode pairs for counting</x:v>
      </x:c>
    </x:row>
    <x:row r="6">
      <x:c r="A6" s="12" t="str">
        <x:v>Fixed45 represented</x:v>
      </x:c>
      <x:c r="B6" s="12" t="n">
        <x:v>45</x:v>
      </x:c>
      <x:c r="C6" s="12" t="str">
        <x:v>PASS</x:v>
      </x:c>
      <x:c r="D6" s="12" t="str">
        <x:v>Must be 45/45</x:v>
      </x:c>
    </x:row>
    <x:row r="7">
      <x:c r="A7" s="12" t="str">
        <x:v>Validated polygons linked</x:v>
      </x:c>
      <x:c r="B7" s="12" t="n">
        <x:v>14</x:v>
      </x:c>
      <x:c r="C7" s="12" t="str">
        <x:v>PASS</x:v>
      </x:c>
      <x:c r="D7" s="12" t="str">
        <x:v>Must be 14/14</x:v>
      </x:c>
    </x:row>
    <x:row r="8">
      <x:c r="A8" s="12" t="str">
        <x:v>GIS-ready plot rows missing longitude</x:v>
      </x:c>
      <x:c r="B8" s="12" t="n">
        <x:v>0</x:v>
      </x:c>
      <x:c r="C8" s="12" t="str">
        <x:v>PASS</x:v>
      </x:c>
      <x:c r="D8" s="12" t="str">
        <x:v>Must be 0</x:v>
      </x:c>
    </x:row>
    <x:row r="9">
      <x:c r="A9" s="12" t="str">
        <x:v>GIS-ready plot rows missing latitude</x:v>
      </x:c>
      <x:c r="B9" s="12" t="n">
        <x:v>0</x:v>
      </x:c>
      <x:c r="C9" s="12" t="str">
        <x:v>PASS</x:v>
      </x:c>
      <x:c r="D9" s="12" t="str">
        <x:v>Must be 0</x:v>
      </x:c>
    </x:row>
    <x:row r="10">
      <x:c r="A10" s="12" t="str">
        <x:v>Baseline-only locations in frequency plot</x:v>
      </x:c>
      <x:c r="B10" s="12" t="n">
        <x:v>0</x:v>
      </x:c>
      <x:c r="C10" s="12" t="str">
        <x:v>PASS</x:v>
      </x:c>
      <x:c r="D10" s="12" t="str">
        <x:v>Must be 0</x:v>
      </x:c>
    </x:row>
    <x:row r="11">
      <x:c r="A11" s="12" t="str">
        <x:v>Within-episode duplicate rows excluded from extra counting</x:v>
      </x:c>
      <x:c r="B11" s="12" t="n">
        <x:v>2</x:v>
      </x:c>
      <x:c r="C11" s="12" t="str">
        <x:v>PASS</x:v>
      </x:c>
      <x:c r="D11" s="12" t="str">
        <x:v>Jalan Tun Abdul Razak sub-records in one episode are counted once</x:v>
      </x:c>
    </x:row>
  </x:sheetData>
  <x:pageMargins left="0.7" right="0.7" top="0.75" bottom="0.75" header="0.3" footer="0.3"/>
</x:worksheet>
</file>