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90dbe785784209" /></Relationships>
</file>

<file path=xl/workbook.xml><?xml version="1.0" encoding="utf-8"?>
<x:workbook xmlns:x="http://schemas.openxmlformats.org/spreadsheetml/2006/main">
  <x:sheets>
    <x:sheet xmlns:r="http://schemas.openxmlformats.org/officeDocument/2006/relationships" name="00_README" sheetId="1" r:id="Rd8e9fced6b564118"/>
    <x:sheet xmlns:r="http://schemas.openxmlformats.org/officeDocument/2006/relationships" name="01_2021_Event_Master" sheetId="2" r:id="Rb726d233fdbf447b"/>
    <x:sheet xmlns:r="http://schemas.openxmlformats.org/officeDocument/2006/relationships" name="02_2021_Source_Register" sheetId="3" r:id="R40111d238fb74120"/>
    <x:sheet xmlns:r="http://schemas.openxmlformats.org/officeDocument/2006/relationships" name="03_2021_Spatial_Resolution" sheetId="4" r:id="R526a82e0c38d42bc"/>
    <x:sheet xmlns:r="http://schemas.openxmlformats.org/officeDocument/2006/relationships" name="04_2021_Open_Objects" sheetId="5" r:id="R88c4fee6a5e846fa"/>
    <x:sheet xmlns:r="http://schemas.openxmlformats.org/officeDocument/2006/relationships" name="05_Carry_Forward_R012" sheetId="6" r:id="R52e55e393772468e"/>
    <x:sheet xmlns:r="http://schemas.openxmlformats.org/officeDocument/2006/relationships" name="06_QA_Event_Spatial" sheetId="7" r:id="R7aa8b2eb6b5a430d"/>
    <x:sheet xmlns:r="http://schemas.openxmlformats.org/officeDocument/2006/relationships" name="07_2021_Polygon_Master" sheetId="8" r:id="R6c5ff4bd5dc644ee"/>
    <x:sheet xmlns:r="http://schemas.openxmlformats.org/officeDocument/2006/relationships" name="08_QA_2021_Closure" sheetId="9" r:id="Rfc3793d8785340eb"/>
    <x:sheet xmlns:r="http://schemas.openxmlformats.org/officeDocument/2006/relationships" name="09_2022_Event_Master" sheetId="10" r:id="R13c595f9c8b34a97"/>
    <x:sheet xmlns:r="http://schemas.openxmlformats.org/officeDocument/2006/relationships" name="10_2022_Episodes" sheetId="11" r:id="R53a2b0753ba94443"/>
    <x:sheet xmlns:r="http://schemas.openxmlformats.org/officeDocument/2006/relationships" name="11_2022_Source_Register" sheetId="12" r:id="R1dce9c084f5e4999"/>
    <x:sheet xmlns:r="http://schemas.openxmlformats.org/officeDocument/2006/relationships" name="12_2022_Spatial_Resolution" sheetId="13" r:id="R04fc24f2b25143da"/>
    <x:sheet xmlns:r="http://schemas.openxmlformats.org/officeDocument/2006/relationships" name="13_2022_Open_Objects" sheetId="14" r:id="R717d114c29bc438a"/>
    <x:sheet xmlns:r="http://schemas.openxmlformats.org/officeDocument/2006/relationships" name="14_QA_2022_Event_Spatial" sheetId="15" r:id="Rc6d55925f5284f3f"/>
    <x:sheet xmlns:r="http://schemas.openxmlformats.org/officeDocument/2006/relationships" name="15_2022_Polygon_Reuse" sheetId="16" r:id="Re2657baf747b465c"/>
    <x:sheet xmlns:r="http://schemas.openxmlformats.org/officeDocument/2006/relationships" name="16_QA_2022_Closure" sheetId="17" r:id="R72f8931431594f93"/>
    <x:sheet xmlns:r="http://schemas.openxmlformats.org/officeDocument/2006/relationships" name="17_2023_Event_Master" sheetId="18" r:id="R5a135dba3fa74788"/>
    <x:sheet xmlns:r="http://schemas.openxmlformats.org/officeDocument/2006/relationships" name="18_2023_Episodes" sheetId="19" r:id="R969be031e6824644"/>
    <x:sheet xmlns:r="http://schemas.openxmlformats.org/officeDocument/2006/relationships" name="19_2023_Source_Register" sheetId="20" r:id="R526f224c42ab44c2"/>
    <x:sheet xmlns:r="http://schemas.openxmlformats.org/officeDocument/2006/relationships" name="20_2023_Spatial_Resolution" sheetId="21" r:id="R499953c1ebfa4cba"/>
    <x:sheet xmlns:r="http://schemas.openxmlformats.org/officeDocument/2006/relationships" name="21_2023_Unresolved_Candidates" sheetId="22" r:id="R8520ca98804a4079"/>
    <x:sheet xmlns:r="http://schemas.openxmlformats.org/officeDocument/2006/relationships" name="22_2023_Open_Objects" sheetId="23" r:id="R0e7d297d500142b2"/>
    <x:sheet xmlns:r="http://schemas.openxmlformats.org/officeDocument/2006/relationships" name="23_QA_2023_Event_Spatial" sheetId="24" r:id="R509f635183ad4e73"/>
    <x:sheet xmlns:r="http://schemas.openxmlformats.org/officeDocument/2006/relationships" name="24_2023_Polygon_Reuse" sheetId="25" r:id="R86d13f90d0804407"/>
    <x:sheet xmlns:r="http://schemas.openxmlformats.org/officeDocument/2006/relationships" name="25_QA_2023_Closure" sheetId="26" r:id="R7a96565a41aa436b"/>
    <x:sheet xmlns:r="http://schemas.openxmlformats.org/officeDocument/2006/relationships" name="26_2024_Event_Master" sheetId="27" r:id="R560f8637bba547da"/>
    <x:sheet xmlns:r="http://schemas.openxmlformats.org/officeDocument/2006/relationships" name="27_2024_Episodes" sheetId="28" r:id="R3788cf76a3c14508"/>
    <x:sheet xmlns:r="http://schemas.openxmlformats.org/officeDocument/2006/relationships" name="28_2024_Source_Register" sheetId="29" r:id="R4704cbeeea5a4c86"/>
    <x:sheet xmlns:r="http://schemas.openxmlformats.org/officeDocument/2006/relationships" name="29_2024_Spatial_Resolution" sheetId="30" r:id="R7405c51afd3640cd"/>
    <x:sheet xmlns:r="http://schemas.openxmlformats.org/officeDocument/2006/relationships" name="30_2024_Unresolved_Candidates" sheetId="31" r:id="Rc3de63d995c14993"/>
    <x:sheet xmlns:r="http://schemas.openxmlformats.org/officeDocument/2006/relationships" name="31_2024_Open_Objects" sheetId="32" r:id="R5964d9c54e8e471a"/>
    <x:sheet xmlns:r="http://schemas.openxmlformats.org/officeDocument/2006/relationships" name="32_QA_2024_Event_Spatial" sheetId="33" r:id="R231f4f54ee064da9"/>
    <x:sheet xmlns:r="http://schemas.openxmlformats.org/officeDocument/2006/relationships" name="33_2024_Polygon_Reuse" sheetId="34" r:id="Rdee6d11548a2489c"/>
    <x:sheet xmlns:r="http://schemas.openxmlformats.org/officeDocument/2006/relationships" name="34_QA_2024_Closure" sheetId="35" r:id="Ra698a5e0a68c4b6c"/>
    <x:sheet xmlns:r="http://schemas.openxmlformats.org/officeDocument/2006/relationships" name="35_2025_Event_Master" sheetId="36" r:id="R636b188daea14eca"/>
    <x:sheet xmlns:r="http://schemas.openxmlformats.org/officeDocument/2006/relationships" name="36_2025_Episodes" sheetId="37" r:id="R67e18a00632d4714"/>
    <x:sheet xmlns:r="http://schemas.openxmlformats.org/officeDocument/2006/relationships" name="37_2025_Source_Register" sheetId="38" r:id="Rf52cb67902154a21"/>
    <x:sheet xmlns:r="http://schemas.openxmlformats.org/officeDocument/2006/relationships" name="38_2025_Spatial_Resolution" sheetId="39" r:id="R931ed74e14a14f38"/>
    <x:sheet xmlns:r="http://schemas.openxmlformats.org/officeDocument/2006/relationships" name="39_2025_Unresolved_Candidates" sheetId="40" r:id="Rd8370d2a8a514c95"/>
    <x:sheet xmlns:r="http://schemas.openxmlformats.org/officeDocument/2006/relationships" name="40_2025_Open_Objects" sheetId="41" r:id="R45b2fc083c8f4d31"/>
    <x:sheet xmlns:r="http://schemas.openxmlformats.org/officeDocument/2006/relationships" name="41_QA_2025_Event_Spatial" sheetId="42" r:id="Rcad0a806747a41d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7">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1" fillId="6"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6858318cfc405f" /><Relationship Type="http://schemas.openxmlformats.org/officeDocument/2006/relationships/theme" Target="/xl/theme/theme1.xml" Id="R4b62114ae7134504" /><Relationship Type="http://schemas.microsoft.com/office/2022/11/relationships/FeaturePropertyBag" Target="/xl/featurePropertyBag/featurePropertyBag.xml" Id="R43224d7caba44f7a" /><Relationship Type="http://schemas.openxmlformats.org/officeDocument/2006/relationships/sharedStrings" Target="/xl/sharedStrings.xml" Id="Rae1ae44c8ae24831" /><Relationship Type="http://schemas.openxmlformats.org/officeDocument/2006/relationships/worksheet" Target="/xl/worksheets/sheet1.xml" Id="Rd8e9fced6b564118" /><Relationship Type="http://schemas.openxmlformats.org/officeDocument/2006/relationships/worksheet" Target="/xl/worksheets/sheet2.xml" Id="Rb726d233fdbf447b" /><Relationship Type="http://schemas.openxmlformats.org/officeDocument/2006/relationships/worksheet" Target="/xl/worksheets/sheet3.xml" Id="R40111d238fb74120" /><Relationship Type="http://schemas.openxmlformats.org/officeDocument/2006/relationships/worksheet" Target="/xl/worksheets/sheet4.xml" Id="R526a82e0c38d42bc" /><Relationship Type="http://schemas.openxmlformats.org/officeDocument/2006/relationships/worksheet" Target="/xl/worksheets/sheet5.xml" Id="R88c4fee6a5e846fa" /><Relationship Type="http://schemas.openxmlformats.org/officeDocument/2006/relationships/worksheet" Target="/xl/worksheets/sheet6.xml" Id="R52e55e393772468e" /><Relationship Type="http://schemas.openxmlformats.org/officeDocument/2006/relationships/worksheet" Target="/xl/worksheets/sheet7.xml" Id="R7aa8b2eb6b5a430d" /><Relationship Type="http://schemas.openxmlformats.org/officeDocument/2006/relationships/worksheet" Target="/xl/worksheets/sheet8.xml" Id="R6c5ff4bd5dc644ee" /><Relationship Type="http://schemas.openxmlformats.org/officeDocument/2006/relationships/worksheet" Target="/xl/worksheets/sheet9.xml" Id="Rfc3793d8785340eb" /><Relationship Type="http://schemas.openxmlformats.org/officeDocument/2006/relationships/worksheet" Target="/xl/worksheets/sheet10.xml" Id="R13c595f9c8b34a97" /><Relationship Type="http://schemas.openxmlformats.org/officeDocument/2006/relationships/worksheet" Target="/xl/worksheets/sheet11.xml" Id="R53a2b0753ba94443" /><Relationship Type="http://schemas.openxmlformats.org/officeDocument/2006/relationships/worksheet" Target="/xl/worksheets/sheet12.xml" Id="R1dce9c084f5e4999" /><Relationship Type="http://schemas.openxmlformats.org/officeDocument/2006/relationships/worksheet" Target="/xl/worksheets/sheet13.xml" Id="R04fc24f2b25143da" /><Relationship Type="http://schemas.openxmlformats.org/officeDocument/2006/relationships/worksheet" Target="/xl/worksheets/sheet14.xml" Id="R717d114c29bc438a" /><Relationship Type="http://schemas.openxmlformats.org/officeDocument/2006/relationships/worksheet" Target="/xl/worksheets/sheet15.xml" Id="Rc6d55925f5284f3f" /><Relationship Type="http://schemas.openxmlformats.org/officeDocument/2006/relationships/worksheet" Target="/xl/worksheets/sheet16.xml" Id="Re2657baf747b465c" /><Relationship Type="http://schemas.openxmlformats.org/officeDocument/2006/relationships/worksheet" Target="/xl/worksheets/sheet17.xml" Id="R72f8931431594f93" /><Relationship Type="http://schemas.openxmlformats.org/officeDocument/2006/relationships/worksheet" Target="/xl/worksheets/sheet18.xml" Id="R5a135dba3fa74788" /><Relationship Type="http://schemas.openxmlformats.org/officeDocument/2006/relationships/worksheet" Target="/xl/worksheets/sheet19.xml" Id="R969be031e6824644" /><Relationship Type="http://schemas.openxmlformats.org/officeDocument/2006/relationships/worksheet" Target="/xl/worksheets/sheet20.xml" Id="R526f224c42ab44c2" /><Relationship Type="http://schemas.openxmlformats.org/officeDocument/2006/relationships/worksheet" Target="/xl/worksheets/sheet21.xml" Id="R499953c1ebfa4cba" /><Relationship Type="http://schemas.openxmlformats.org/officeDocument/2006/relationships/worksheet" Target="/xl/worksheets/sheet22.xml" Id="R8520ca98804a4079" /><Relationship Type="http://schemas.openxmlformats.org/officeDocument/2006/relationships/worksheet" Target="/xl/worksheets/sheet23.xml" Id="R0e7d297d500142b2" /><Relationship Type="http://schemas.openxmlformats.org/officeDocument/2006/relationships/worksheet" Target="/xl/worksheets/sheet24.xml" Id="R509f635183ad4e73" /><Relationship Type="http://schemas.openxmlformats.org/officeDocument/2006/relationships/worksheet" Target="/xl/worksheets/sheet25.xml" Id="R86d13f90d0804407" /><Relationship Type="http://schemas.openxmlformats.org/officeDocument/2006/relationships/worksheet" Target="/xl/worksheets/sheet26.xml" Id="R7a96565a41aa436b" /><Relationship Type="http://schemas.openxmlformats.org/officeDocument/2006/relationships/worksheet" Target="/xl/worksheets/sheet27.xml" Id="R560f8637bba547da" /><Relationship Type="http://schemas.openxmlformats.org/officeDocument/2006/relationships/worksheet" Target="/xl/worksheets/sheet28.xml" Id="R3788cf76a3c14508" /><Relationship Type="http://schemas.openxmlformats.org/officeDocument/2006/relationships/worksheet" Target="/xl/worksheets/sheet29.xml" Id="R4704cbeeea5a4c86" /><Relationship Type="http://schemas.openxmlformats.org/officeDocument/2006/relationships/worksheet" Target="/xl/worksheets/sheet30.xml" Id="R7405c51afd3640cd" /><Relationship Type="http://schemas.openxmlformats.org/officeDocument/2006/relationships/worksheet" Target="/xl/worksheets/sheet31.xml" Id="Rc3de63d995c14993" /><Relationship Type="http://schemas.openxmlformats.org/officeDocument/2006/relationships/worksheet" Target="/xl/worksheets/sheet32.xml" Id="R5964d9c54e8e471a" /><Relationship Type="http://schemas.openxmlformats.org/officeDocument/2006/relationships/worksheet" Target="/xl/worksheets/sheet33.xml" Id="R231f4f54ee064da9" /><Relationship Type="http://schemas.openxmlformats.org/officeDocument/2006/relationships/worksheet" Target="/xl/worksheets/sheet34.xml" Id="Rdee6d11548a2489c" /><Relationship Type="http://schemas.openxmlformats.org/officeDocument/2006/relationships/worksheet" Target="/xl/worksheets/sheet35.xml" Id="Ra698a5e0a68c4b6c" /><Relationship Type="http://schemas.openxmlformats.org/officeDocument/2006/relationships/worksheet" Target="/xl/worksheets/sheet36.xml" Id="R636b188daea14eca" /><Relationship Type="http://schemas.openxmlformats.org/officeDocument/2006/relationships/worksheet" Target="/xl/worksheets/sheet37.xml" Id="R67e18a00632d4714" /><Relationship Type="http://schemas.openxmlformats.org/officeDocument/2006/relationships/worksheet" Target="/xl/worksheets/sheet38.xml" Id="Rf52cb67902154a21" /><Relationship Type="http://schemas.openxmlformats.org/officeDocument/2006/relationships/worksheet" Target="/xl/worksheets/sheet39.xml" Id="R931ed74e14a14f38" /><Relationship Type="http://schemas.openxmlformats.org/officeDocument/2006/relationships/worksheet" Target="/xl/worksheets/sheet40.xml" Id="Rd8370d2a8a514c95" /><Relationship Type="http://schemas.openxmlformats.org/officeDocument/2006/relationships/worksheet" Target="/xl/worksheets/sheet41.xml" Id="R45b2fc083c8f4d31" /><Relationship Type="http://schemas.openxmlformats.org/officeDocument/2006/relationships/worksheet" Target="/xl/worksheets/sheet42.xml" Id="Rcad0a806747a41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9" hidden="0" customWidth="1"/>
    <x:col min="2" max="2" width="104"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row r="51">
      <x:c r="A51" s="9" t="str">
        <x:v>2023 POLYGON CLOSURE</x:v>
      </x:c>
      <x:c r="B51" s="9" t="str">
        <x:v>R018 completes the defensible 2023 geometry pass.</x:v>
      </x:c>
    </x:row>
    <x:row r="52">
      <x:c r="A52" s="9" t="str">
        <x:v>New 2023 Polygon_ID</x:v>
      </x:c>
      <x:c r="B52" s="9" t="n">
        <x:v>0</x:v>
      </x:c>
    </x:row>
    <x:row r="53">
      <x:c r="A53" s="9" t="str">
        <x:v>Reused polygon</x:v>
      </x:c>
      <x:c r="B53" s="9" t="str">
        <x:v>PG2017-KG-KANGKAR-TEBRAU</x:v>
      </x:c>
    </x:row>
    <x:row r="54">
      <x:c r="A54" s="9" t="str">
        <x:v>Cumulative Polygon_ID</x:v>
      </x:c>
      <x:c r="B54" s="9" t="n">
        <x:v>14</x:v>
      </x:c>
    </x:row>
    <x:row r="55">
      <x:c r="A55" s="9" t="str">
        <x:v>No-fabrication result</x:v>
      </x:c>
      <x:c r="B55" s="9" t="str">
        <x:v>No Hutan Bandar, road, neighbourhood or candidate geometry is converted into a polygon without an exact defensible named closed boundary.</x:v>
      </x:c>
    </x:row>
    <x:row r="56">
      <x:c r="A56" s="9" t="str">
        <x:v>2023 annual state</x:v>
      </x:c>
      <x:c r="B56" s="9" t="str">
        <x:v>Current defensible geometry frozen; unresolved road/community/subarea objects retained for manual analysis.</x:v>
      </x:c>
    </x:row>
    <x:row r="57">
      <x:c r="A57" s="9" t="str">
        <x:v>Next-year rule</x:v>
      </x:c>
      <x:c r="B57" s="9" t="str">
        <x:v>STOP after 2023. Do not start 2024 without a new explicit instruction.</x:v>
      </x:c>
    </x:row>
    <x:row r="58">
      <x:c r="A58" s="9" t="str">
        <x:v>2024 EVENT + SPATIAL AUDIT</x:v>
      </x:c>
      <x:c r="B58" s="9" t="str">
        <x:v>R019 extends validated R018 and processes 2024 only.</x:v>
      </x:c>
    </x:row>
    <x:row r="59">
      <x:c r="A59" s="9" t="str">
        <x:v>2024 exact event-location rows</x:v>
      </x:c>
      <x:c r="B59" s="9" t="n">
        <x:v>15</x:v>
      </x:c>
    </x:row>
    <x:row r="60">
      <x:c r="A60" s="9" t="str">
        <x:v>2024 episode groups</x:v>
      </x:c>
      <x:c r="B60" s="9" t="n">
        <x:v>2</x:v>
      </x:c>
    </x:row>
    <x:row r="61">
      <x:c r="A61" s="9" t="str">
        <x:v>2024 unique spatial objects</x:v>
      </x:c>
      <x:c r="B61" s="9" t="n">
        <x:v>15</x:v>
      </x:c>
    </x:row>
    <x:row r="62">
      <x:c r="A62" s="9" t="str">
        <x:v>2024 strict Point-GIS-ready objects</x:v>
      </x:c>
      <x:c r="B62" s="9" t="n">
        <x:v>4</x:v>
      </x:c>
    </x:row>
    <x:row r="63">
      <x:c r="A63" s="9" t="str">
        <x:v>2024 unresolved/non-counted evidence rows</x:v>
      </x:c>
      <x:c r="B63" s="9" t="n">
        <x:v>9</x:v>
      </x:c>
    </x:row>
    <x:row r="64">
      <x:c r="A64" s="9" t="str">
        <x:v>January counting rule</x:v>
      </x:c>
      <x:c r="B64" s="9" t="str">
        <x:v>4–13 Jan is treated as one continuous monsoon episode; later daily reports add locations without creating duplicate episode counts.</x:v>
      </x:c>
    </x:row>
    <x:row r="65">
      <x:c r="A65" s="9" t="str">
        <x:v>PPS rule</x:v>
      </x:c>
      <x:c r="B65" s="9" t="str">
        <x:v>PPS site names are not automatically counted as inundated origin locations.</x:v>
      </x:c>
    </x:row>
    <x:row r="66">
      <x:c r="A66" s="9" t="str">
        <x:v>2024 road rule</x:v>
      </x:c>
      <x:c r="B66" s="9" t="str">
        <x:v>Jalan Kangkar Tebrau remains a road-segment object; the Kangkar Tebrau community polygon is not substituted.</x:v>
      </x:c>
    </x:row>
    <x:row r="67">
      <x:c r="A67" s="9" t="str">
        <x:v>2024 provisional polygon decision</x:v>
      </x:c>
      <x:c r="B67" s="9" t="str">
        <x:v>No new or reused polygon is applied to 2024 event rows under the current strict evidence.</x:v>
      </x:c>
    </x:row>
    <x:row r="68">
      <x:c r="A68" s="9" t="str">
        <x:v>2024 annual audit state</x:v>
      </x:c>
      <x:c r="B68" s="9" t="str">
        <x:v>Event + spatial audit complete under current evidence; open objects and period-level candidates retained transparently.</x:v>
      </x:c>
    </x:row>
    <x:row r="69">
      <x:c r="A69" s="9" t="str">
        <x:v>Year stop rule</x:v>
      </x:c>
      <x:c r="B69" s="9" t="str">
        <x:v>Process 2024 only; do not enter 2025 in this pass.</x:v>
      </x:c>
    </x:row>
    <x:row r="70">
      <x:c r="A70" s="9" t="str">
        <x:v>2024 POLYGON CLOSURE</x:v>
      </x:c>
      <x:c r="B70" s="9" t="str">
        <x:v>R020 completes the defensible 2024 geometry pass.</x:v>
      </x:c>
    </x:row>
    <x:row r="71">
      <x:c r="A71" s="9" t="str">
        <x:v>New 2024 Polygon_ID</x:v>
      </x:c>
      <x:c r="B71" s="9" t="n">
        <x:v>0</x:v>
      </x:c>
    </x:row>
    <x:row r="72">
      <x:c r="A72" s="9" t="str">
        <x:v>Reused closed polygons</x:v>
      </x:c>
      <x:c r="B72" s="9" t="n">
        <x:v>0</x:v>
      </x:c>
    </x:row>
    <x:row r="73">
      <x:c r="A73" s="9" t="str">
        <x:v>Cumulative Polygon_ID</x:v>
      </x:c>
      <x:c r="B73" s="9" t="n">
        <x:v>14</x:v>
      </x:c>
    </x:row>
    <x:row r="74">
      <x:c r="A74" s="9" t="str">
        <x:v>No-fabrication result</x:v>
      </x:c>
      <x:c r="B74" s="9" t="str">
        <x:v>No community polygon is applied to Jalan Kangkar Tebrau; no parent settlement polygon is applied to the Kangkar Tebrau Kiri temple event; no arbitrary road buffers are created.</x:v>
      </x:c>
    </x:row>
    <x:row r="75">
      <x:c r="A75" s="9" t="str">
        <x:v>2024 annual state</x:v>
      </x:c>
      <x:c r="B75" s="9" t="str">
        <x:v>Current defensible geometry frozen; all unresolved road/community/facility objects retained for manual analysis.</x:v>
      </x:c>
    </x:row>
    <x:row r="76">
      <x:c r="A76" s="9" t="str">
        <x:v>Next-year rule</x:v>
      </x:c>
      <x:c r="B76" s="9" t="str">
        <x:v>STOP after 2024. Do not start 2025 without a new explicit instruction.</x:v>
      </x:c>
    </x:row>
    <x:row r="77">
      <x:c r="A77" s="9" t="str">
        <x:v>2025 EVENT + SPATIAL AUDIT</x:v>
      </x:c>
      <x:c r="B77" s="9" t="str">
        <x:v>R021 extends validated R020 and processes 2025 only.</x:v>
      </x:c>
    </x:row>
    <x:row r="78">
      <x:c r="A78" s="9" t="str">
        <x:v>2025 exact event-location rows</x:v>
      </x:c>
      <x:c r="B78" s="9" t="n">
        <x:v>47</x:v>
      </x:c>
    </x:row>
    <x:row r="79">
      <x:c r="A79" s="9" t="str">
        <x:v>2025 episode groups</x:v>
      </x:c>
      <x:c r="B79" s="9" t="n">
        <x:v>6</x:v>
      </x:c>
    </x:row>
    <x:row r="80">
      <x:c r="A80" s="9" t="str">
        <x:v>2025 unique spatial objects</x:v>
      </x:c>
      <x:c r="B80" s="9" t="n">
        <x:v>41</x:v>
      </x:c>
    </x:row>
    <x:row r="81">
      <x:c r="A81" s="9" t="str">
        <x:v>2025 strict Point-GIS-ready objects</x:v>
      </x:c>
      <x:c r="B81" s="9" t="n">
        <x:v>20</x:v>
      </x:c>
    </x:row>
    <x:row r="82">
      <x:c r="A82" s="9" t="str">
        <x:v>2025 unresolved/non-counted evidence rows</x:v>
      </x:c>
      <x:c r="B82" s="9" t="n">
        <x:v>8</x:v>
      </x:c>
    </x:row>
    <x:row r="83">
      <x:c r="A83" s="9" t="str">
        <x:v>March counting rule</x:v>
      </x:c>
      <x:c r="B83" s="9" t="str">
        <x:v>19–24 Mar is one major flood episode. Communities, facilities and road segments share one Dedup_Group_ID and are not treated as separate flood episodes.</x:v>
      </x:c>
    </x:row>
    <x:row r="84">
      <x:c r="A84" s="9" t="str">
        <x:v>March 27-area rule</x:v>
      </x:c>
      <x:c r="B84" s="9" t="str">
        <x:v>MBJB mayor states 27 areas were affected, but only publicly named locations are entered; unnamed remainder stays unresolved.</x:v>
      </x:c>
    </x:row>
    <x:row r="85">
      <x:c r="A85" s="9" t="str">
        <x:v>JKR road rule</x:v>
      </x:c>
      <x:c r="B85" s="9" t="str">
        <x:v>Eight March JKR route/section records are retained as chainage-ready road segments; no arbitrary buffers are created.</x:v>
      </x:c>
    </x:row>
    <x:row r="86">
      <x:c r="A86" s="9" t="str">
        <x:v>December recurrence rule</x:v>
      </x:c>
      <x:c r="B86" s="9" t="str">
        <x:v>12 Dec and 13 Dec Kampung Mohd Amin are treated as separate daily recurrences because 12 Dec water receded and Bernama documents another flood on 13 Dec, while noting two consecutive days.</x:v>
      </x:c>
    </x:row>
    <x:row r="87">
      <x:c r="A87" s="9" t="str">
        <x:v>Facility rule</x:v>
      </x:c>
      <x:c r="B87" s="9" t="str">
        <x:v>Building Lily HSA remains building-specific; the entire HSA campus polygon is not substituted for the flooded building.</x:v>
      </x:c>
    </x:row>
    <x:row r="88">
      <x:c r="A88" s="9" t="str">
        <x:v>2025 provisional polygon decision</x:v>
      </x:c>
      <x:c r="B88" s="9" t="str">
        <x:v>No new Polygon_ID. Existing Kampung Kangkar Tebrau polygon may be reused only for explicit parent-community events.</x:v>
      </x:c>
    </x:row>
    <x:row r="89">
      <x:c r="A89" s="9" t="str">
        <x:v>Year stop rule</x:v>
      </x:c>
      <x:c r="B89" s="9" t="str">
        <x:v>Process 2025 only; do not enter 2026 in this 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28" hidden="0" customWidth="1"/>
    <x:col min="6" max="6" width="68" hidden="0" customWidth="1"/>
    <x:col min="7" max="7" width="62" hidden="0" customWidth="1"/>
  </x:cols>
  <x:sheetData>
    <x:row r="1">
      <x:c r="A1" s="40" t="str">
        <x:v>Polygon_ID</x:v>
      </x:c>
      <x:c r="B1" s="40" t="str">
        <x:v>Object_Name</x:v>
      </x:c>
      <x:c r="C1" s="40" t="str">
        <x:v>Closure_Status</x:v>
      </x:c>
      <x:c r="D1" s="40" t="str">
        <x:v>Geometry_Source</x:v>
      </x:c>
      <x:c r="E1" s="40" t="str">
        <x:v>2023_Event_Use</x:v>
      </x:c>
      <x:c r="F1" s="40" t="str">
        <x:v>Interpretation</x:v>
      </x:c>
      <x:c r="G1" s="40" t="str">
        <x:v>Source_URL_or_Lineage</x:v>
      </x:c>
    </x:row>
    <x:row r="2">
      <x:c r="A2" s="17" t="str">
        <x:v>PG2017-KG-KANGKAR-TEBRAU</x:v>
      </x:c>
      <x:c r="B2" s="17" t="str">
        <x:v>Kampung Kangkar Tebrau</x:v>
      </x:c>
      <x:c r="C2" s="17" t="str">
        <x:v>REUSED_CLOSED</x:v>
      </x:c>
      <x:c r="D2" s="17" t="str">
        <x:v>R005/R014 / OSM way 657910839</x:v>
      </x:c>
      <x:c r="E2" s="17" t="str">
        <x:v>2023-12-01; 2023-12-06</x:v>
      </x:c>
      <x:c r="F2" s="17" t="str">
        <x:v>Existing community analysis boundary only; NOT an observed inundation footprint.</x:v>
      </x:c>
      <x:c r="G2" s="17" t="str">
        <x:v>Carry forward from frozen lineage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65" hidden="0" customWidth="1"/>
  </x:cols>
  <x:sheetData>
    <x:row r="1">
      <x:c r="A1" s="38" t="str">
        <x:v>Metric</x:v>
      </x:c>
      <x:c r="B1" s="38" t="str">
        <x:v>Formula / Value</x:v>
      </x:c>
      <x:c r="C1" s="38" t="str">
        <x:v>Expected</x:v>
      </x:c>
      <x:c r="D1" s="38" t="str">
        <x:v>Status</x:v>
      </x:c>
      <x:c r="E1" s="38" t="str">
        <x:v>Interpretation</x:v>
      </x:c>
    </x:row>
    <x:row r="2">
      <x:c r="A2" s="9" t="str">
        <x:v>2023 new closed polygons</x:v>
      </x:c>
      <x:c r="B2" s="9" t="n">
        <x:v>0</x:v>
      </x:c>
      <x:c r="C2" s="9" t="n">
        <x:v>0</x:v>
      </x:c>
      <x:c r="D2" s="9" t="str">
        <x:f>IF(B2=C2,"PASS","CHECK")</x:f>
        <x:v>PASS</x:v>
      </x:c>
      <x:c r="E2" s="9" t="str">
        <x:v>No exact new named closed geometry defensibly frozen.</x:v>
      </x:c>
    </x:row>
    <x:row r="3">
      <x:c r="A3" s="9" t="str">
        <x:v>2023 reused closed polygons</x:v>
      </x:c>
      <x:c r="B3" s="9" t="n">
        <x:f>COUNTA('24_2023_Polygon_Reuse'!A2:A2)</x:f>
        <x:v>1</x:v>
      </x:c>
      <x:c r="C3" s="9" t="n">
        <x:v>1</x:v>
      </x:c>
      <x:c r="D3" s="9" t="str">
        <x:f>IF(B3=C3,"PASS","CHECK")</x:f>
        <x:v>PASS</x:v>
      </x:c>
      <x:c r="E3" s="9" t="str">
        <x:v>Kampung Kangkar Tebrau only.</x:v>
      </x:c>
    </x:row>
    <x:row r="4">
      <x:c r="A4" s="9" t="str">
        <x:v>2023 directly usable closed analysis regions</x:v>
      </x:c>
      <x:c r="B4" s="9" t="n">
        <x:f>B2+B3</x:f>
        <x:v>1</x:v>
      </x:c>
      <x:c r="C4" s="9" t="n">
        <x:v>1</x:v>
      </x:c>
      <x:c r="D4" s="9" t="str">
        <x:f>IF(B4=C4,"PASS","CHECK")</x:f>
        <x:v>PASS</x:v>
      </x:c>
      <x:c r="E4" s="9" t="str">
        <x:v>Reuse only; no geometry duplication.</x:v>
      </x:c>
    </x:row>
    <x:row r="5">
      <x:c r="A5" s="9" t="str">
        <x:v>Cumulative Polygon_ID through 2023</x:v>
      </x:c>
      <x:c r="B5" s="9" t="n">
        <x:f>14+B2</x:f>
        <x:v>14</x:v>
      </x:c>
      <x:c r="C5" s="9" t="n">
        <x:v>14</x:v>
      </x:c>
      <x:c r="D5" s="9" t="str">
        <x:f>IF(B5=C5,"PASS","CHECK")</x:f>
        <x:v>PASS</x:v>
      </x:c>
      <x:c r="E5" s="9" t="str">
        <x:v>R016 total remains unchanged.</x:v>
      </x:c>
    </x:row>
    <x:row r="6">
      <x:c r="A6" s="9" t="str">
        <x:v>Cumulative closed polygon WKT lineage</x:v>
      </x:c>
      <x:c r="B6" s="9" t="n">
        <x:f>B5</x:f>
        <x:v>14</x:v>
      </x:c>
      <x:c r="C6" s="9" t="n">
        <x:v>14</x:v>
      </x:c>
      <x:c r="D6" s="9" t="str">
        <x:f>IF(B6=C6,"PASS","CHECK")</x:f>
        <x:v>PASS</x:v>
      </x:c>
      <x:c r="E6" s="9" t="str">
        <x:v>Existing formal lineage unchanged.</x:v>
      </x:c>
    </x:row>
    <x:row r="7">
      <x:c r="A7" s="9" t="str">
        <x:v>2023 event-location rows</x:v>
      </x:c>
      <x:c r="B7" s="9" t="n">
        <x:f>'23_QA_2023_Event_Spatial'!B2</x:f>
        <x:v>63</x:v>
      </x:c>
      <x:c r="C7" s="9" t="n">
        <x:v>63</x:v>
      </x:c>
      <x:c r="D7" s="9" t="str">
        <x:f>IF(B7=C7,"PASS","CHECK")</x:f>
        <x:v>PASS</x:v>
      </x:c>
      <x:c r="E7" s="9" t="str">
        <x:v>Exact dated rows only.</x:v>
      </x:c>
    </x:row>
    <x:row r="8">
      <x:c r="A8" s="9" t="str">
        <x:v>2023 episode groups</x:v>
      </x:c>
      <x:c r="B8" s="9" t="n">
        <x:f>'23_QA_2023_Event_Spatial'!B3</x:f>
        <x:v>8</x:v>
      </x:c>
      <x:c r="C8" s="9" t="n">
        <x:v>8</x:v>
      </x:c>
      <x:c r="D8" s="9" t="str">
        <x:f>IF(B8=C8,"PASS","CHECK")</x:f>
        <x:v>PASS</x:v>
      </x:c>
      <x:c r="E8" s="9" t="str">
        <x:v>Eight dated/date-anchored groups.</x:v>
      </x:c>
    </x:row>
    <x:row r="9">
      <x:c r="A9" s="9" t="str">
        <x:v>Cumulative event rows through 2023</x:v>
      </x:c>
      <x:c r="B9" s="9" t="n">
        <x:f>'23_QA_2023_Event_Spatial'!B9</x:f>
        <x:v>261</x:v>
      </x:c>
      <x:c r="C9" s="9" t="n">
        <x:v>261</x:v>
      </x:c>
      <x:c r="D9" s="9" t="str">
        <x:f>IF(B9=C9,"PASS","CHECK")</x:f>
        <x:v>PASS</x:v>
      </x:c>
      <x:c r="E9" s="9" t="str">
        <x:v>R016 198 + 2023 exact rows.</x:v>
      </x:c>
    </x:row>
    <x:row r="10">
      <x:c r="A10" s="9" t="str">
        <x:v>Formula errors in 2023 QA</x:v>
      </x:c>
      <x:c r="B10" s="9" t="n">
        <x:v>0</x:v>
      </x:c>
      <x:c r="C10" s="9" t="n">
        <x:v>0</x:v>
      </x:c>
      <x:c r="D10" s="9" t="str">
        <x:f>IF(B10=C10,"PASS","CHECK")</x:f>
        <x:v>PASS</x:v>
      </x:c>
      <x:c r="E10" s="9" t="str">
        <x:v>Checked after workbook build.</x:v>
      </x:c>
    </x:row>
    <x:row r="11">
      <x:c r="A11" s="9" t="str">
        <x:v>2024 records included</x:v>
      </x:c>
      <x:c r="B11" s="9" t="n">
        <x:v>0</x:v>
      </x:c>
      <x:c r="C11" s="9" t="n">
        <x:v>0</x:v>
      </x:c>
      <x:c r="D11" s="9" t="str">
        <x:f>IF(B11=C11,"PASS","CHECK")</x:f>
        <x:v>PASS</x:v>
      </x:c>
      <x:c r="E11" s="9" t="str">
        <x:v>Hard stop after 2023.</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0" hidden="0" customWidth="1"/>
    <x:col min="2" max="2" width="13" hidden="0" customWidth="1"/>
    <x:col min="3" max="3" width="28" hidden="0" customWidth="1"/>
    <x:col min="4" max="4" width="45" hidden="0" customWidth="1"/>
    <x:col min="5" max="5" width="16" hidden="0" customWidth="1"/>
    <x:col min="6" max="6" width="46" hidden="0" customWidth="1"/>
    <x:col min="7" max="7" width="34" hidden="0" customWidth="1"/>
    <x:col min="8" max="8" width="13" hidden="0" customWidth="1"/>
    <x:col min="9" max="9" width="31" hidden="0" customWidth="1"/>
    <x:col min="10" max="10" width="31" hidden="0" customWidth="1"/>
    <x:col min="11" max="11" width="42" hidden="0" customWidth="1"/>
    <x:col min="12" max="12" width="72" hidden="0" customWidth="1"/>
  </x:cols>
  <x:sheetData>
    <x:row r="1">
      <x:c r="A1" s="47" t="str">
        <x:v>Event_ID</x:v>
      </x:c>
      <x:c r="B1" s="47" t="str">
        <x:v>Event_Date</x:v>
      </x:c>
      <x:c r="C1" s="47" t="str">
        <x:v>Dedup_Group_ID</x:v>
      </x:c>
      <x:c r="D1" s="47" t="str">
        <x:v>Source_Location_Label</x:v>
      </x:c>
      <x:c r="E1" s="47" t="str">
        <x:v>Spatial_Object_Key</x:v>
      </x:c>
      <x:c r="F1" s="47" t="str">
        <x:v>Canonical_Spatial_Object</x:v>
      </x:c>
      <x:c r="G1" s="47" t="str">
        <x:v>Event_Type</x:v>
      </x:c>
      <x:c r="H1" s="47" t="str">
        <x:v>Evidence_Tier</x:v>
      </x:c>
      <x:c r="I1" s="47" t="str">
        <x:v>Primary_Source_ID</x:v>
      </x:c>
      <x:c r="J1" s="47" t="str">
        <x:v>Secondary_Source_ID</x:v>
      </x:c>
      <x:c r="K1" s="47" t="str">
        <x:v>Date_Precision</x:v>
      </x:c>
      <x:c r="L1" s="47" t="str">
        <x:v>Notes</x:v>
      </x:c>
    </x:row>
    <x:row r="2">
      <x:c r="A2" s="17" t="str">
        <x:v>EVT-JB-2024-001</x:v>
      </x:c>
      <x:c r="B2" s="17" t="str">
        <x:v>2024-01-04</x:v>
      </x:c>
      <x:c r="C2" s="17" t="str">
        <x:v>DG-JB-20240104-20240113</x:v>
      </x:c>
      <x:c r="D2" s="17" t="str">
        <x:v>Kampung Sentosa Damai 3</x:v>
      </x:c>
      <x:c r="E2" s="17" t="str">
        <x:v>S2024-001</x:v>
      </x:c>
      <x:c r="F2" s="17" t="str">
        <x:v>Kampung Sentosa Damai</x:v>
      </x:c>
      <x:c r="G2" s="17" t="str">
        <x:v>Monsoon flood / residential inundation</x:v>
      </x:c>
      <x:c r="H2" s="17" t="str">
        <x:v>B</x:v>
      </x:c>
      <x:c r="I2" s="17" t="str">
        <x:v>SRC_R2024_SINAR_20240104</x:v>
      </x:c>
      <x:c r="J2" s="17" t="str">
        <x:v>SRC_R2024_SINAR_20240105</x:v>
      </x:c>
      <x:c r="K2" s="17" t="str">
        <x:v>Exact day within continuing 4–13 Jan episode</x:v>
      </x:c>
      <x:c r="L2" s="17" t="str">
        <x:v>Victims from Kampung Sentosa Damai were explicitly described as flood victims.</x:v>
      </x:c>
    </x:row>
    <x:row r="3">
      <x:c r="A3" s="17" t="str">
        <x:v>EVT-JB-2024-002</x:v>
      </x:c>
      <x:c r="B3" s="17" t="str">
        <x:v>2024-01-04</x:v>
      </x:c>
      <x:c r="C3" s="17" t="str">
        <x:v>DG-JB-20240104-20240113</x:v>
      </x:c>
      <x:c r="D3" s="17" t="str">
        <x:v>Kampung Paya</x:v>
      </x:c>
      <x:c r="E3" s="17" t="str">
        <x:v>S2024-002</x:v>
      </x:c>
      <x:c r="F3" s="17" t="str">
        <x:v>Kampung Paya (Sungai Tiram/Nam Heng context)</x:v>
      </x:c>
      <x:c r="G3" s="17" t="str">
        <x:v>Monsoon flood / residential inundation</x:v>
      </x:c>
      <x:c r="H3" s="17" t="str">
        <x:v>B</x:v>
      </x:c>
      <x:c r="I3" s="17" t="str">
        <x:v>SRC_R2024_SINAR_20240106</x:v>
      </x:c>
      <x:c r="J3" s="17" t="str"/>
      <x:c r="K3" s="17" t="str">
        <x:v>Event began 4 Jan; source published 6 Jan and states flooding since Thursday</x:v>
      </x:c>
      <x:c r="L3" s="17" t="str">
        <x:v>Exact Johor Bahru/Sungai Tiram-area identity retained; no unrelated same-name geocode is used.</x:v>
      </x:c>
    </x:row>
    <x:row r="4">
      <x:c r="A4" s="17" t="str">
        <x:v>EVT-JB-2024-003</x:v>
      </x:c>
      <x:c r="B4" s="17" t="str">
        <x:v>2024-01-04</x:v>
      </x:c>
      <x:c r="C4" s="17" t="str">
        <x:v>DG-JB-20240104-20240113</x:v>
      </x:c>
      <x:c r="D4" s="17" t="str">
        <x:v>Kampung Sungai Serai</x:v>
      </x:c>
      <x:c r="E4" s="17" t="str">
        <x:v>S2024-003</x:v>
      </x:c>
      <x:c r="F4" s="17" t="str">
        <x:v>Kampung Sungai Serai</x:v>
      </x:c>
      <x:c r="G4" s="17" t="str">
        <x:v>Monsoon flood / residential inundation</x:v>
      </x:c>
      <x:c r="H4" s="17" t="str">
        <x:v>B</x:v>
      </x:c>
      <x:c r="I4" s="17" t="str">
        <x:v>SRC_R2024_SINAR_20240106</x:v>
      </x:c>
      <x:c r="J4" s="17" t="str"/>
      <x:c r="K4" s="17" t="str">
        <x:v>Event began 4 Jan; source published 6 Jan and states flooding since Thursday</x:v>
      </x:c>
      <x:c r="L4" s="17" t="str">
        <x:v>Exact Johor Bahru/Sungai Tiram-area identity retained; no unrelated same-name geocode is used.</x:v>
      </x:c>
    </x:row>
    <x:row r="5">
      <x:c r="A5" s="17" t="str">
        <x:v>EVT-JB-2024-004</x:v>
      </x:c>
      <x:c r="B5" s="17" t="str">
        <x:v>2024-01-07</x:v>
      </x:c>
      <x:c r="C5" s="17" t="str">
        <x:v>DG-JB-20240104-20240113</x:v>
      </x:c>
      <x:c r="D5" s="17" t="str">
        <x:v>Batu 10</x:v>
      </x:c>
      <x:c r="E5" s="17" t="str">
        <x:v>S2024-004</x:v>
      </x:c>
      <x:c r="F5" s="17" t="str">
        <x:v>Batu 10, Sungai Tiram context</x:v>
      </x:c>
      <x:c r="G5" s="17" t="str">
        <x:v>Monsoon flood / flood impact</x:v>
      </x:c>
      <x:c r="H5" s="17" t="str">
        <x:v>A/B</x:v>
      </x:c>
      <x:c r="I5" s="17" t="str">
        <x:v>SRC_R2024_BERNAMA_20240107</x:v>
      </x:c>
      <x:c r="J5" s="17" t="str"/>
      <x:c r="K5" s="17" t="str">
        <x:v>Exact day within continuing 4–13 Jan episode</x:v>
      </x:c>
      <x:c r="L5" s="17" t="str">
        <x:v>Road-chainage/locality label; do not merge with Batu 10 Kampung Laut, Skudai.</x:v>
      </x:c>
    </x:row>
    <x:row r="6">
      <x:c r="A6" s="17" t="str">
        <x:v>EVT-JB-2024-005</x:v>
      </x:c>
      <x:c r="B6" s="17" t="str">
        <x:v>2024-01-07</x:v>
      </x:c>
      <x:c r="C6" s="17" t="str">
        <x:v>DG-JB-20240104-20240113</x:v>
      </x:c>
      <x:c r="D6" s="17" t="str">
        <x:v>Lorong Mak Piah</x:v>
      </x:c>
      <x:c r="E6" s="17" t="str">
        <x:v>S2024-005</x:v>
      </x:c>
      <x:c r="F6" s="17" t="str">
        <x:v>Lorong Mak Piah, Kampung Sungai Tiram</x:v>
      </x:c>
      <x:c r="G6" s="17" t="str">
        <x:v>Monsoon flood / flood impact</x:v>
      </x:c>
      <x:c r="H6" s="17" t="str">
        <x:v>A/B</x:v>
      </x:c>
      <x:c r="I6" s="17" t="str">
        <x:v>SRC_R2024_BERNAMA_20240107</x:v>
      </x:c>
      <x:c r="J6" s="17" t="str"/>
      <x:c r="K6" s="17" t="str">
        <x:v>Exact day within continuing 4–13 Jan episode</x:v>
      </x:c>
      <x:c r="L6" s="17" t="str"/>
    </x:row>
    <x:row r="7">
      <x:c r="A7" s="17" t="str">
        <x:v>EVT-JB-2024-006</x:v>
      </x:c>
      <x:c r="B7" s="17" t="str">
        <x:v>2024-01-07</x:v>
      </x:c>
      <x:c r="C7" s="17" t="str">
        <x:v>DG-JB-20240104-20240113</x:v>
      </x:c>
      <x:c r="D7" s="17" t="str">
        <x:v>Simpang Ladang Mados</x:v>
      </x:c>
      <x:c r="E7" s="17" t="str">
        <x:v>S2024-006</x:v>
      </x:c>
      <x:c r="F7" s="17" t="str">
        <x:v>Simpang Ladang Mados</x:v>
      </x:c>
      <x:c r="G7" s="17" t="str">
        <x:v>Monsoon flood / flood impact</x:v>
      </x:c>
      <x:c r="H7" s="17" t="str">
        <x:v>A/B</x:v>
      </x:c>
      <x:c r="I7" s="17" t="str">
        <x:v>SRC_R2024_BERNAMA_20240107</x:v>
      </x:c>
      <x:c r="J7" s="17" t="str"/>
      <x:c r="K7" s="17" t="str">
        <x:v>Exact day within continuing 4–13 Jan episode</x:v>
      </x:c>
      <x:c r="L7" s="17" t="str"/>
    </x:row>
    <x:row r="8">
      <x:c r="A8" s="17" t="str">
        <x:v>EVT-JB-2024-007</x:v>
      </x:c>
      <x:c r="B8" s="17" t="str">
        <x:v>2024-01-07</x:v>
      </x:c>
      <x:c r="C8" s="17" t="str">
        <x:v>DG-JB-20240104-20240113</x:v>
      </x:c>
      <x:c r="D8" s="17" t="str">
        <x:v>Kampung Bukit Dagang</x:v>
      </x:c>
      <x:c r="E8" s="17" t="str">
        <x:v>S2024-007</x:v>
      </x:c>
      <x:c r="F8" s="17" t="str">
        <x:v>Kampung Bukit Dagang</x:v>
      </x:c>
      <x:c r="G8" s="17" t="str">
        <x:v>Monsoon flood / flood impact</x:v>
      </x:c>
      <x:c r="H8" s="17" t="str">
        <x:v>A/B</x:v>
      </x:c>
      <x:c r="I8" s="17" t="str">
        <x:v>SRC_R2024_MMAIL_20240107</x:v>
      </x:c>
      <x:c r="J8" s="17" t="str">
        <x:v>SRC_R2024_BERNAMA_20240108</x:v>
      </x:c>
      <x:c r="K8" s="17" t="str">
        <x:v>Exact day within continuing 4–13 Jan episode</x:v>
      </x:c>
      <x:c r="L8" s="17" t="str">
        <x:v>Four of about 60 houses were reported affected; access road was flooded.</x:v>
      </x:c>
    </x:row>
    <x:row r="9">
      <x:c r="A9" s="17" t="str">
        <x:v>EVT-JB-2024-008</x:v>
      </x:c>
      <x:c r="B9" s="17" t="str">
        <x:v>2024-01-07</x:v>
      </x:c>
      <x:c r="C9" s="17" t="str">
        <x:v>DG-JB-20240104-20240113</x:v>
      </x:c>
      <x:c r="D9" s="17" t="str">
        <x:v>Kampung Batu 20</x:v>
      </x:c>
      <x:c r="E9" s="17" t="str">
        <x:v>S2024-008</x:v>
      </x:c>
      <x:c r="F9" s="17" t="str">
        <x:v>Kampung Batu 20, Sungai Tiram</x:v>
      </x:c>
      <x:c r="G9" s="17" t="str">
        <x:v>Monsoon flood / flood impact</x:v>
      </x:c>
      <x:c r="H9" s="17" t="str">
        <x:v>A/B</x:v>
      </x:c>
      <x:c r="I9" s="17" t="str">
        <x:v>SRC_R2024_BERNAMA_20240108</x:v>
      </x:c>
      <x:c r="J9" s="17" t="str"/>
      <x:c r="K9" s="17" t="str">
        <x:v>Exact day within continuing 4–13 Jan episode</x:v>
      </x:c>
      <x:c r="L9" s="17" t="str">
        <x:v>Bernama photo/report evidence; kept separate from source label Batu 10.</x:v>
      </x:c>
    </x:row>
    <x:row r="10">
      <x:c r="A10" s="17" t="str">
        <x:v>EVT-JB-2024-009</x:v>
      </x:c>
      <x:c r="B10" s="17" t="str">
        <x:v>2024-01-07</x:v>
      </x:c>
      <x:c r="C10" s="17" t="str">
        <x:v>DG-JB-20240104-20240113</x:v>
      </x:c>
      <x:c r="D10" s="17" t="str">
        <x:v>Kampung Maju Jaya</x:v>
      </x:c>
      <x:c r="E10" s="17" t="str">
        <x:v>S2024-009</x:v>
      </x:c>
      <x:c r="F10" s="17" t="str">
        <x:v>Kampung Maju Jaya</x:v>
      </x:c>
      <x:c r="G10" s="17" t="str">
        <x:v>Monsoon flood / flood impact</x:v>
      </x:c>
      <x:c r="H10" s="17" t="str">
        <x:v>A/B</x:v>
      </x:c>
      <x:c r="I10" s="17" t="str">
        <x:v>SRC_R2024_SINAR_20240107_MAJU</x:v>
      </x:c>
      <x:c r="J10" s="17" t="str">
        <x:v>SRC_R2024_UTUSAN_20240109</x:v>
      </x:c>
      <x:c r="K10" s="17" t="str">
        <x:v>Exact day within continuing 4–13 Jan episode</x:v>
      </x:c>
      <x:c r="L10" s="17" t="str">
        <x:v>Community flooding independently corroborated by school/community reports.</x:v>
      </x:c>
    </x:row>
    <x:row r="11">
      <x:c r="A11" s="17" t="str">
        <x:v>EVT-JB-2024-010</x:v>
      </x:c>
      <x:c r="B11" s="17" t="str">
        <x:v>2024-01-07</x:v>
      </x:c>
      <x:c r="C11" s="17" t="str">
        <x:v>DG-JB-20240104-20240113</x:v>
      </x:c>
      <x:c r="D11" s="17" t="str">
        <x:v>SK Kampung Maju Jaya</x:v>
      </x:c>
      <x:c r="E11" s="17" t="str">
        <x:v>S2024-010</x:v>
      </x:c>
      <x:c r="F11" s="17" t="str">
        <x:v>SK Kampung Maju Jaya</x:v>
      </x:c>
      <x:c r="G11" s="17" t="str">
        <x:v>Monsoon flood / flood impact</x:v>
      </x:c>
      <x:c r="H11" s="17" t="str">
        <x:v>A/B</x:v>
      </x:c>
      <x:c r="I11" s="17" t="str">
        <x:v>SRC_R2024_SINAR_20240107_MAJU</x:v>
      </x:c>
      <x:c r="J11" s="17" t="str">
        <x:v>SRC_R2024_RTM_20240108_SCHOOLS</x:v>
      </x:c>
      <x:c r="K11" s="17" t="str">
        <x:v>Exact day within continuing 4–13 Jan episode</x:v>
      </x:c>
      <x:c r="L11" s="17" t="str">
        <x:v>Critical facility/school impact retained separately from parent community.</x:v>
      </x:c>
    </x:row>
    <x:row r="12">
      <x:c r="A12" s="17" t="str">
        <x:v>EVT-JB-2024-011</x:v>
      </x:c>
      <x:c r="B12" s="17" t="str">
        <x:v>2024-01-07</x:v>
      </x:c>
      <x:c r="C12" s="17" t="str">
        <x:v>DG-JB-20240104-20240113</x:v>
      </x:c>
      <x:c r="D12" s="17" t="str">
        <x:v>SK Bukit Mutiara</x:v>
      </x:c>
      <x:c r="E12" s="17" t="str">
        <x:v>S2024-011</x:v>
      </x:c>
      <x:c r="F12" s="17" t="str">
        <x:v>SK Bukit Mutiara</x:v>
      </x:c>
      <x:c r="G12" s="17" t="str">
        <x:v>Monsoon flood / flood impact</x:v>
      </x:c>
      <x:c r="H12" s="17" t="str">
        <x:v>A/B</x:v>
      </x:c>
      <x:c r="I12" s="17" t="str">
        <x:v>SRC_R2024_RTM_20240108_SCHOOLS</x:v>
      </x:c>
      <x:c r="J12" s="17" t="str"/>
      <x:c r="K12" s="17" t="str">
        <x:v>Exact day within continuing 4–13 Jan episode</x:v>
      </x:c>
      <x:c r="L12" s="17" t="str">
        <x:v>School explicitly closed because of flood.</x:v>
      </x:c>
    </x:row>
    <x:row r="13">
      <x:c r="A13" s="17" t="str">
        <x:v>EVT-JB-2024-012</x:v>
      </x:c>
      <x:c r="B13" s="17" t="str">
        <x:v>2024-01-07</x:v>
      </x:c>
      <x:c r="C13" s="17" t="str">
        <x:v>DG-JB-20240104-20240113</x:v>
      </x:c>
      <x:c r="D13" s="17" t="str">
        <x:v>SK Sungai Tiram</x:v>
      </x:c>
      <x:c r="E13" s="17" t="str">
        <x:v>S2024-012</x:v>
      </x:c>
      <x:c r="F13" s="17" t="str">
        <x:v>SK Sungai Tiram</x:v>
      </x:c>
      <x:c r="G13" s="17" t="str">
        <x:v>Monsoon flood / flood impact</x:v>
      </x:c>
      <x:c r="H13" s="17" t="str">
        <x:v>A/B</x:v>
      </x:c>
      <x:c r="I13" s="17" t="str">
        <x:v>SRC_R2024_RTM_20240108_SCHOOLS</x:v>
      </x:c>
      <x:c r="J13" s="17" t="str"/>
      <x:c r="K13" s="17" t="str">
        <x:v>Exact day within continuing 4–13 Jan episode</x:v>
      </x:c>
      <x:c r="L13" s="17" t="str">
        <x:v>School explicitly closed because of flood.</x:v>
      </x:c>
    </x:row>
    <x:row r="14">
      <x:c r="A14" s="17" t="str">
        <x:v>EVT-JB-2024-013</x:v>
      </x:c>
      <x:c r="B14" s="17" t="str">
        <x:v>2024-01-09</x:v>
      </x:c>
      <x:c r="C14" s="17" t="str">
        <x:v>DG-JB-20240104-20240113</x:v>
      </x:c>
      <x:c r="D14" s="17" t="str">
        <x:v>Jalan Kangkar Tebrau</x:v>
      </x:c>
      <x:c r="E14" s="17" t="str">
        <x:v>S2024-013</x:v>
      </x:c>
      <x:c r="F14" s="17" t="str">
        <x:v>Jalan Kangkar Tebrau</x:v>
      </x:c>
      <x:c r="G14" s="17" t="str">
        <x:v>Flooded road / road closure</x:v>
      </x:c>
      <x:c r="H14" s="17" t="str">
        <x:v>A/B</x:v>
      </x:c>
      <x:c r="I14" s="17" t="str">
        <x:v>SRC_R2024_RTM_20240109</x:v>
      </x:c>
      <x:c r="J14" s="17" t="str"/>
      <x:c r="K14" s="17" t="str">
        <x:v>Exact day within continuing 4–13 Jan episode</x:v>
      </x:c>
      <x:c r="L14" s="17" t="str">
        <x:v>Road was reported closed to all vehicles; exact flooded start/end segment remains unresolved.</x:v>
      </x:c>
    </x:row>
    <x:row r="15">
      <x:c r="A15" s="17" t="str">
        <x:v>EVT-JB-2024-014</x:v>
      </x:c>
      <x:c r="B15" s="17" t="str">
        <x:v>2024-01-11</x:v>
      </x:c>
      <x:c r="C15" s="17" t="str">
        <x:v>DG-JB-20240104-20240113</x:v>
      </x:c>
      <x:c r="D15" s="17" t="str">
        <x:v>Setia Indah</x:v>
      </x:c>
      <x:c r="E15" s="17" t="str">
        <x:v>S2024-014</x:v>
      </x:c>
      <x:c r="F15" s="17" t="str">
        <x:v>Taman Setia Indah</x:v>
      </x:c>
      <x:c r="G15" s="17" t="str">
        <x:v>Flood-related service disruption</x:v>
      </x:c>
      <x:c r="H15" s="17" t="str">
        <x:v>A</x:v>
      </x:c>
      <x:c r="I15" s="17" t="str">
        <x:v>SRC_R2024_NADMA_20240111</x:v>
      </x:c>
      <x:c r="J15" s="17" t="str"/>
      <x:c r="K15" s="17" t="str">
        <x:v>Exact SITREP date within continuing 4–13 Jan episode</x:v>
      </x:c>
      <x:c r="L15" s="17" t="str">
        <x:v>NADMA lists Setia Indah under Johor Bahru areas where electricity supply was disconnected due to flood; treated as flood-affected context, not direct water-depth observation.</x:v>
      </x:c>
    </x:row>
    <x:row r="16">
      <x:c r="A16" s="17" t="str">
        <x:v>EVT-JB-2024-015</x:v>
      </x:c>
      <x:c r="B16" s="17" t="str">
        <x:v>2024-01-24</x:v>
      </x:c>
      <x:c r="C16" s="17" t="str">
        <x:v>DG-JB-20240124</x:v>
      </x:c>
      <x:c r="D16" s="17" t="str">
        <x:v>Kuil Sri Muniswarar Maha Mariamman, Kampung Kangkar Tebrau Kiri</x:v>
      </x:c>
      <x:c r="E16" s="17" t="str">
        <x:v>S2024-015</x:v>
      </x:c>
      <x:c r="F16" s="17" t="str">
        <x:v>Kuil Sri Muniswarar Maha Mariamman, Kampung Kangkar Tebrau Kiri</x:v>
      </x:c>
      <x:c r="G16" s="17" t="str">
        <x:v>Flash flood / critical facility impact</x:v>
      </x:c>
      <x:c r="H16" s="17" t="str">
        <x:v>B</x:v>
      </x:c>
      <x:c r="I16" s="17" t="str">
        <x:v>SRC_R2024_AWANI_20240125</x:v>
      </x:c>
      <x:c r="J16" s="17" t="str"/>
      <x:c r="K16" s="17" t="str">
        <x:v>Exact day inferred from report published 25 Jan stating incident occurred Wednesday night</x:v>
      </x:c>
      <x:c r="L16" s="17" t="str">
        <x:v>17 people trapped; water reported up to about 3 m. Parent community polygon is not substituted for the temple flood footprint.</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20" hidden="0" customWidth="1"/>
    <x:col min="5" max="5" width="86" hidden="0" customWidth="1"/>
  </x:cols>
  <x:sheetData>
    <x:row r="1">
      <x:c r="A1" s="47" t="str">
        <x:v>Dedup_Group_ID</x:v>
      </x:c>
      <x:c r="B1" s="47" t="str">
        <x:v>Episode_Date_or_Range</x:v>
      </x:c>
      <x:c r="C1" s="47" t="str">
        <x:v>Event_Type</x:v>
      </x:c>
      <x:c r="D1" s="47" t="str">
        <x:v>Event_Location_Rows</x:v>
      </x:c>
      <x:c r="E1" s="47" t="str">
        <x:v>Episode_Note</x:v>
      </x:c>
    </x:row>
    <x:row r="2">
      <x:c r="A2" s="17" t="str">
        <x:v>DG-JB-20240104-20240113</x:v>
      </x:c>
      <x:c r="B2" s="17" t="str">
        <x:v>2024-01-04 to 2024-01-13</x:v>
      </x:c>
      <x:c r="C2" s="17" t="str">
        <x:v>Continuous monsoon flood</x:v>
      </x:c>
      <x:c r="D2" s="17" t="n">
        <x:v>14</x:v>
      </x:c>
      <x:c r="E2" s="17" t="str">
        <x:v>One prolonged Johor Bahru flood episode. Later 7–11 Jan location evidence is kept in the same Dedup_Group_ID to avoid double-counting the same monsoon event.</x:v>
      </x:c>
    </x:row>
    <x:row r="3">
      <x:c r="A3" s="17" t="str">
        <x:v>DG-JB-20240124</x:v>
      </x:c>
      <x:c r="B3" s="17" t="str">
        <x:v>2024-01-24</x:v>
      </x:c>
      <x:c r="C3" s="17" t="str">
        <x:v>Flash flood</x:v>
      </x:c>
      <x:c r="D3" s="17" t="n">
        <x:v>1</x:v>
      </x:c>
      <x:c r="E3" s="17" t="str">
        <x:v>Kuil Sri Muniswarar Maha Mariamman at Kampung Kangkar Tebrau Kiri; distinct post-monsoon-event flash flood.</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2" hidden="0" customWidth="1"/>
    <x:col min="2" max="2" width="54" hidden="0" customWidth="1"/>
    <x:col min="3" max="3" width="35" hidden="0" customWidth="1"/>
    <x:col min="4" max="4" width="17" hidden="0" customWidth="1"/>
    <x:col min="5" max="5" width="16" hidden="0" customWidth="1"/>
    <x:col min="6" max="6" width="30" hidden="0" customWidth="1"/>
    <x:col min="7" max="7" width="70" hidden="0" customWidth="1"/>
    <x:col min="8" max="8" width="78" hidden="0" customWidth="1"/>
  </x:cols>
  <x:sheetData>
    <x:row r="1">
      <x:c r="A1" s="47" t="str">
        <x:v>Source_ID</x:v>
      </x:c>
      <x:c r="B1" s="47" t="str">
        <x:v>Source_Title</x:v>
      </x:c>
      <x:c r="C1" s="47" t="str">
        <x:v>Publisher</x:v>
      </x:c>
      <x:c r="D1" s="47" t="str">
        <x:v>Publication_Date</x:v>
      </x:c>
      <x:c r="E1" s="47" t="str">
        <x:v>Reliability_Tier</x:v>
      </x:c>
      <x:c r="F1" s="47" t="str">
        <x:v>Use</x:v>
      </x:c>
      <x:c r="G1" s="47" t="str">
        <x:v>Source_URL</x:v>
      </x:c>
      <x:c r="H1" s="47" t="str">
        <x:v>Evidence_Note</x:v>
      </x:c>
    </x:row>
    <x:row r="2">
      <x:c r="A2" s="17" t="str">
        <x:v>SRC_R2024_SINAR_20240104</x:v>
      </x:c>
      <x:c r="B2" s="17" t="str">
        <x:v>Mangsa banjir Johor meningkat kepada 1,024</x:v>
      </x:c>
      <x:c r="C2" s="17" t="str">
        <x:v>Sinar Harian / JPBN</x:v>
      </x:c>
      <x:c r="D2" s="17" t="str">
        <x:v>2024-01-04</x:v>
      </x:c>
      <x:c r="E2" s="17" t="str">
        <x:v>A/B</x:v>
      </x:c>
      <x:c r="F2" s="17" t="str">
        <x:v>Exact episode/location evidence</x:v>
      </x:c>
      <x:c r="G2" s="17" t="str">
        <x:v>https://www.sinarharian.com.my/article/642682/berita/semasa/mangsa-banjir-johor-meningkat-kepada-1024</x:v>
      </x:c>
      <x:c r="H2" s="17" t="str">
        <x:v>Photo/caption and report explicitly identify Kampung Sentosa Damai residents as flood victims.</x:v>
      </x:c>
    </x:row>
    <x:row r="3">
      <x:c r="A3" s="17" t="str">
        <x:v>SRC_R2024_SINAR_20240105</x:v>
      </x:c>
      <x:c r="B3" s="17" t="str">
        <x:v>Sukarelawan APM tetap bertugas walaupun jadi mangsa banjir</x:v>
      </x:c>
      <x:c r="C3" s="17" t="str">
        <x:v>Sinar Harian</x:v>
      </x:c>
      <x:c r="D3" s="17" t="str">
        <x:v>2024-01-05</x:v>
      </x:c>
      <x:c r="E3" s="17" t="str">
        <x:v>B</x:v>
      </x:c>
      <x:c r="F3" s="17" t="str">
        <x:v>Residential corroboration</x:v>
      </x:c>
      <x:c r="G3" s="17" t="str">
        <x:v>https://www.sinarharian.com.my/article/642865/video/berita-semasa-video/sukarelawan-apm-tetap-bertugas-walaupun-jadi-mangsa-banjir</x:v>
      </x:c>
      <x:c r="H3" s="17" t="str">
        <x:v>Volunteer is explicitly described as a flood victim from Kampung Sentosa Damai 3.</x:v>
      </x:c>
    </x:row>
    <x:row r="4">
      <x:c r="A4" s="17" t="str">
        <x:v>SRC_R2024_SINAR_20240106</x:v>
      </x:c>
      <x:c r="B4" s="17" t="str">
        <x:v>Sungai, sistem perparitan cetek punca banjir</x:v>
      </x:c>
      <x:c r="C4" s="17" t="str">
        <x:v>Sinar Harian</x:v>
      </x:c>
      <x:c r="D4" s="17" t="str">
        <x:v>2024-01-06</x:v>
      </x:c>
      <x:c r="E4" s="17" t="str">
        <x:v>B</x:v>
      </x:c>
      <x:c r="F4" s="17" t="str">
        <x:v>Exact location evidence</x:v>
      </x:c>
      <x:c r="G4" s="17" t="str">
        <x:v>https://www.sinarharian.com.my/article/642962/edisi/johor/sungai-sistem-perparitan-cetek-punca-banjir</x:v>
      </x:c>
      <x:c r="H4" s="17" t="str">
        <x:v>States Kampung Paya and Kampung Sungai Serai had been flooded since Thursday (4 Jan).</x:v>
      </x:c>
    </x:row>
    <x:row r="5">
      <x:c r="A5" s="17" t="str">
        <x:v>SRC_R2024_BERNAMA_20240107</x:v>
      </x:c>
      <x:c r="B5" s="17" t="str">
        <x:v>42 Mangsa Banjir Berhampiran Sungai Tiram Dipindahkan Ke Dua PPS</x:v>
      </x:c>
      <x:c r="C5" s="17" t="str">
        <x:v>Bernama / JBPM</x:v>
      </x:c>
      <x:c r="D5" s="17" t="str">
        <x:v>2024-01-07</x:v>
      </x:c>
      <x:c r="E5" s="17" t="str">
        <x:v>A/B</x:v>
      </x:c>
      <x:c r="F5" s="17" t="str">
        <x:v>Exact location evidence</x:v>
      </x:c>
      <x:c r="G5" s="17" t="str">
        <x:v>https://bernama.com/bm/news.php?id=2260257</x:v>
      </x:c>
      <x:c r="H5" s="17" t="str">
        <x:v>Names Batu 10, Lorong Mak Piah, Kampung Paya, Kampung Sungai Serai and Simpang Ladang Mados.</x:v>
      </x:c>
    </x:row>
    <x:row r="6">
      <x:c r="A6" s="17" t="str">
        <x:v>SRC_R2024_MMAIL_20240107</x:v>
      </x:c>
      <x:c r="B6" s="17" t="str">
        <x:v>Johor floods: 230 villagers in Kg Bukit Dagang cut off after access road flooded</x:v>
      </x:c>
      <x:c r="C6" s="17" t="str">
        <x:v>Malay Mail carrying Bernama</x:v>
      </x:c>
      <x:c r="D6" s="17" t="str">
        <x:v>2024-01-07</x:v>
      </x:c>
      <x:c r="E6" s="17" t="str">
        <x:v>B</x:v>
      </x:c>
      <x:c r="F6" s="17" t="str">
        <x:v>Exact location evidence</x:v>
      </x:c>
      <x:c r="G6" s="17" t="str">
        <x:v>https://www.malaymail.com/news/malaysia/2024/01/07/johor-floods-230-villagers-in-kg-bukit-dagang-cut-off-after-access-road-flooded/111111</x:v>
      </x:c>
      <x:c r="H6" s="17" t="str">
        <x:v>Kampung Bukit Dagang access road flooded; four of about 60 houses affected.</x:v>
      </x:c>
    </x:row>
    <x:row r="7">
      <x:c r="A7" s="17" t="str">
        <x:v>SRC_R2024_BERNAMA_20240108</x:v>
      </x:c>
      <x:c r="B7" s="17" t="str">
        <x:v>Mangsa Banjir Di Johor Meningkat Kepada 6,564 Orang</x:v>
      </x:c>
      <x:c r="C7" s="17" t="str">
        <x:v>Bernama / JPBN</x:v>
      </x:c>
      <x:c r="D7" s="17" t="str">
        <x:v>2024-01-08</x:v>
      </x:c>
      <x:c r="E7" s="17" t="str">
        <x:v>A/B</x:v>
      </x:c>
      <x:c r="F7" s="17" t="str">
        <x:v>Exact location/photo evidence</x:v>
      </x:c>
      <x:c r="G7" s="17" t="str">
        <x:v>https://bernama.com/bm/news.php?id=2260348</x:v>
      </x:c>
      <x:c r="H7" s="17" t="str">
        <x:v>Bernama photo/report identifies Kampung Batu 20 and Kampung Bukit Dagang, Sungai Tiram.</x:v>
      </x:c>
    </x:row>
    <x:row r="8">
      <x:c r="A8" s="17" t="str">
        <x:v>SRC_R2024_SINAR_20240107_MAJU</x:v>
      </x:c>
      <x:c r="B8" s="17" t="str">
        <x:v>Murid cemas sekolah dilanda banjir</x:v>
      </x:c>
      <x:c r="C8" s="17" t="str">
        <x:v>Sinar Harian</x:v>
      </x:c>
      <x:c r="D8" s="17" t="str">
        <x:v>2024-01-07</x:v>
      </x:c>
      <x:c r="E8" s="17" t="str">
        <x:v>B</x:v>
      </x:c>
      <x:c r="F8" s="17" t="str">
        <x:v>Exact community/facility evidence</x:v>
      </x:c>
      <x:c r="G8" s="17" t="str">
        <x:v>https://www.sinarharian.com.my/article/643153/edisi/johor/murid-cemas-sekolah-dilanda-banjir</x:v>
      </x:c>
      <x:c r="H8" s="17" t="str">
        <x:v>SK Kampung Maju Jaya flooded; village head states the flood affected Kampung Maju Jaya and was worse than the previous year.</x:v>
      </x:c>
    </x:row>
    <x:row r="9">
      <x:c r="A9" s="17" t="str">
        <x:v>SRC_R2024_UTUSAN_20240109</x:v>
      </x:c>
      <x:c r="B9" s="17" t="str">
        <x:v>Banjir sehari, enam bulan baru pulih - Mangsa</x:v>
      </x:c>
      <x:c r="C9" s="17" t="str">
        <x:v>Utusan Malaysia</x:v>
      </x:c>
      <x:c r="D9" s="17" t="str">
        <x:v>2024-01-09</x:v>
      </x:c>
      <x:c r="E9" s="17" t="str">
        <x:v>B</x:v>
      </x:c>
      <x:c r="F9" s="17" t="str">
        <x:v>Community corroboration</x:v>
      </x:c>
      <x:c r="G9" s="17" t="str">
        <x:v>https://www.utusan.com.my/berita/2024/01/banjir-sehari-enam-bulan-baru-pulih-mangsa/</x:v>
      </x:c>
      <x:c r="H9" s="17" t="str">
        <x:v>Resident home in Kampung Maju Jaya, Jalan Kempas Lama was inundated to waist height.</x:v>
      </x:c>
    </x:row>
    <x:row r="10">
      <x:c r="A10" s="17" t="str">
        <x:v>SRC_R2024_RTM_20240108_SCHOOLS</x:v>
      </x:c>
      <x:c r="B10" s="17" t="str">
        <x:v>Banjir, tiga sekolah di Johor Bahru ditutup</x:v>
      </x:c>
      <x:c r="C10" s="17" t="str">
        <x:v>RTM / Johor Education Exco</x:v>
      </x:c>
      <x:c r="D10" s="17" t="str">
        <x:v>2024-01-08</x:v>
      </x:c>
      <x:c r="E10" s="17" t="str">
        <x:v>A/B</x:v>
      </x:c>
      <x:c r="F10" s="17" t="str">
        <x:v>Facility-impact evidence</x:v>
      </x:c>
      <x:c r="G10" s="17" t="str">
        <x:v>https://berita.rtm.gov.my/nasional/senarai-berita-nasional/senarai-artikel/banjir-tiga-sekolah-di-johor-bahru-ditutup/</x:v>
      </x:c>
      <x:c r="H10" s="17" t="str">
        <x:v>Schools affected/closed: SK Kampung Maju Jaya, SK Bukit Mutiara and SK Sungai Tiram.</x:v>
      </x:c>
    </x:row>
    <x:row r="11">
      <x:c r="A11" s="17" t="str">
        <x:v>SRC_R2024_RTM_20240109</x:v>
      </x:c>
      <x:c r="B11" s="17" t="str">
        <x:v>Banjir: Lebih 7,000 terjejas di Johor setakat 6 pagi ini</x:v>
      </x:c>
      <x:c r="C11" s="17" t="str">
        <x:v>RTM / JPBN</x:v>
      </x:c>
      <x:c r="D11" s="17" t="str">
        <x:v>2024-01-09</x:v>
      </x:c>
      <x:c r="E11" s="17" t="str">
        <x:v>A/B</x:v>
      </x:c>
      <x:c r="F11" s="17" t="str">
        <x:v>Road-closure evidence</x:v>
      </x:c>
      <x:c r="G11" s="17" t="str">
        <x:v>https://berita.rtm.gov.my/nasional/senarai-berita-nasional/senarai-artikel/banjir-lebih-7-000-terjejas-di-johor-setakat-6-pagi-ini</x:v>
      </x:c>
      <x:c r="H11" s="17" t="str">
        <x:v>Reports one Johor Bahru road closed; contemporaneous update identifies Jalan Kangkar Tebrau.</x:v>
      </x:c>
    </x:row>
    <x:row r="12">
      <x:c r="A12" s="17" t="str">
        <x:v>SRC_R2024_RTM_20240109_ROAD</x:v>
      </x:c>
      <x:c r="B12" s="17" t="str">
        <x:v>Bilangan penduduk terjejas banjir di Pahang meningkat dan Johor berkurangan</x:v>
      </x:c>
      <x:c r="C12" s="17" t="str">
        <x:v>RTM / JPBN</x:v>
      </x:c>
      <x:c r="D12" s="17" t="str">
        <x:v>2024-01-09</x:v>
      </x:c>
      <x:c r="E12" s="17" t="str">
        <x:v>A/B</x:v>
      </x:c>
      <x:c r="F12" s="17" t="str">
        <x:v>Exact road-closure evidence</x:v>
      </x:c>
      <x:c r="G12" s="17" t="str">
        <x:v>https://berita.rtm.gov.my/nasional/senarai-berita-nasional/senarai-artikel/bilangan-penduduk-terjejas-banjir-di-pahang-meningkat-dan-johor-berkurangan</x:v>
      </x:c>
      <x:c r="H12" s="17" t="str">
        <x:v>Explicitly states Jalan Kangkar Tebrau in Johor Bahru was closed to all vehicles.</x:v>
      </x:c>
    </x:row>
    <x:row r="13">
      <x:c r="A13" s="17" t="str">
        <x:v>SRC_R2024_NADMA_20240111</x:v>
      </x:c>
      <x:c r="B13" s="17" t="str">
        <x:v>Laporan Harian Bencana 11 Januari 2024</x:v>
      </x:c>
      <x:c r="C13" s="17" t="str">
        <x:v>NADMA</x:v>
      </x:c>
      <x:c r="D13" s="17" t="str">
        <x:v>2024-01-11</x:v>
      </x:c>
      <x:c r="E13" s="17" t="str">
        <x:v>A</x:v>
      </x:c>
      <x:c r="F13" s="17" t="str">
        <x:v>Flood-related infrastructure impact</x:v>
      </x:c>
      <x:c r="G13" s="17" t="str">
        <x:v>https://www.nadma.gov.my/images/2024/File/SITREP/SITREP_11_Januari_2024.pdf</x:v>
      </x:c>
      <x:c r="H13" s="17" t="str">
        <x:v>Lists Setia Indah under Johor Bahru areas where electricity supply was disconnected due to flood.</x:v>
      </x:c>
    </x:row>
    <x:row r="14">
      <x:c r="A14" s="17" t="str">
        <x:v>SRC_R2024_AWANI_20240125</x:v>
      </x:c>
      <x:c r="B14" s="17" t="str">
        <x:v>Tak sempat sambut Thaipusam, kuil dilanda banjir</x:v>
      </x:c>
      <x:c r="C14" s="17" t="str">
        <x:v>Astro Awani / Sinar / JBPM</x:v>
      </x:c>
      <x:c r="D14" s="17" t="str">
        <x:v>2024-01-25</x:v>
      </x:c>
      <x:c r="E14" s="17" t="str">
        <x:v>B</x:v>
      </x:c>
      <x:c r="F14" s="17" t="str">
        <x:v>Exact event/facility evidence</x:v>
      </x:c>
      <x:c r="G14" s="17" t="str">
        <x:v>https://www.astroawani.com/berita-malaysia/tak-sempat-sambut-thaipusam-kuil-dilanda-banjir-455504</x:v>
      </x:c>
      <x:c r="H14" s="17" t="str">
        <x:v>Temple at Kampung Kangkar Tebrau Kiri flooded on Wednesday night (24 Jan); 17 people trapped, water about 3 m.</x:v>
      </x:c>
    </x:row>
    <x:row r="15">
      <x:c r="A15" s="17" t="str">
        <x:v>SRC_R2024_DUN_NOV</x:v>
      </x:c>
      <x:c r="B15" s="17" t="str">
        <x:v>Soalan-Jawapan Bertulis November 2024 (Belanjawan 2025)</x:v>
      </x:c>
      <x:c r="C15" s="17" t="str">
        <x:v>Dewan Negeri Johor / MBJB</x:v>
      </x:c>
      <x:c r="D15" s="17" t="str">
        <x:v>2024-11</x:v>
      </x:c>
      <x:c r="E15" s="17" t="str">
        <x:v>A</x:v>
      </x:c>
      <x:c r="F15" s="17" t="str">
        <x:v>Period-level flood hotspot evidence</x:v>
      </x:c>
      <x:c r="G15" s="17" t="str">
        <x:v>https://dewannegeri.johor.gov.my/wp-content/uploads/2024/12/Soalan-Jawapan-Bertulis-November-2024-Belanjawan-2025REV-1.pdf</x:v>
      </x:c>
      <x:c r="H15" s="17" t="str">
        <x:v>Officially discusses flash-flood problems at Jalan Mutiara Emas 7, 7/1, 5/18, Taman Mount Austin and Taman Setia Indah, but does not assign separate exact event dates.</x:v>
      </x:c>
    </x:row>
    <x:row r="16">
      <x:c r="A16" s="17" t="str">
        <x:v>SRC_R2024_UTUSAN_20240426</x:v>
      </x:c>
      <x:c r="B16" s="17" t="str">
        <x:v>Penduduk minta masalah jalan rosak, banjir kilat diatasi segera</x:v>
      </x:c>
      <x:c r="C16" s="17" t="str">
        <x:v>Utusan Malaysia</x:v>
      </x:c>
      <x:c r="D16" s="17" t="str">
        <x:v>2024-04-26</x:v>
      </x:c>
      <x:c r="E16" s="17" t="str">
        <x:v>B</x:v>
      </x:c>
      <x:c r="F16" s="17" t="str">
        <x:v>Recurrence/context evidence</x:v>
      </x:c>
      <x:c r="G16" s="17" t="str">
        <x:v>https://www.utusan.com.my/nasional/2024/04/penduduk-minta-masalah-jalan-rosak-banjir-kilat-diatasi-segera/</x:v>
      </x:c>
      <x:c r="H16" s="17" t="str">
        <x:v>Kampung Sungai Rinting B residents describe recurring flash-flood problems over more than five years; no exact 2024 event date given.</x:v>
      </x:c>
    </x:row>
    <x:row r="17">
      <x:c r="A17" s="17" t="str">
        <x:v>SRC_R2024_RTM_20240128</x:v>
      </x:c>
      <x:c r="B17" s="17" t="str">
        <x:v>Johor laksana usaha perbaiki perparitan, elak pertambahan kawasan baharu banjir</x:v>
      </x:c>
      <x:c r="C17" s="17" t="str">
        <x:v>RTM / Johor state government</x:v>
      </x:c>
      <x:c r="D17" s="17" t="str">
        <x:v>2024-01-28</x:v>
      </x:c>
      <x:c r="E17" s="17" t="str">
        <x:v>A/B</x:v>
      </x:c>
      <x:c r="F17" s="17" t="str">
        <x:v>Policy/hotspot context</x:v>
      </x:c>
      <x:c r="G17" s="17" t="str">
        <x:v>https://berita.rtm.gov.my/nasional/senarai-berita-nasional/senarai-artikel/johor-laksana-usaha-perbaiki-perparitan-elak-pertambahan-kawasan-baharu-banjir/</x:v>
      </x:c>
      <x:c r="H17" s="17" t="str">
        <x:v>Confirms recurring Johor Bahru flood issues and flood-wall works at Kampung Mohd Amin and Setia Indah; not converted into extra dated events.</x:v>
      </x:c>
    </x:row>
    <x:row r="18">
      <x:c r="A18" s="17" t="str">
        <x:v>SRC_R2024_DUN_MAJU</x:v>
      </x:c>
      <x:c r="B18" s="17" t="str">
        <x:v>Verbatim 21 November 2024</x:v>
      </x:c>
      <x:c r="C18" s="17" t="str">
        <x:v>Dewan Negeri Johor</x:v>
      </x:c>
      <x:c r="D18" s="17" t="str">
        <x:v>2024-11-21</x:v>
      </x:c>
      <x:c r="E18" s="17" t="str">
        <x:v>A</x:v>
      </x:c>
      <x:c r="F18" s="17" t="str">
        <x:v>Retrospective event corroboration</x:v>
      </x:c>
      <x:c r="G18" s="17" t="str">
        <x:v>https://dewannegeri.johor.gov.my/wp-content/uploads/2025/05/VERBATIM-BELANJAWAN-2025.pdf</x:v>
      </x:c>
      <x:c r="H18" s="17" t="str">
        <x:v>Official state assembly record explicitly states the January 2024 flood occurred in Kampung Maju Jaya and a PPS was opened.</x:v>
      </x:c>
    </x:row>
    <x:row r="19">
      <x:c r="A19" s="17" t="str">
        <x:v>SRC_R2024_RTM_20240104_PPS</x:v>
      </x:c>
      <x:c r="B19" s="17" t="str">
        <x:v>Banjir: Penduduk terjejas di Johor meningkat kepada 522 orang</x:v>
      </x:c>
      <x:c r="C19" s="17" t="str">
        <x:v>RTM / JPBN</x:v>
      </x:c>
      <x:c r="D19" s="17" t="str">
        <x:v>2024-01-04</x:v>
      </x:c>
      <x:c r="E19" s="17" t="str">
        <x:v>A/B</x:v>
      </x:c>
      <x:c r="F19" s="17" t="str">
        <x:v>PPS context only</x:v>
      </x:c>
      <x:c r="G19" s="17" t="str">
        <x:v>https://berita.rtm.gov.my/nasional/senarai-berita-nasional/senarai-artikel/banjir-penduduk-terjejas-di-johor-meningkat-kepada-522-orang/</x:v>
      </x:c>
      <x:c r="H19" s="17" t="str">
        <x:v>Johor Bahru PPS included Dewan Muafakat Kampung Cahaya and Dewan Kampung Sungai Tiram. PPS site names are not automatically treated as flood-origin locations.</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16" hidden="0" customWidth="1"/>
    <x:col min="5" max="5" width="17" hidden="0" customWidth="1"/>
    <x:col min="6" max="6" width="17" hidden="0" customWidth="1"/>
    <x:col min="7" max="7" width="48" hidden="0" customWidth="1"/>
    <x:col min="8" max="8" width="42" hidden="0" customWidth="1"/>
    <x:col min="9" max="9" width="30" hidden="0" customWidth="1"/>
    <x:col min="10" max="10" width="68" hidden="0" customWidth="1"/>
    <x:col min="11" max="11" width="68" hidden="0" customWidth="1"/>
    <x:col min="12" max="12" width="17" hidden="0" customWidth="1"/>
  </x:cols>
  <x:sheetData>
    <x:row r="1">
      <x:c r="A1" s="47" t="str">
        <x:v>Spatial_Object_Key</x:v>
      </x:c>
      <x:c r="B1" s="47" t="str">
        <x:v>Canonical_Name</x:v>
      </x:c>
      <x:c r="C1" s="47" t="str">
        <x:v>Object_Type</x:v>
      </x:c>
      <x:c r="D1" s="47" t="str">
        <x:v>Point_GIS_Ready</x:v>
      </x:c>
      <x:c r="E1" s="47" t="str">
        <x:v>Longitude_WGS84</x:v>
      </x:c>
      <x:c r="F1" s="47" t="str">
        <x:v>Latitude_WGS84</x:v>
      </x:c>
      <x:c r="G1" s="47" t="str">
        <x:v>Point_Source</x:v>
      </x:c>
      <x:c r="H1" s="47" t="str">
        <x:v>Geometry_Status</x:v>
      </x:c>
      <x:c r="I1" s="47" t="str">
        <x:v>Polygon_ID</x:v>
      </x:c>
      <x:c r="J1" s="47" t="str">
        <x:v>Key_Conflict_or_Gap</x:v>
      </x:c>
      <x:c r="K1" s="47" t="str">
        <x:v>Next_Spatial_Action</x:v>
      </x:c>
      <x:c r="L1" s="47" t="str">
        <x:v>Event_Count_2024</x:v>
      </x:c>
    </x:row>
    <x:row r="2">
      <x:c r="A2" s="17" t="str">
        <x:v>S2024-001</x:v>
      </x:c>
      <x:c r="B2" s="17" t="str">
        <x:v>Kampung Sentosa Damai</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official/local-government geospatial source.</x:v>
      </x:c>
      <x:c r="L2" s="17" t="n">
        <x:f>COUNTIF('26_2024_Event_Master'!$E$2:$E$16,A2)</x:f>
        <x:v>1</x:v>
      </x:c>
    </x:row>
    <x:row r="3">
      <x:c r="A3" s="17" t="str">
        <x:v>S2024-002</x:v>
      </x:c>
      <x:c r="B3" s="17" t="str">
        <x:v>Kampung Paya (Sungai Tiram/Nam Heng context)</x:v>
      </x:c>
      <x:c r="C3" s="17" t="str">
        <x:v>COMMUNITY/AREA</x:v>
      </x:c>
      <x:c r="D3" s="24" t="b">
        <x:v>0</x:v>
      </x:c>
      <x:c r="E3" s="17"/>
      <x:c r="F3" s="17"/>
      <x:c r="G3" s="17" t="str"/>
      <x:c r="H3" s="17" t="str">
        <x:v>IDENTITY_CONTEXT_RESOLVED; POINT_OPEN; POLYGON_OPEN</x:v>
      </x:c>
      <x:c r="I3" s="17" t="str"/>
      <x:c r="J3" s="17" t="str">
        <x:v>Flood identity is clear in Sungai Tiram/Nam Heng context, but no strict point is frozen; unrelated Kampung Paya locations must not be substituted.</x:v>
      </x:c>
      <x:c r="K3" s="17" t="str">
        <x:v>Resolve official/local-government point or named boundary.</x:v>
      </x:c>
      <x:c r="L3" s="17" t="n">
        <x:f>COUNTIF('26_2024_Event_Master'!$E$2:$E$16,A3)</x:f>
        <x:v>1</x:v>
      </x:c>
    </x:row>
    <x:row r="4">
      <x:c r="A4" s="17" t="str">
        <x:v>S2024-003</x:v>
      </x:c>
      <x:c r="B4" s="17" t="str">
        <x:v>Kampung Sungai Serai</x:v>
      </x:c>
      <x:c r="C4" s="17" t="str">
        <x:v>COMMUNITY/AREA</x:v>
      </x:c>
      <x:c r="D4" s="24" t="b">
        <x:v>0</x:v>
      </x:c>
      <x:c r="E4" s="17"/>
      <x:c r="F4" s="17"/>
      <x:c r="G4" s="17" t="str"/>
      <x:c r="H4" s="17" t="str">
        <x:v>IDENTITY_CONFIRMED; POINT_OPEN; POLYGON_OPEN</x:v>
      </x:c>
      <x:c r="I4" s="17" t="str"/>
      <x:c r="J4" s="17" t="str">
        <x:v>MBPG community context supports Sungai Serai identity, but no strict WGS84 point is frozen in this pass.</x:v>
      </x:c>
      <x:c r="K4" s="17" t="str">
        <x:v>Resolve exact official point/boundary before GIS freeze.</x:v>
      </x:c>
      <x:c r="L4" s="17" t="n">
        <x:f>COUNTIF('26_2024_Event_Master'!$E$2:$E$16,A4)</x:f>
        <x:v>1</x:v>
      </x:c>
    </x:row>
    <x:row r="5">
      <x:c r="A5" s="17" t="str">
        <x:v>S2024-004</x:v>
      </x:c>
      <x:c r="B5" s="17" t="str">
        <x:v>Batu 10, Sungai Tiram context</x:v>
      </x:c>
      <x:c r="C5" s="17" t="str">
        <x:v>ROAD/LOCALITY</x:v>
      </x:c>
      <x:c r="D5" s="24" t="b">
        <x:v>0</x:v>
      </x:c>
      <x:c r="E5" s="17"/>
      <x:c r="F5" s="17"/>
      <x:c r="G5" s="17" t="str"/>
      <x:c r="H5" s="17" t="str">
        <x:v>ROAD/CHAINAGE_OBJECT_OPEN</x:v>
      </x:c>
      <x:c r="I5" s="17" t="str"/>
      <x:c r="J5" s="17" t="str">
        <x:v>Batu 10 here is in Sungai Tiram context and must not be merged with Batu 10 Kampung Laut, Skudai.</x:v>
      </x:c>
      <x:c r="K5" s="17" t="str">
        <x:v>Resolve exact road-chainage/locality geometry.</x:v>
      </x:c>
      <x:c r="L5" s="17" t="n">
        <x:f>COUNTIF('26_2024_Event_Master'!$E$2:$E$16,A5)</x:f>
        <x:v>1</x:v>
      </x:c>
    </x:row>
    <x:row r="6">
      <x:c r="A6" s="17" t="str">
        <x:v>S2024-005</x:v>
      </x:c>
      <x:c r="B6" s="17" t="str">
        <x:v>Lorong Mak Piah, Kampung Sungai Tiram</x:v>
      </x:c>
      <x:c r="C6" s="17" t="str">
        <x:v>ROAD</x:v>
      </x:c>
      <x:c r="D6" s="24" t="b">
        <x:v>0</x:v>
      </x:c>
      <x:c r="E6" s="17"/>
      <x:c r="F6" s="17"/>
      <x:c r="G6" s="17" t="str"/>
      <x:c r="H6" s="17" t="str">
        <x:v>ROAD_SEGMENT_OPEN</x:v>
      </x:c>
      <x:c r="I6" s="17" t="str"/>
      <x:c r="J6" s="17" t="str">
        <x:v>Named lane is flood-valid, but exact affected start/end segment is absent.</x:v>
      </x:c>
      <x:c r="K6" s="17" t="str">
        <x:v>Keep road segment open unless event-specific extents are recovered.</x:v>
      </x:c>
      <x:c r="L6" s="17" t="n">
        <x:f>COUNTIF('26_2024_Event_Master'!$E$2:$E$16,A6)</x:f>
        <x:v>1</x:v>
      </x:c>
    </x:row>
    <x:row r="7">
      <x:c r="A7" s="17" t="str">
        <x:v>S2024-006</x:v>
      </x:c>
      <x:c r="B7" s="17" t="str">
        <x:v>Simpang Ladang Mados</x:v>
      </x:c>
      <x:c r="C7" s="17" t="str">
        <x:v>ROAD/LOCALITY</x:v>
      </x:c>
      <x:c r="D7" s="24" t="b">
        <x:v>0</x:v>
      </x:c>
      <x:c r="E7" s="17"/>
      <x:c r="F7" s="17"/>
      <x:c r="G7" s="17" t="str"/>
      <x:c r="H7" s="17" t="str">
        <x:v>POINT_OPEN; POLYGON_OPEN</x:v>
      </x:c>
      <x:c r="I7" s="17" t="str"/>
      <x:c r="J7" s="17" t="str">
        <x:v>Event identity is valid but no strict traceable point/boundary is frozen.</x:v>
      </x:c>
      <x:c r="K7" s="17" t="str">
        <x:v>Seek official/local-government geospatial source.</x:v>
      </x:c>
      <x:c r="L7" s="17" t="n">
        <x:f>COUNTIF('26_2024_Event_Master'!$E$2:$E$16,A7)</x:f>
        <x:v>1</x:v>
      </x:c>
    </x:row>
    <x:row r="8">
      <x:c r="A8" s="17" t="str">
        <x:v>S2024-007</x:v>
      </x:c>
      <x:c r="B8" s="17" t="str">
        <x:v>Kampung Bukit Dagang</x:v>
      </x:c>
      <x:c r="C8" s="17" t="str">
        <x:v>COMMUNITY/AREA</x:v>
      </x:c>
      <x:c r="D8" s="24" t="b">
        <x:v>1</x:v>
      </x:c>
      <x:c r="E8" s="17" t="n">
        <x:v>103.924811</x:v>
      </x:c>
      <x:c r="F8" s="17" t="n">
        <x:v>1.59376731</x:v>
      </x:c>
      <x:c r="G8" s="17" t="str">
        <x:v>MyGeoName Johor official gazette point</x:v>
      </x:c>
      <x:c r="H8" s="17" t="str">
        <x:v>POINT_READY; POLYGON_OPEN</x:v>
      </x:c>
      <x:c r="I8" s="17" t="str"/>
      <x:c r="J8" s="17" t="str">
        <x:v>Representative point is defensible; exact event/community flood polygon is not frozen.</x:v>
      </x:c>
      <x:c r="K8" s="17" t="str">
        <x:v>Seek exact named closed boundary; do not fabricate inundation polygon.</x:v>
      </x:c>
      <x:c r="L8" s="17" t="n">
        <x:f>COUNTIF('26_2024_Event_Master'!$E$2:$E$16,A8)</x:f>
        <x:v>1</x:v>
      </x:c>
    </x:row>
    <x:row r="9">
      <x:c r="A9" s="17" t="str">
        <x:v>S2024-008</x:v>
      </x:c>
      <x:c r="B9" s="17" t="str">
        <x:v>Kampung Batu 20, Sungai Tiram</x:v>
      </x:c>
      <x:c r="C9" s="17" t="str">
        <x:v>COMMUNITY/AREA</x:v>
      </x:c>
      <x:c r="D9" s="24" t="b">
        <x:v>0</x:v>
      </x:c>
      <x:c r="E9" s="17"/>
      <x:c r="F9" s="17"/>
      <x:c r="G9" s="17" t="str"/>
      <x:c r="H9" s="17" t="str">
        <x:v>ROAD/LOCALITY_OBJECT_OPEN</x:v>
      </x:c>
      <x:c r="I9" s="17" t="str"/>
      <x:c r="J9" s="17" t="str">
        <x:v>Source explicitly names Kampung Batu 20; exact boundary/segment is not frozen.</x:v>
      </x:c>
      <x:c r="K9" s="17" t="str">
        <x:v>Resolve exact community/road-access geometry.</x:v>
      </x:c>
      <x:c r="L9" s="17" t="n">
        <x:f>COUNTIF('26_2024_Event_Master'!$E$2:$E$16,A9)</x:f>
        <x:v>1</x:v>
      </x:c>
    </x:row>
    <x:row r="10">
      <x:c r="A10" s="17" t="str">
        <x:v>S2024-009</x:v>
      </x:c>
      <x:c r="B10" s="17" t="str">
        <x:v>Kampung Maju Jaya</x:v>
      </x:c>
      <x:c r="C10" s="17" t="str">
        <x:v>COMMUNITY/AREA</x:v>
      </x:c>
      <x:c r="D10" s="24" t="b">
        <x:v>1</x:v>
      </x:c>
      <x:c r="E10" s="17" t="n">
        <x:v>103.7159181</x:v>
      </x:c>
      <x:c r="F10" s="17" t="n">
        <x:v>1.5810921</x:v>
      </x:c>
      <x:c r="G10" s="17" t="str">
        <x:v>Frozen HF18 reference point</x:v>
      </x:c>
      <x:c r="H10" s="17" t="str">
        <x:v>POINT_READY; POLYGON_OPEN</x:v>
      </x:c>
      <x:c r="I10" s="17" t="str"/>
      <x:c r="J10" s="17" t="str">
        <x:v>Representative point is defensible; exact event/community flood polygon is not frozen.</x:v>
      </x:c>
      <x:c r="K10" s="17" t="str">
        <x:v>Seek exact named closed boundary; do not fabricate inundation polygon.</x:v>
      </x:c>
      <x:c r="L10" s="17" t="n">
        <x:f>COUNTIF('26_2024_Event_Master'!$E$2:$E$16,A10)</x:f>
        <x:v>1</x:v>
      </x:c>
    </x:row>
    <x:row r="11">
      <x:c r="A11" s="17" t="str">
        <x:v>S2024-010</x:v>
      </x:c>
      <x:c r="B11" s="17" t="str">
        <x:v>SK Kampung Maju Jaya</x:v>
      </x:c>
      <x:c r="C11" s="17" t="str">
        <x:v>CRITICAL FACILITY</x:v>
      </x:c>
      <x:c r="D11" s="24" t="b">
        <x:v>1</x:v>
      </x:c>
      <x:c r="E11" s="17" t="n">
        <x:v>103.718275204555</x:v>
      </x:c>
      <x:c r="F11" s="17" t="n">
        <x:v>1.5804887</x:v>
      </x:c>
      <x:c r="G11" s="17" t="str">
        <x:v>Frozen HF44 facility reference point</x:v>
      </x:c>
      <x:c r="H11" s="17" t="str">
        <x:v>POINT_READY; FACILITY_POLYGON_OPEN</x:v>
      </x:c>
      <x:c r="I11" s="17" t="str"/>
      <x:c r="J11" s="17" t="str">
        <x:v>Facility point is defensible; exact facility/flood polygon not frozen.</x:v>
      </x:c>
      <x:c r="K11" s="17" t="str">
        <x:v>Resolve exact building boundary only where defensible.</x:v>
      </x:c>
      <x:c r="L11" s="17" t="n">
        <x:f>COUNTIF('26_2024_Event_Master'!$E$2:$E$16,A11)</x:f>
        <x:v>1</x:v>
      </x:c>
    </x:row>
    <x:row r="12">
      <x:c r="A12" s="17" t="str">
        <x:v>S2024-011</x:v>
      </x:c>
      <x:c r="B12" s="17" t="str">
        <x:v>SK Bukit Mutiara</x:v>
      </x:c>
      <x:c r="C12" s="17" t="str">
        <x:v>CRITICAL FACILITY</x:v>
      </x:c>
      <x:c r="D12" s="24" t="b">
        <x:v>0</x:v>
      </x:c>
      <x:c r="E12" s="17"/>
      <x:c r="F12" s="17"/>
      <x:c r="G12" s="17" t="str"/>
      <x:c r="H12" s="17" t="str">
        <x:v>FACILITY_POINT/POLYGON_OPEN</x:v>
      </x:c>
      <x:c r="I12" s="17" t="str"/>
      <x:c r="J12" s="17" t="str">
        <x:v>Facility impact is event-valid; exact facility building/flood-water geometry is not frozen.</x:v>
      </x:c>
      <x:c r="K12" s="17" t="str">
        <x:v>Resolve exact building boundary only where defensible.</x:v>
      </x:c>
      <x:c r="L12" s="17" t="n">
        <x:f>COUNTIF('26_2024_Event_Master'!$E$2:$E$16,A12)</x:f>
        <x:v>1</x:v>
      </x:c>
    </x:row>
    <x:row r="13">
      <x:c r="A13" s="17" t="str">
        <x:v>S2024-012</x:v>
      </x:c>
      <x:c r="B13" s="17" t="str">
        <x:v>SK Sungai Tiram</x:v>
      </x:c>
      <x:c r="C13" s="17" t="str">
        <x:v>CRITICAL FACILITY</x:v>
      </x:c>
      <x:c r="D13" s="24" t="b">
        <x:v>0</x:v>
      </x:c>
      <x:c r="E13" s="17"/>
      <x:c r="F13" s="17"/>
      <x:c r="G13" s="17" t="str"/>
      <x:c r="H13" s="17" t="str">
        <x:v>FACILITY_POINT/POLYGON_OPEN</x:v>
      </x:c>
      <x:c r="I13" s="17" t="str"/>
      <x:c r="J13" s="17" t="str">
        <x:v>Facility impact is event-valid; exact facility building/flood-water geometry is not frozen.</x:v>
      </x:c>
      <x:c r="K13" s="17" t="str">
        <x:v>Resolve exact building boundary only where defensible.</x:v>
      </x:c>
      <x:c r="L13" s="17" t="n">
        <x:f>COUNTIF('26_2024_Event_Master'!$E$2:$E$16,A13)</x:f>
        <x:v>1</x:v>
      </x:c>
    </x:row>
    <x:row r="14">
      <x:c r="A14" s="17" t="str">
        <x:v>S2024-013</x:v>
      </x:c>
      <x:c r="B14" s="17" t="str">
        <x:v>Jalan Kangkar Tebrau</x:v>
      </x:c>
      <x:c r="C14" s="17" t="str">
        <x:v>ROAD</x:v>
      </x:c>
      <x:c r="D14" s="24" t="b">
        <x:v>0</x:v>
      </x:c>
      <x:c r="E14" s="17"/>
      <x:c r="F14" s="17"/>
      <x:c r="G14" s="17" t="str"/>
      <x:c r="H14" s="17" t="str">
        <x:v>ROAD_SEGMENT_OPEN</x:v>
      </x:c>
      <x:c r="I14" s="17" t="str"/>
      <x:c r="J14" s="17" t="str">
        <x:v>Official road-closure evidence exists; parent Kampung Kangkar Tebrau polygon is not a road-flood footprint.</x:v>
      </x:c>
      <x:c r="K14" s="17" t="str">
        <x:v>Do not reuse community polygon for road segment; recover exact closed section if possible.</x:v>
      </x:c>
      <x:c r="L14" s="17" t="n">
        <x:f>COUNTIF('26_2024_Event_Master'!$E$2:$E$16,A14)</x:f>
        <x:v>1</x:v>
      </x:c>
    </x:row>
    <x:row r="15">
      <x:c r="A15" s="17" t="str">
        <x:v>S2024-014</x:v>
      </x:c>
      <x:c r="B15" s="17" t="str">
        <x:v>Taman Setia Indah</x:v>
      </x:c>
      <x:c r="C15" s="17" t="str">
        <x:v>COMMUNITY/AREA</x:v>
      </x:c>
      <x:c r="D15" s="24" t="b">
        <x:v>1</x:v>
      </x:c>
      <x:c r="E15" s="17" t="n">
        <x:v>103.7592769</x:v>
      </x:c>
      <x:c r="F15" s="17" t="n">
        <x:v>1.5689894</x:v>
      </x:c>
      <x:c r="G15" s="17" t="str">
        <x:v>Frozen HF20 reference point</x:v>
      </x:c>
      <x:c r="H15" s="17" t="str">
        <x:v>POINT_READY; POLYGON_OPEN</x:v>
      </x:c>
      <x:c r="I15" s="17" t="str"/>
      <x:c r="J15" s="17" t="str">
        <x:v>Representative point is defensible; exact event/community flood polygon is not frozen.</x:v>
      </x:c>
      <x:c r="K15" s="17" t="str">
        <x:v>Seek exact named closed boundary; do not fabricate inundation polygon.</x:v>
      </x:c>
      <x:c r="L15" s="17" t="n">
        <x:f>COUNTIF('26_2024_Event_Master'!$E$2:$E$16,A15)</x:f>
        <x:v>1</x:v>
      </x:c>
    </x:row>
    <x:row r="16">
      <x:c r="A16" s="17" t="str">
        <x:v>S2024-015</x:v>
      </x:c>
      <x:c r="B16" s="17" t="str">
        <x:v>Kuil Sri Muniswarar Maha Mariamman, Kampung Kangkar Tebrau Kiri</x:v>
      </x:c>
      <x:c r="C16" s="17" t="str">
        <x:v>CRITICAL FACILITY</x:v>
      </x:c>
      <x:c r="D16" s="24" t="b">
        <x:v>0</x:v>
      </x:c>
      <x:c r="E16" s="17"/>
      <x:c r="F16" s="17"/>
      <x:c r="G16" s="17" t="str"/>
      <x:c r="H16" s="17" t="str">
        <x:v>FACILITY_POINT/POLYGON_OPEN</x:v>
      </x:c>
      <x:c r="I16" s="17" t="str"/>
      <x:c r="J16" s="17" t="str">
        <x:v>Facility impact is event-valid; exact facility building/flood-water geometry is not frozen.</x:v>
      </x:c>
      <x:c r="K16" s="17" t="str">
        <x:v>Resolve exact building boundary only where defensible.</x:v>
      </x:c>
      <x:c r="L16" s="17" t="n">
        <x:f>COUNTIF('26_2024_Event_Master'!$E$2:$E$16,A16)</x:f>
        <x:v>1</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8" hidden="0" customWidth="1"/>
    <x:col min="2" max="2" width="23" hidden="0" customWidth="1"/>
    <x:col min="3" max="3" width="48" hidden="0" customWidth="1"/>
    <x:col min="4" max="4" width="40" hidden="0" customWidth="1"/>
    <x:col min="5" max="5" width="31" hidden="0" customWidth="1"/>
    <x:col min="6" max="6" width="82" hidden="0" customWidth="1"/>
  </x:cols>
  <x:sheetData>
    <x:row r="1">
      <x:c r="A1" s="47" t="str">
        <x:v>Candidate_ID</x:v>
      </x:c>
      <x:c r="B1" s="47" t="str">
        <x:v>Time_Context</x:v>
      </x:c>
      <x:c r="C1" s="47" t="str">
        <x:v>Location_Label</x:v>
      </x:c>
      <x:c r="D1" s="47" t="str">
        <x:v>Resolution_Status</x:v>
      </x:c>
      <x:c r="E1" s="47" t="str">
        <x:v>Primary_Source_ID</x:v>
      </x:c>
      <x:c r="F1" s="47" t="str">
        <x:v>Decision_Note</x:v>
      </x:c>
    </x:row>
    <x:row r="2">
      <x:c r="A2" s="17" t="str">
        <x:v>CAND-2024-JAN04-PPS-CAHAYA</x:v>
      </x:c>
      <x:c r="B2" s="17" t="str">
        <x:v>2024-01-04</x:v>
      </x:c>
      <x:c r="C2" s="17" t="str">
        <x:v>Dewan Muafakat Kampung Cahaya Baru / SK Kampung Cahaya Baru</x:v>
      </x:c>
      <x:c r="D2" s="17" t="str">
        <x:v>PPS_LOCATION_NOT_ORIGIN</x:v>
      </x:c>
      <x:c r="E2" s="17" t="str">
        <x:v>SRC_R2024_RTM_20240104_PPS</x:v>
      </x:c>
      <x:c r="F2" s="17" t="str">
        <x:v>PPS locations prove district impact but do not by themselves prove the PPS-site community was inundated; do not count as event-location without origin evidence.</x:v>
      </x:c>
    </x:row>
    <x:row r="3">
      <x:c r="A3" s="17" t="str">
        <x:v>CAND-2024-MUTIARA7</x:v>
      </x:c>
      <x:c r="B3" s="17" t="str">
        <x:v>2024 period</x:v>
      </x:c>
      <x:c r="C3" s="17" t="str">
        <x:v>Jalan Mutiara Emas 7</x:v>
      </x:c>
      <x:c r="D3" s="17" t="str">
        <x:v>DATE_UNRESOLVED</x:v>
      </x:c>
      <x:c r="E3" s="17" t="str">
        <x:v>SRC_R2024_DUN_NOV</x:v>
      </x:c>
      <x:c r="F3" s="17" t="str">
        <x:v>Official MBJB/DUN record confirms flash-flood problem; exact independent event date not supplied.</x:v>
      </x:c>
    </x:row>
    <x:row r="4">
      <x:c r="A4" s="17" t="str">
        <x:v>CAND-2024-MUTIARA7-1</x:v>
      </x:c>
      <x:c r="B4" s="17" t="str">
        <x:v>2024 period</x:v>
      </x:c>
      <x:c r="C4" s="17" t="str">
        <x:v>Jalan Mutiara Emas 7/1</x:v>
      </x:c>
      <x:c r="D4" s="17" t="str">
        <x:v>DATE_UNRESOLVED</x:v>
      </x:c>
      <x:c r="E4" s="17" t="str">
        <x:v>SRC_R2024_DUN_NOV</x:v>
      </x:c>
      <x:c r="F4" s="17" t="str">
        <x:v>Official MBJB/DUN record confirms flash-flood problem; exact independent event date not supplied.</x:v>
      </x:c>
    </x:row>
    <x:row r="5">
      <x:c r="A5" s="17" t="str">
        <x:v>CAND-2024-MUTIARA5-18</x:v>
      </x:c>
      <x:c r="B5" s="17" t="str">
        <x:v>2024 period</x:v>
      </x:c>
      <x:c r="C5" s="17" t="str">
        <x:v>Jalan Mutiara Emas 5/18</x:v>
      </x:c>
      <x:c r="D5" s="17" t="str">
        <x:v>DATE_UNRESOLVED</x:v>
      </x:c>
      <x:c r="E5" s="17" t="str">
        <x:v>SRC_R2024_DUN_NOV</x:v>
      </x:c>
      <x:c r="F5" s="17" t="str">
        <x:v>Official MBJB/DUN record confirms flash-flood problem; exact independent event date not supplied.</x:v>
      </x:c>
    </x:row>
    <x:row r="6">
      <x:c r="A6" s="17" t="str">
        <x:v>CAND-2024-MOUNT-AUSTIN</x:v>
      </x:c>
      <x:c r="B6" s="17" t="str">
        <x:v>2024 period</x:v>
      </x:c>
      <x:c r="C6" s="17" t="str">
        <x:v>Taman Mount Austin</x:v>
      </x:c>
      <x:c r="D6" s="17" t="str">
        <x:v>DATE_UNRESOLVED</x:v>
      </x:c>
      <x:c r="E6" s="17" t="str">
        <x:v>SRC_R2024_DUN_NOV</x:v>
      </x:c>
      <x:c r="F6" s="17" t="str">
        <x:v>Official MBJB/DUN record confirms flash-flood problem; exact independent event date not supplied.</x:v>
      </x:c>
    </x:row>
    <x:row r="7">
      <x:c r="A7" s="17" t="str">
        <x:v>CAND-2024-SETIA-INDAH-RECURRENCE</x:v>
      </x:c>
      <x:c r="B7" s="17" t="str">
        <x:v>2024 period</x:v>
      </x:c>
      <x:c r="C7" s="17" t="str">
        <x:v>Taman Setia Indah</x:v>
      </x:c>
      <x:c r="D7" s="17" t="str">
        <x:v>RECURRENCE_CONTEXT_ONLY</x:v>
      </x:c>
      <x:c r="E7" s="17" t="str">
        <x:v>SRC_R2024_DUN_NOV</x:v>
      </x:c>
      <x:c r="F7" s="17" t="str">
        <x:v>Already has one Jan-episode flood-related impact row; period-level official record is not counted as an additional event.</x:v>
      </x:c>
    </x:row>
    <x:row r="8">
      <x:c r="A8" s="17" t="str">
        <x:v>CAND-2024-SG-RINTING-B</x:v>
      </x:c>
      <x:c r="B8" s="17" t="str">
        <x:v>Multi-year recurrence</x:v>
      </x:c>
      <x:c r="C8" s="17" t="str">
        <x:v>Kampung Sungai Rinting B</x:v>
      </x:c>
      <x:c r="D8" s="17" t="str">
        <x:v>EXACT_2024_DATE_UNRESOLVED</x:v>
      </x:c>
      <x:c r="E8" s="17" t="str">
        <x:v>SRC_R2024_UTUSAN_20240426</x:v>
      </x:c>
      <x:c r="F8" s="17" t="str">
        <x:v>Recurrent flash-flood problem reported over &gt;5 years; no exact 2024 event date.</x:v>
      </x:c>
    </x:row>
    <x:row r="9">
      <x:c r="A9" s="17" t="str">
        <x:v>CAND-2024-MOHD-AMIN-HOTSPOT</x:v>
      </x:c>
      <x:c r="B9" s="17" t="str">
        <x:v>2024 policy context</x:v>
      </x:c>
      <x:c r="C9" s="17" t="str">
        <x:v>Kampung Mohd Amin</x:v>
      </x:c>
      <x:c r="D9" s="17" t="str">
        <x:v>POLICY_HOTSPOT_NOT_DATED_EVENT</x:v>
      </x:c>
      <x:c r="E9" s="17" t="str">
        <x:v>SRC_R2024_RTM_20240128</x:v>
      </x:c>
      <x:c r="F9" s="17" t="str">
        <x:v>Flood-mitigation works confirm recurring risk, not a separate dated 2024 event.</x:v>
      </x:c>
    </x:row>
    <x:row r="10">
      <x:c r="A10" s="17" t="str">
        <x:v>CAND-2024-KG-CAHAYA-PPS</x:v>
      </x:c>
      <x:c r="B10" s="17" t="str">
        <x:v>2024-01-04</x:v>
      </x:c>
      <x:c r="C10" s="17" t="str">
        <x:v>Kampung Cahaya Baru</x:v>
      </x:c>
      <x:c r="D10" s="17" t="str">
        <x:v>ORIGIN_NOT_EXPLICIT</x:v>
      </x:c>
      <x:c r="E10" s="17" t="str">
        <x:v>SRC_R2024_RTM_20240104_PPS</x:v>
      </x:c>
      <x:c r="F10" s="17" t="str">
        <x:v>PPS name is not treated as proof that Kampung Cahaya Baru itself was inundated.</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42" hidden="0" customWidth="1"/>
    <x:col min="5" max="5" width="70" hidden="0" customWidth="1"/>
    <x:col min="6" max="6" width="70" hidden="0" customWidth="1"/>
    <x:col min="7" max="7" width="47" hidden="0" customWidth="1"/>
  </x:cols>
  <x:sheetData>
    <x:row r="1">
      <x:c r="A1" s="47" t="str">
        <x:v>Spatial_Object_Key</x:v>
      </x:c>
      <x:c r="B1" s="47" t="str">
        <x:v>Canonical_Name</x:v>
      </x:c>
      <x:c r="C1" s="47" t="str">
        <x:v>Object_Type</x:v>
      </x:c>
      <x:c r="D1" s="47" t="str">
        <x:v>Current_Status</x:v>
      </x:c>
      <x:c r="E1" s="47" t="str">
        <x:v>Key_Conflict_or_Gap</x:v>
      </x:c>
      <x:c r="F1" s="47" t="str">
        <x:v>Next_Spatial_Action</x:v>
      </x:c>
      <x:c r="G1" s="47" t="str">
        <x:v>Decision</x:v>
      </x:c>
    </x:row>
    <x:row r="2">
      <x:c r="A2" s="17" t="str">
        <x:v>S2024-001</x:v>
      </x:c>
      <x:c r="B2" s="17" t="str">
        <x:v>Kampung Sentosa Damai</x:v>
      </x:c>
      <x:c r="C2" s="17" t="str">
        <x:v>COMMUNITY/AREA</x:v>
      </x:c>
      <x:c r="D2" s="17" t="str">
        <x:v>POINT_OPEN; POLYGON_OPEN</x:v>
      </x:c>
      <x:c r="E2" s="17" t="str">
        <x:v>Event identity is valid but no strict traceable point/boundary is frozen.</x:v>
      </x:c>
      <x:c r="F2" s="17" t="str">
        <x:v>Seek official/local-government geospatial source.</x:v>
      </x:c>
      <x:c r="G2" s="17" t="str">
        <x:v>OPEN - retain evidence; no fabricated closure</x:v>
      </x:c>
    </x:row>
    <x:row r="3">
      <x:c r="A3" s="17" t="str">
        <x:v>S2024-002</x:v>
      </x:c>
      <x:c r="B3" s="17" t="str">
        <x:v>Kampung Paya (Sungai Tiram/Nam Heng context)</x:v>
      </x:c>
      <x:c r="C3" s="17" t="str">
        <x:v>COMMUNITY/AREA</x:v>
      </x:c>
      <x:c r="D3" s="17" t="str">
        <x:v>IDENTITY_CONTEXT_RESOLVED; POINT_OPEN; POLYGON_OPEN</x:v>
      </x:c>
      <x:c r="E3" s="17" t="str">
        <x:v>Flood identity is clear in Sungai Tiram/Nam Heng context, but no strict point is frozen; unrelated Kampung Paya locations must not be substituted.</x:v>
      </x:c>
      <x:c r="F3" s="17" t="str">
        <x:v>Resolve official/local-government point or named boundary.</x:v>
      </x:c>
      <x:c r="G3" s="17" t="str">
        <x:v>OPEN - retain evidence; no fabricated closure</x:v>
      </x:c>
    </x:row>
    <x:row r="4">
      <x:c r="A4" s="17" t="str">
        <x:v>S2024-003</x:v>
      </x:c>
      <x:c r="B4" s="17" t="str">
        <x:v>Kampung Sungai Serai</x:v>
      </x:c>
      <x:c r="C4" s="17" t="str">
        <x:v>COMMUNITY/AREA</x:v>
      </x:c>
      <x:c r="D4" s="17" t="str">
        <x:v>IDENTITY_CONFIRMED; POINT_OPEN; POLYGON_OPEN</x:v>
      </x:c>
      <x:c r="E4" s="17" t="str">
        <x:v>MBPG community context supports Sungai Serai identity, but no strict WGS84 point is frozen in this pass.</x:v>
      </x:c>
      <x:c r="F4" s="17" t="str">
        <x:v>Resolve exact official point/boundary before GIS freeze.</x:v>
      </x:c>
      <x:c r="G4" s="17" t="str">
        <x:v>OPEN - retain evidence; no fabricated closure</x:v>
      </x:c>
    </x:row>
    <x:row r="5">
      <x:c r="A5" s="17" t="str">
        <x:v>S2024-004</x:v>
      </x:c>
      <x:c r="B5" s="17" t="str">
        <x:v>Batu 10, Sungai Tiram context</x:v>
      </x:c>
      <x:c r="C5" s="17" t="str">
        <x:v>ROAD/LOCALITY</x:v>
      </x:c>
      <x:c r="D5" s="17" t="str">
        <x:v>ROAD/CHAINAGE_OBJECT_OPEN</x:v>
      </x:c>
      <x:c r="E5" s="17" t="str">
        <x:v>Batu 10 here is in Sungai Tiram context and must not be merged with Batu 10 Kampung Laut, Skudai.</x:v>
      </x:c>
      <x:c r="F5" s="17" t="str">
        <x:v>Resolve exact road-chainage/locality geometry.</x:v>
      </x:c>
      <x:c r="G5" s="17" t="str">
        <x:v>OPEN - retain evidence; no fabricated closure</x:v>
      </x:c>
    </x:row>
    <x:row r="6">
      <x:c r="A6" s="17" t="str">
        <x:v>S2024-005</x:v>
      </x:c>
      <x:c r="B6" s="17" t="str">
        <x:v>Lorong Mak Piah, Kampung Sungai Tiram</x:v>
      </x:c>
      <x:c r="C6" s="17" t="str">
        <x:v>ROAD</x:v>
      </x:c>
      <x:c r="D6" s="17" t="str">
        <x:v>ROAD_SEGMENT_OPEN</x:v>
      </x:c>
      <x:c r="E6" s="17" t="str">
        <x:v>Named lane is flood-valid, but exact affected start/end segment is absent.</x:v>
      </x:c>
      <x:c r="F6" s="17" t="str">
        <x:v>Keep road segment open unless event-specific extents are recovered.</x:v>
      </x:c>
      <x:c r="G6" s="17" t="str">
        <x:v>OPEN - retain evidence; no fabricated closure</x:v>
      </x:c>
    </x:row>
    <x:row r="7">
      <x:c r="A7" s="17" t="str">
        <x:v>S2024-006</x:v>
      </x:c>
      <x:c r="B7" s="17" t="str">
        <x:v>Simpang Ladang Mados</x:v>
      </x:c>
      <x:c r="C7" s="17" t="str">
        <x:v>ROAD/LOCALITY</x:v>
      </x:c>
      <x:c r="D7" s="17" t="str">
        <x:v>POINT_OPEN; POLYGON_OPEN</x:v>
      </x:c>
      <x:c r="E7" s="17" t="str">
        <x:v>Event identity is valid but no strict traceable point/boundary is frozen.</x:v>
      </x:c>
      <x:c r="F7" s="17" t="str">
        <x:v>Seek official/local-government geospatial source.</x:v>
      </x:c>
      <x:c r="G7" s="17" t="str">
        <x:v>OPEN - retain evidence; no fabricated closure</x:v>
      </x:c>
    </x:row>
    <x:row r="8">
      <x:c r="A8" s="17" t="str">
        <x:v>S2024-007</x:v>
      </x:c>
      <x:c r="B8" s="17" t="str">
        <x:v>Kampung Bukit Dagang</x:v>
      </x:c>
      <x:c r="C8" s="17" t="str">
        <x:v>COMMUNITY/AREA</x:v>
      </x:c>
      <x:c r="D8" s="17" t="str">
        <x:v>POINT_READY; POLYGON_OPEN</x:v>
      </x:c>
      <x:c r="E8" s="17" t="str">
        <x:v>Representative point is defensible; exact event/community flood polygon is not frozen.</x:v>
      </x:c>
      <x:c r="F8" s="17" t="str">
        <x:v>Seek exact named closed boundary; do not fabricate inundation polygon.</x:v>
      </x:c>
      <x:c r="G8" s="17" t="str">
        <x:v>OPEN - retain evidence; no fabricated closure</x:v>
      </x:c>
    </x:row>
    <x:row r="9">
      <x:c r="A9" s="17" t="str">
        <x:v>S2024-008</x:v>
      </x:c>
      <x:c r="B9" s="17" t="str">
        <x:v>Kampung Batu 20, Sungai Tiram</x:v>
      </x:c>
      <x:c r="C9" s="17" t="str">
        <x:v>COMMUNITY/AREA</x:v>
      </x:c>
      <x:c r="D9" s="17" t="str">
        <x:v>ROAD/LOCALITY_OBJECT_OPEN</x:v>
      </x:c>
      <x:c r="E9" s="17" t="str">
        <x:v>Source explicitly names Kampung Batu 20; exact boundary/segment is not frozen.</x:v>
      </x:c>
      <x:c r="F9" s="17" t="str">
        <x:v>Resolve exact community/road-access geometry.</x:v>
      </x:c>
      <x:c r="G9" s="17" t="str">
        <x:v>OPEN - retain evidence; no fabricated closure</x:v>
      </x:c>
    </x:row>
    <x:row r="10">
      <x:c r="A10" s="17" t="str">
        <x:v>S2024-009</x:v>
      </x:c>
      <x:c r="B10" s="17" t="str">
        <x:v>Kampung Maju Jaya</x:v>
      </x:c>
      <x:c r="C10" s="17" t="str">
        <x:v>COMMUNITY/AREA</x:v>
      </x:c>
      <x:c r="D10" s="17" t="str">
        <x:v>POINT_READY; POLYGON_OPEN</x:v>
      </x:c>
      <x:c r="E10" s="17" t="str">
        <x:v>Representative point is defensible; exact event/community flood polygon is not frozen.</x:v>
      </x:c>
      <x:c r="F10" s="17" t="str">
        <x:v>Seek exact named closed boundary; do not fabricate inundation polygon.</x:v>
      </x:c>
      <x:c r="G10" s="17" t="str">
        <x:v>OPEN - retain evidence; no fabricated closure</x:v>
      </x:c>
    </x:row>
    <x:row r="11">
      <x:c r="A11" s="17" t="str">
        <x:v>S2024-010</x:v>
      </x:c>
      <x:c r="B11" s="17" t="str">
        <x:v>SK Kampung Maju Jaya</x:v>
      </x:c>
      <x:c r="C11" s="17" t="str">
        <x:v>CRITICAL FACILITY</x:v>
      </x:c>
      <x:c r="D11" s="17" t="str">
        <x:v>POINT_READY; FACILITY_POLYGON_OPEN</x:v>
      </x:c>
      <x:c r="E11" s="17" t="str">
        <x:v>Facility point is defensible; exact facility/flood polygon not frozen.</x:v>
      </x:c>
      <x:c r="F11" s="17" t="str">
        <x:v>Resolve exact building boundary only where defensible.</x:v>
      </x:c>
      <x:c r="G11" s="17" t="str">
        <x:v>OPEN - retain evidence; no fabricated closure</x:v>
      </x:c>
    </x:row>
    <x:row r="12">
      <x:c r="A12" s="17" t="str">
        <x:v>S2024-011</x:v>
      </x:c>
      <x:c r="B12" s="17" t="str">
        <x:v>SK Bukit Mutiara</x:v>
      </x:c>
      <x:c r="C12" s="17" t="str">
        <x:v>CRITICAL FACILITY</x:v>
      </x:c>
      <x:c r="D12" s="17" t="str">
        <x:v>FACILITY_POINT/POLYGON_OPEN</x:v>
      </x:c>
      <x:c r="E12" s="17" t="str">
        <x:v>Facility impact is event-valid; exact facility building/flood-water geometry is not frozen.</x:v>
      </x:c>
      <x:c r="F12" s="17" t="str">
        <x:v>Resolve exact building boundary only where defensible.</x:v>
      </x:c>
      <x:c r="G12" s="17" t="str">
        <x:v>OPEN - retain evidence; no fabricated closure</x:v>
      </x:c>
    </x:row>
    <x:row r="13">
      <x:c r="A13" s="17" t="str">
        <x:v>S2024-012</x:v>
      </x:c>
      <x:c r="B13" s="17" t="str">
        <x:v>SK Sungai Tiram</x:v>
      </x:c>
      <x:c r="C13" s="17" t="str">
        <x:v>CRITICAL FACILITY</x:v>
      </x:c>
      <x:c r="D13" s="17" t="str">
        <x:v>FACILITY_POINT/POLYGON_OPEN</x:v>
      </x:c>
      <x:c r="E13" s="17" t="str">
        <x:v>Facility impact is event-valid; exact facility building/flood-water geometry is not frozen.</x:v>
      </x:c>
      <x:c r="F13" s="17" t="str">
        <x:v>Resolve exact building boundary only where defensible.</x:v>
      </x:c>
      <x:c r="G13" s="17" t="str">
        <x:v>OPEN - retain evidence; no fabricated closure</x:v>
      </x:c>
    </x:row>
    <x:row r="14">
      <x:c r="A14" s="17" t="str">
        <x:v>S2024-013</x:v>
      </x:c>
      <x:c r="B14" s="17" t="str">
        <x:v>Jalan Kangkar Tebrau</x:v>
      </x:c>
      <x:c r="C14" s="17" t="str">
        <x:v>ROAD</x:v>
      </x:c>
      <x:c r="D14" s="17" t="str">
        <x:v>ROAD_SEGMENT_OPEN</x:v>
      </x:c>
      <x:c r="E14" s="17" t="str">
        <x:v>Official road-closure evidence exists; parent Kampung Kangkar Tebrau polygon is not a road-flood footprint.</x:v>
      </x:c>
      <x:c r="F14" s="17" t="str">
        <x:v>Do not reuse community polygon for road segment; recover exact closed section if possible.</x:v>
      </x:c>
      <x:c r="G14" s="17" t="str">
        <x:v>OPEN - retain evidence; no fabricated closure</x:v>
      </x:c>
    </x:row>
    <x:row r="15">
      <x:c r="A15" s="17" t="str">
        <x:v>S2024-014</x:v>
      </x:c>
      <x:c r="B15" s="17" t="str">
        <x:v>Taman Setia Indah</x:v>
      </x:c>
      <x:c r="C15" s="17" t="str">
        <x:v>COMMUNITY/AREA</x:v>
      </x:c>
      <x:c r="D15" s="17" t="str">
        <x:v>POINT_READY; POLYGON_OPEN</x:v>
      </x:c>
      <x:c r="E15" s="17" t="str">
        <x:v>Representative point is defensible; exact event/community flood polygon is not frozen.</x:v>
      </x:c>
      <x:c r="F15" s="17" t="str">
        <x:v>Seek exact named closed boundary; do not fabricate inundation polygon.</x:v>
      </x:c>
      <x:c r="G15" s="17" t="str">
        <x:v>OPEN - retain evidence; no fabricated closure</x:v>
      </x:c>
    </x:row>
    <x:row r="16">
      <x:c r="A16" s="17" t="str">
        <x:v>S2024-015</x:v>
      </x:c>
      <x:c r="B16" s="17" t="str">
        <x:v>Kuil Sri Muniswarar Maha Mariamman, Kampung Kangkar Tebrau Kiri</x:v>
      </x:c>
      <x:c r="C16" s="17" t="str">
        <x:v>CRITICAL FACILITY</x:v>
      </x:c>
      <x:c r="D16" s="17" t="str">
        <x:v>FACILITY_POINT/POLYGON_OPEN</x:v>
      </x:c>
      <x:c r="E16" s="17" t="str">
        <x:v>Facility impact is event-valid; exact facility building/flood-water geometry is not frozen.</x:v>
      </x:c>
      <x:c r="F16" s="17" t="str">
        <x:v>Resolve exact building boundary only where defensible.</x:v>
      </x:c>
      <x:c r="G16" s="17" t="str">
        <x:v>OPEN - retain evidence; no fabricated closure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45" t="str">
        <x:v>Metric</x:v>
      </x:c>
      <x:c r="B1" s="45" t="str">
        <x:v>Formula / Value</x:v>
      </x:c>
      <x:c r="C1" s="45" t="str">
        <x:v>Expected</x:v>
      </x:c>
      <x:c r="D1" s="45" t="str">
        <x:v>Status</x:v>
      </x:c>
    </x:row>
    <x:row r="2">
      <x:c r="A2" s="9" t="str">
        <x:v>2024 event-location rows</x:v>
      </x:c>
      <x:c r="B2" s="9" t="n">
        <x:f>COUNTA('26_2024_Event_Master'!A2:A16)</x:f>
        <x:v>15</x:v>
      </x:c>
      <x:c r="C2" s="9" t="n">
        <x:v>15</x:v>
      </x:c>
      <x:c r="D2" s="9" t="str">
        <x:f>IF(B2=C2,"PASS","CHECK")</x:f>
        <x:v>PASS</x:v>
      </x:c>
    </x:row>
    <x:row r="3">
      <x:c r="A3" s="9" t="str">
        <x:v>2024 episode groups</x:v>
      </x:c>
      <x:c r="B3" s="9" t="n">
        <x:f>COUNTA('27_2024_Episodes'!A2:A3)</x:f>
        <x:v>2</x:v>
      </x:c>
      <x:c r="C3" s="9" t="n">
        <x:v>2</x:v>
      </x:c>
      <x:c r="D3" s="9" t="str">
        <x:f>IF(B3=C3,"PASS","CHECK")</x:f>
        <x:v>PASS</x:v>
      </x:c>
    </x:row>
    <x:row r="4">
      <x:c r="A4" s="9" t="str">
        <x:v>2024 unique spatial objects</x:v>
      </x:c>
      <x:c r="B4" s="9" t="n">
        <x:f>COUNTA('29_2024_Spatial_Resolution'!A2:A16)</x:f>
        <x:v>15</x:v>
      </x:c>
      <x:c r="C4" s="9" t="n">
        <x:v>15</x:v>
      </x:c>
      <x:c r="D4" s="9" t="str">
        <x:f>IF(B4=C4,"PASS","CHECK")</x:f>
        <x:v>PASS</x:v>
      </x:c>
    </x:row>
    <x:row r="5">
      <x:c r="A5" s="9" t="str">
        <x:v>Strict Point-GIS-ready objects</x:v>
      </x:c>
      <x:c r="B5" s="9" t="n">
        <x:f>SUMPRODUCT(--('29_2024_Spatial_Resolution'!D2:D16=TRUE))</x:f>
        <x:v>4</x:v>
      </x:c>
      <x:c r="C5" s="9" t="n">
        <x:v>4</x:v>
      </x:c>
      <x:c r="D5" s="9" t="str">
        <x:f>IF(B5=C5,"PASS","CHECK")</x:f>
        <x:v>PASS</x:v>
      </x:c>
    </x:row>
    <x:row r="6">
      <x:c r="A6" s="9" t="str">
        <x:v>Open spatial objects</x:v>
      </x:c>
      <x:c r="B6" s="9" t="n">
        <x:f>COUNTA('31_2024_Open_Objects'!A2:A16)</x:f>
        <x:v>15</x:v>
      </x:c>
      <x:c r="C6" s="9" t="n">
        <x:v>15</x:v>
      </x:c>
      <x:c r="D6" s="9" t="str">
        <x:f>IF(B6=C6,"PASS","CHECK")</x:f>
        <x:v>PASS</x:v>
      </x:c>
    </x:row>
    <x:row r="7">
      <x:c r="A7" s="9" t="str">
        <x:v>Unresolved/non-counted evidence rows</x:v>
      </x:c>
      <x:c r="B7" s="9" t="n">
        <x:f>COUNTA('30_2024_Unresolved_Candidates'!A2:A10)</x:f>
        <x:v>9</x:v>
      </x:c>
      <x:c r="C7" s="9" t="n">
        <x:v>9</x:v>
      </x:c>
      <x:c r="D7" s="9" t="str">
        <x:f>IF(B7=C7,"PASS","CHECK")</x:f>
        <x:v>PASS</x:v>
      </x:c>
    </x:row>
    <x:row r="8">
      <x:c r="A8" s="9" t="str">
        <x:v>Missing Spatial_Object_Key refs</x:v>
      </x:c>
      <x:c r="B8" s="9" t="n">
        <x:f>COUNTIF('26_2024_Event_Master'!E2:E16,"")</x:f>
        <x:v>0</x:v>
      </x:c>
      <x:c r="C8" s="9" t="n">
        <x:v>0</x:v>
      </x:c>
      <x:c r="D8" s="9" t="str">
        <x:f>IF(B8=C8,"PASS","CHECK")</x:f>
        <x:v>PASS</x:v>
      </x:c>
    </x:row>
    <x:row r="9">
      <x:c r="A9" s="9" t="str">
        <x:v>Cumulative event rows through 2024</x:v>
      </x:c>
      <x:c r="B9" s="9" t="n">
        <x:f>261+B2</x:f>
        <x:v>276</x:v>
      </x:c>
      <x:c r="C9" s="9" t="n">
        <x:v>276</x:v>
      </x:c>
      <x:c r="D9" s="9" t="str">
        <x:f>IF(B9=C9,"PASS","CHECK")</x:f>
        <x:v>PASS</x:v>
      </x:c>
    </x:row>
    <x:row r="10">
      <x:c r="A10" s="9" t="str">
        <x:v>2025 records included</x:v>
      </x:c>
      <x:c r="B10" s="9" t="n">
        <x:v>0</x:v>
      </x:c>
      <x:c r="C10" s="9" t="n">
        <x:v>0</x:v>
      </x:c>
      <x:c r="D10" s="9" t="str">
        <x:f>IF(B10=C10,"PASS","CHECK")</x:f>
        <x:v>PASS</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2" hidden="0" customWidth="1"/>
    <x:col min="5" max="5" width="28" hidden="0" customWidth="1"/>
    <x:col min="6" max="6" width="70" hidden="0" customWidth="1"/>
    <x:col min="7" max="7" width="60" hidden="0" customWidth="1"/>
  </x:cols>
  <x:sheetData>
    <x:row r="1">
      <x:c r="A1" s="47" t="str">
        <x:v>Polygon_ID</x:v>
      </x:c>
      <x:c r="B1" s="47" t="str">
        <x:v>Object_Name</x:v>
      </x:c>
      <x:c r="C1" s="47" t="str">
        <x:v>Closure_Status</x:v>
      </x:c>
      <x:c r="D1" s="47" t="str">
        <x:v>Geometry_Source</x:v>
      </x:c>
      <x:c r="E1" s="47" t="str">
        <x:v>2024_Event_Use</x:v>
      </x:c>
      <x:c r="F1" s="47" t="str">
        <x:v>Interpretation</x:v>
      </x:c>
      <x:c r="G1" s="47" t="str">
        <x:v>Decision</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0" hidden="0" customWidth="1"/>
  </x:cols>
  <x:sheetData>
    <x:row r="1">
      <x:c r="A1" s="45" t="str">
        <x:v>Metric</x:v>
      </x:c>
      <x:c r="B1" s="45" t="str">
        <x:v>Formula / Value</x:v>
      </x:c>
      <x:c r="C1" s="45" t="str">
        <x:v>Expected</x:v>
      </x:c>
      <x:c r="D1" s="45" t="str">
        <x:v>Status</x:v>
      </x:c>
      <x:c r="E1" s="45" t="str">
        <x:v>Interpretation</x:v>
      </x:c>
    </x:row>
    <x:row r="2">
      <x:c r="A2" s="9" t="str">
        <x:v>2024 new closed polygons</x:v>
      </x:c>
      <x:c r="B2" s="9" t="n">
        <x:v>0</x:v>
      </x:c>
      <x:c r="C2" s="9" t="n">
        <x:v>0</x:v>
      </x:c>
      <x:c r="D2" s="9" t="str">
        <x:f>IF(B2=C2,"PASS","CHECK")</x:f>
        <x:v>PASS</x:v>
      </x:c>
      <x:c r="E2" s="9" t="str">
        <x:v>No exact new named closed geometry defensibly frozen.</x:v>
      </x:c>
    </x:row>
    <x:row r="3">
      <x:c r="A3" s="9" t="str">
        <x:v>2024 reused closed polygons</x:v>
      </x:c>
      <x:c r="B3" s="9" t="n">
        <x:v>0</x:v>
      </x:c>
      <x:c r="C3" s="9" t="n">
        <x:v>0</x:v>
      </x:c>
      <x:c r="D3" s="9" t="str">
        <x:f>IF(B3=C3,"PASS","CHECK")</x:f>
        <x:v>PASS</x:v>
      </x:c>
      <x:c r="E3" s="9" t="str">
        <x:v>Community polygons are not substituted for road/facility/subarea events.</x:v>
      </x:c>
    </x:row>
    <x:row r="4">
      <x:c r="A4" s="9" t="str">
        <x:v>2024 directly usable closed analysis regions</x:v>
      </x:c>
      <x:c r="B4" s="9" t="n">
        <x:v>0</x:v>
      </x:c>
      <x:c r="C4" s="9" t="n">
        <x:v>0</x:v>
      </x:c>
      <x:c r="D4" s="9" t="str">
        <x:f>IF(B4=C4,"PASS","CHECK")</x:f>
        <x:v>PASS</x:v>
      </x:c>
      <x:c r="E4" s="9" t="str">
        <x:v>No 2024 event object receives a closed analysis polygon in this pass.</x:v>
      </x:c>
    </x:row>
    <x:row r="5">
      <x:c r="A5" s="9" t="str">
        <x:v>Cumulative Polygon_ID through 2024</x:v>
      </x:c>
      <x:c r="B5" s="9" t="n">
        <x:v>14</x:v>
      </x:c>
      <x:c r="C5" s="9" t="n">
        <x:v>14</x:v>
      </x:c>
      <x:c r="D5" s="9" t="str">
        <x:f>IF(B5=C5,"PASS","CHECK")</x:f>
        <x:v>PASS</x:v>
      </x:c>
      <x:c r="E5" s="9" t="str">
        <x:v>R018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2024 event-location rows</x:v>
      </x:c>
      <x:c r="B7" s="9" t="n">
        <x:f>'32_QA_2024_Event_Spatial'!B2</x:f>
        <x:v>15</x:v>
      </x:c>
      <x:c r="C7" s="9" t="n">
        <x:v>15</x:v>
      </x:c>
      <x:c r="D7" s="9" t="str">
        <x:f>IF(B7=C7,"PASS","CHECK")</x:f>
        <x:v>PASS</x:v>
      </x:c>
      <x:c r="E7" s="9" t="str">
        <x:v>Exact/date-anchored evidence rows only.</x:v>
      </x:c>
    </x:row>
    <x:row r="8">
      <x:c r="A8" s="9" t="str">
        <x:v>2024 episode groups</x:v>
      </x:c>
      <x:c r="B8" s="9" t="n">
        <x:f>'32_QA_2024_Event_Spatial'!B3</x:f>
        <x:v>2</x:v>
      </x:c>
      <x:c r="C8" s="9" t="n">
        <x:v>2</x:v>
      </x:c>
      <x:c r="D8" s="9" t="str">
        <x:f>IF(B8=C8,"PASS","CHECK")</x:f>
        <x:v>PASS</x:v>
      </x:c>
      <x:c r="E8" s="9" t="str">
        <x:v>One prolonged Jan monsoon episode + one 24 Jan flash-flood episode.</x:v>
      </x:c>
    </x:row>
    <x:row r="9">
      <x:c r="A9" s="9" t="str">
        <x:v>Cumulative event rows through 2024</x:v>
      </x:c>
      <x:c r="B9" s="9" t="n">
        <x:f>'32_QA_2024_Event_Spatial'!B9</x:f>
        <x:v>276</x:v>
      </x:c>
      <x:c r="C9" s="9" t="n">
        <x:v>276</x:v>
      </x:c>
      <x:c r="D9" s="9" t="str">
        <x:f>IF(B9=C9,"PASS","CHECK")</x:f>
        <x:v>PASS</x:v>
      </x:c>
      <x:c r="E9" s="9" t="str">
        <x:v>R018 261 + 2024 exact rows.</x:v>
      </x:c>
    </x:row>
    <x:row r="10">
      <x:c r="A10" s="9" t="str">
        <x:v>Formula errors in 2024 QA</x:v>
      </x:c>
      <x:c r="B10" s="9" t="n">
        <x:v>0</x:v>
      </x:c>
      <x:c r="C10" s="9" t="n">
        <x:v>0</x:v>
      </x:c>
      <x:c r="D10" s="9" t="str">
        <x:f>IF(B10=C10,"PASS","CHECK")</x:f>
        <x:v>PASS</x:v>
      </x:c>
      <x:c r="E10" s="9" t="str">
        <x:v>Checked after workbook build.</x:v>
      </x:c>
    </x:row>
    <x:row r="11">
      <x:c r="A11" s="9" t="str">
        <x:v>2025 records included</x:v>
      </x:c>
      <x:c r="B11" s="9" t="n">
        <x:v>0</x:v>
      </x:c>
      <x:c r="C11" s="9" t="n">
        <x:v>0</x:v>
      </x:c>
      <x:c r="D11" s="9" t="str">
        <x:f>IF(B11=C11,"PASS","CHECK")</x:f>
        <x:v>PASS</x:v>
      </x:c>
      <x:c r="E11" s="9" t="str">
        <x:v>Hard stop after 2024.</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0" hidden="0" customWidth="1"/>
    <x:col min="2" max="2" width="13" hidden="0" customWidth="1"/>
    <x:col min="3" max="3" width="29" hidden="0" customWidth="1"/>
    <x:col min="4" max="4" width="56" hidden="0" customWidth="1"/>
    <x:col min="5" max="5" width="16" hidden="0" customWidth="1"/>
    <x:col min="6" max="6" width="54" hidden="0" customWidth="1"/>
    <x:col min="7" max="7" width="36" hidden="0" customWidth="1"/>
    <x:col min="8" max="8" width="13" hidden="0" customWidth="1"/>
    <x:col min="9" max="9" width="33" hidden="0" customWidth="1"/>
    <x:col min="10" max="10" width="33" hidden="0" customWidth="1"/>
    <x:col min="11" max="11" width="42" hidden="0" customWidth="1"/>
    <x:col min="12" max="12" width="76" hidden="0" customWidth="1"/>
  </x:cols>
  <x:sheetData>
    <x:row r="1">
      <x:c r="A1" s="54" t="str">
        <x:v>Event_ID</x:v>
      </x:c>
      <x:c r="B1" s="54" t="str">
        <x:v>Event_Date</x:v>
      </x:c>
      <x:c r="C1" s="54" t="str">
        <x:v>Dedup_Group_ID</x:v>
      </x:c>
      <x:c r="D1" s="54" t="str">
        <x:v>Source_Location_Label</x:v>
      </x:c>
      <x:c r="E1" s="54" t="str">
        <x:v>Spatial_Object_Key</x:v>
      </x:c>
      <x:c r="F1" s="54" t="str">
        <x:v>Canonical_Spatial_Object</x:v>
      </x:c>
      <x:c r="G1" s="54" t="str">
        <x:v>Event_Type</x:v>
      </x:c>
      <x:c r="H1" s="54" t="str">
        <x:v>Evidence_Tier</x:v>
      </x:c>
      <x:c r="I1" s="54" t="str">
        <x:v>Primary_Source_ID</x:v>
      </x:c>
      <x:c r="J1" s="54" t="str">
        <x:v>Secondary_Source_ID</x:v>
      </x:c>
      <x:c r="K1" s="54" t="str">
        <x:v>Date_Precision</x:v>
      </x:c>
      <x:c r="L1" s="54" t="str">
        <x:v>Notes</x:v>
      </x:c>
    </x:row>
    <x:row r="2">
      <x:c r="A2" s="17" t="str">
        <x:v>EVT-JB-2025-001</x:v>
      </x:c>
      <x:c r="B2" s="17" t="str">
        <x:v>2025-01-11</x:v>
      </x:c>
      <x:c r="C2" s="17" t="str">
        <x:v>DG-JB-20250110-20250115</x:v>
      </x:c>
      <x:c r="D2" s="17" t="str">
        <x:v>Kampung Kangkar Tebrau</x:v>
      </x:c>
      <x:c r="E2" s="17" t="str">
        <x:v>S2025-001</x:v>
      </x:c>
      <x:c r="F2" s="17" t="str">
        <x:v>Kampung Kangkar Tebrau</x:v>
      </x:c>
      <x:c r="G2" s="17" t="str">
        <x:v>Monsoon flood / inundation</x:v>
      </x:c>
      <x:c r="H2" s="17" t="str">
        <x:v>A/B</x:v>
      </x:c>
      <x:c r="I2" s="17" t="str">
        <x:v>SRC_R2025_UTUSAN_20250111</x:v>
      </x:c>
      <x:c r="J2" s="17" t="str">
        <x:v>SRC_R2025_NADMA_20250113</x:v>
      </x:c>
      <x:c r="K2" s="17" t="str">
        <x:v>Exact day; flood began during heavy rain from 10 Jan</x:v>
      </x:c>
      <x:c r="L2" s="17" t="str">
        <x:v>About 300 families / ~1,000 residents affected according to field report.</x:v>
      </x:c>
    </x:row>
    <x:row r="3">
      <x:c r="A3" s="17" t="str">
        <x:v>EVT-JB-2025-002</x:v>
      </x:c>
      <x:c r="B3" s="17" t="str">
        <x:v>2025-01-11</x:v>
      </x:c>
      <x:c r="C3" s="17" t="str">
        <x:v>DG-JB-20250110-20250115</x:v>
      </x:c>
      <x:c r="D3" s="17" t="str">
        <x:v>Kampung Paya Kenangan</x:v>
      </x:c>
      <x:c r="E3" s="17" t="str">
        <x:v>S2025-002</x:v>
      </x:c>
      <x:c r="F3" s="17" t="str">
        <x:v>Kampung Paya Kenangan</x:v>
      </x:c>
      <x:c r="G3" s="17" t="str">
        <x:v>Monsoon flood / inundation</x:v>
      </x:c>
      <x:c r="H3" s="17" t="str">
        <x:v>A/B</x:v>
      </x:c>
      <x:c r="I3" s="17" t="str">
        <x:v>SRC_R2025_BERNAMA_20250111</x:v>
      </x:c>
      <x:c r="J3" s="17" t="str">
        <x:v>SRC_R2025_NADMA_20250113</x:v>
      </x:c>
      <x:c r="K3" s="17" t="str">
        <x:v>Exact day</x:v>
      </x:c>
      <x:c r="L3" s="17" t="str">
        <x:v>Bernama field observation shows homes/road inundated.</x:v>
      </x:c>
    </x:row>
    <x:row r="4">
      <x:c r="A4" s="17" t="str">
        <x:v>EVT-JB-2025-003</x:v>
      </x:c>
      <x:c r="B4" s="17" t="str">
        <x:v>2025-01-11</x:v>
      </x:c>
      <x:c r="C4" s="17" t="str">
        <x:v>DG-JB-20250110-20250115</x:v>
      </x:c>
      <x:c r="D4" s="17" t="str">
        <x:v>SK Kangkar Tebrau</x:v>
      </x:c>
      <x:c r="E4" s="17" t="str">
        <x:v>S2025-003</x:v>
      </x:c>
      <x:c r="F4" s="17" t="str">
        <x:v>SK Kangkar Tebrau</x:v>
      </x:c>
      <x:c r="G4" s="17" t="str">
        <x:v>Monsoon flood / inundation</x:v>
      </x:c>
      <x:c r="H4" s="17" t="str">
        <x:v>A/B</x:v>
      </x:c>
      <x:c r="I4" s="17" t="str">
        <x:v>SRC_R2025_UTUSAN_20250111</x:v>
      </x:c>
      <x:c r="J4" s="17" t="str"/>
      <x:c r="K4" s="17" t="str">
        <x:v>Exact day</x:v>
      </x:c>
      <x:c r="L4" s="17" t="str">
        <x:v>Entire school building and field reported inundated.</x:v>
      </x:c>
    </x:row>
    <x:row r="5">
      <x:c r="A5" s="17" t="str">
        <x:v>EVT-JB-2025-004</x:v>
      </x:c>
      <x:c r="B5" s="17" t="str">
        <x:v>2025-01-11</x:v>
      </x:c>
      <x:c r="C5" s="17" t="str">
        <x:v>DG-JB-20250110-20250115</x:v>
      </x:c>
      <x:c r="D5" s="17" t="str">
        <x:v>Masjid Kampung Kangkar Tebrau</x:v>
      </x:c>
      <x:c r="E5" s="17" t="str">
        <x:v>S2025-004</x:v>
      </x:c>
      <x:c r="F5" s="17" t="str">
        <x:v>Masjid Kampung Kangkar Tebrau</x:v>
      </x:c>
      <x:c r="G5" s="17" t="str">
        <x:v>Monsoon flood / inundation</x:v>
      </x:c>
      <x:c r="H5" s="17" t="str">
        <x:v>A/B</x:v>
      </x:c>
      <x:c r="I5" s="17" t="str">
        <x:v>SRC_R2025_UTUSAN_20250111</x:v>
      </x:c>
      <x:c r="J5" s="17" t="str"/>
      <x:c r="K5" s="17" t="str">
        <x:v>Exact day</x:v>
      </x:c>
      <x:c r="L5" s="17" t="str">
        <x:v>Mosque compound and stored event supplies inundated.</x:v>
      </x:c>
    </x:row>
    <x:row r="6">
      <x:c r="A6" s="17" t="str">
        <x:v>EVT-JB-2025-005</x:v>
      </x:c>
      <x:c r="B6" s="17" t="str">
        <x:v>2025-01-11</x:v>
      </x:c>
      <x:c r="C6" s="17" t="str">
        <x:v>DG-JB-20250110-20250115</x:v>
      </x:c>
      <x:c r="D6" s="17" t="str">
        <x:v>Kampung Pasir</x:v>
      </x:c>
      <x:c r="E6" s="17" t="str">
        <x:v>S2025-005</x:v>
      </x:c>
      <x:c r="F6" s="17" t="str">
        <x:v>Kampung Pasir</x:v>
      </x:c>
      <x:c r="G6" s="17" t="str">
        <x:v>Monsoon flood / inundation</x:v>
      </x:c>
      <x:c r="H6" s="17" t="str">
        <x:v>A/B</x:v>
      </x:c>
      <x:c r="I6" s="17" t="str">
        <x:v>SRC_R2025_NADMA_20250113</x:v>
      </x:c>
      <x:c r="J6" s="17" t="str">
        <x:v>SRC_R2025_NST_NADMA_20250113</x:v>
      </x:c>
      <x:c r="K6" s="17" t="str">
        <x:v>Episode date range; confirmed worst-hit by 12–13 Jan</x:v>
      </x:c>
      <x:c r="L6" s="17" t="str">
        <x:v>Retained as one January episode, not daily duplicate counts.</x:v>
      </x:c>
    </x:row>
    <x:row r="7">
      <x:c r="A7" s="17" t="str">
        <x:v>EVT-JB-2025-006</x:v>
      </x:c>
      <x:c r="B7" s="17" t="str">
        <x:v>2025-03-19</x:v>
      </x:c>
      <x:c r="C7" s="17" t="str">
        <x:v>DG-JB-20250319-20250324</x:v>
      </x:c>
      <x:c r="D7" s="17" t="str">
        <x:v>Kampung Kangkar Tebrau</x:v>
      </x:c>
      <x:c r="E7" s="17" t="str">
        <x:v>S2025-001</x:v>
      </x:c>
      <x:c r="F7" s="17" t="str">
        <x:v>Kampung Kangkar Tebrau</x:v>
      </x:c>
      <x:c r="G7" s="17" t="str">
        <x:v>Monsoon flood / residential inundation</x:v>
      </x:c>
      <x:c r="H7" s="17" t="str">
        <x:v>A</x:v>
      </x:c>
      <x:c r="I7" s="17" t="str">
        <x:v>SRC_R2025_NADMA_20250320</x:v>
      </x:c>
      <x:c r="J7" s="17" t="str"/>
      <x:c r="K7" s="17" t="str">
        <x:v>Exact day / evening evacuation evidence</x:v>
      </x:c>
      <x:c r="L7" s="17" t="str">
        <x:v>Affected-origin community explicitly identified by JPBN/NADMA.</x:v>
      </x:c>
    </x:row>
    <x:row r="8">
      <x:c r="A8" s="17" t="str">
        <x:v>EVT-JB-2025-007</x:v>
      </x:c>
      <x:c r="B8" s="17" t="str">
        <x:v>2025-03-19</x:v>
      </x:c>
      <x:c r="C8" s="17" t="str">
        <x:v>DG-JB-20250319-20250324</x:v>
      </x:c>
      <x:c r="D8" s="17" t="str">
        <x:v>Kampung Ulu Pandan</x:v>
      </x:c>
      <x:c r="E8" s="17" t="str">
        <x:v>S2025-006</x:v>
      </x:c>
      <x:c r="F8" s="17" t="str">
        <x:v>Kampung Ulu Pandan</x:v>
      </x:c>
      <x:c r="G8" s="17" t="str">
        <x:v>Monsoon flood / residential inundation</x:v>
      </x:c>
      <x:c r="H8" s="17" t="str">
        <x:v>A</x:v>
      </x:c>
      <x:c r="I8" s="17" t="str">
        <x:v>SRC_R2025_NADMA_20250320</x:v>
      </x:c>
      <x:c r="J8" s="17" t="str"/>
      <x:c r="K8" s="17" t="str">
        <x:v>Exact day / evening evacuation evidence</x:v>
      </x:c>
      <x:c r="L8" s="17" t="str">
        <x:v>Affected-origin community explicitly identified by JPBN/NADMA.</x:v>
      </x:c>
    </x:row>
    <x:row r="9">
      <x:c r="A9" s="17" t="str">
        <x:v>EVT-JB-2025-008</x:v>
      </x:c>
      <x:c r="B9" s="17" t="str">
        <x:v>2025-03-19</x:v>
      </x:c>
      <x:c r="C9" s="17" t="str">
        <x:v>DG-JB-20250319-20250324</x:v>
      </x:c>
      <x:c r="D9" s="17" t="str">
        <x:v>Kampung Bunga Ros</x:v>
      </x:c>
      <x:c r="E9" s="17" t="str">
        <x:v>S2025-007</x:v>
      </x:c>
      <x:c r="F9" s="17" t="str">
        <x:v>Kampung Bunga Ros</x:v>
      </x:c>
      <x:c r="G9" s="17" t="str">
        <x:v>Monsoon flood / residential inundation</x:v>
      </x:c>
      <x:c r="H9" s="17" t="str">
        <x:v>A</x:v>
      </x:c>
      <x:c r="I9" s="17" t="str">
        <x:v>SRC_R2025_NADMA_20250320</x:v>
      </x:c>
      <x:c r="J9" s="17" t="str"/>
      <x:c r="K9" s="17" t="str">
        <x:v>Exact day / evening evacuation evidence</x:v>
      </x:c>
      <x:c r="L9" s="17" t="str">
        <x:v>Affected-origin community explicitly identified by JPBN/NADMA.</x:v>
      </x:c>
    </x:row>
    <x:row r="10">
      <x:c r="A10" s="17" t="str">
        <x:v>EVT-JB-2025-009</x:v>
      </x:c>
      <x:c r="B10" s="17" t="str">
        <x:v>2025-03-19</x:v>
      </x:c>
      <x:c r="C10" s="17" t="str">
        <x:v>DG-JB-20250319-20250324</x:v>
      </x:c>
      <x:c r="D10" s="17" t="str">
        <x:v>Kampung Paya Kenangan</x:v>
      </x:c>
      <x:c r="E10" s="17" t="str">
        <x:v>S2025-002</x:v>
      </x:c>
      <x:c r="F10" s="17" t="str">
        <x:v>Kampung Paya Kenangan</x:v>
      </x:c>
      <x:c r="G10" s="17" t="str">
        <x:v>Monsoon flood / residential inundation</x:v>
      </x:c>
      <x:c r="H10" s="17" t="str">
        <x:v>A</x:v>
      </x:c>
      <x:c r="I10" s="17" t="str">
        <x:v>SRC_R2025_NADMA_20250320</x:v>
      </x:c>
      <x:c r="J10" s="17" t="str"/>
      <x:c r="K10" s="17" t="str">
        <x:v>Exact day / evening evacuation evidence</x:v>
      </x:c>
      <x:c r="L10" s="17" t="str">
        <x:v>Affected-origin community explicitly identified by JPBN/NADMA.</x:v>
      </x:c>
    </x:row>
    <x:row r="11">
      <x:c r="A11" s="17" t="str">
        <x:v>EVT-JB-2025-010</x:v>
      </x:c>
      <x:c r="B11" s="17" t="str">
        <x:v>2025-03-19</x:v>
      </x:c>
      <x:c r="C11" s="17" t="str">
        <x:v>DG-JB-20250319-20250324</x:v>
      </x:c>
      <x:c r="D11" s="17" t="str">
        <x:v>Kampung Pasir Tebrau</x:v>
      </x:c>
      <x:c r="E11" s="17" t="str">
        <x:v>S2025-008</x:v>
      </x:c>
      <x:c r="F11" s="17" t="str">
        <x:v>Kampung Pasir Tebrau</x:v>
      </x:c>
      <x:c r="G11" s="17" t="str">
        <x:v>Monsoon flood / residential inundation</x:v>
      </x:c>
      <x:c r="H11" s="17" t="str">
        <x:v>A</x:v>
      </x:c>
      <x:c r="I11" s="17" t="str">
        <x:v>SRC_R2025_NADMA_20250320</x:v>
      </x:c>
      <x:c r="J11" s="17" t="str"/>
      <x:c r="K11" s="17" t="str">
        <x:v>Exact day / evening evacuation evidence</x:v>
      </x:c>
      <x:c r="L11" s="17" t="str">
        <x:v>Affected-origin community explicitly identified by JPBN/NADMA.</x:v>
      </x:c>
    </x:row>
    <x:row r="12">
      <x:c r="A12" s="17" t="str">
        <x:v>EVT-JB-2025-011</x:v>
      </x:c>
      <x:c r="B12" s="17" t="str">
        <x:v>2025-03-20</x:v>
      </x:c>
      <x:c r="C12" s="17" t="str">
        <x:v>DG-JB-20250319-20250324</x:v>
      </x:c>
      <x:c r="D12" s="17" t="str">
        <x:v>Kampung Laut Skudai</x:v>
      </x:c>
      <x:c r="E12" s="17" t="str">
        <x:v>S2025-009</x:v>
      </x:c>
      <x:c r="F12" s="17" t="str">
        <x:v>Kampung Laut Skudai</x:v>
      </x:c>
      <x:c r="G12" s="17" t="str">
        <x:v>Monsoon flood / flash-flood impact</x:v>
      </x:c>
      <x:c r="H12" s="17" t="str">
        <x:v>A/B/C</x:v>
      </x:c>
      <x:c r="I12" s="17" t="str">
        <x:v>SRC_R2025_NADMA_20250320_OPS</x:v>
      </x:c>
      <x:c r="J12" s="17" t="str"/>
      <x:c r="K12" s="17" t="str">
        <x:v>Exact day or mayor-retrospective within 19–20 Mar episode</x:v>
      </x:c>
      <x:c r="L12" s="17" t="str">
        <x:v>Fire-and-rescue evacuation/monitoring location.</x:v>
      </x:c>
    </x:row>
    <x:row r="13">
      <x:c r="A13" s="17" t="str">
        <x:v>EVT-JB-2025-012</x:v>
      </x:c>
      <x:c r="B13" s="17" t="str">
        <x:v>2025-03-20</x:v>
      </x:c>
      <x:c r="C13" s="17" t="str">
        <x:v>DG-JB-20250319-20250324</x:v>
      </x:c>
      <x:c r="D13" s="17" t="str">
        <x:v>Kampung Pasir</x:v>
      </x:c>
      <x:c r="E13" s="17" t="str">
        <x:v>S2025-005</x:v>
      </x:c>
      <x:c r="F13" s="17" t="str">
        <x:v>Kampung Pasir</x:v>
      </x:c>
      <x:c r="G13" s="17" t="str">
        <x:v>Monsoon flood / flash-flood impact</x:v>
      </x:c>
      <x:c r="H13" s="17" t="str">
        <x:v>A/B/C</x:v>
      </x:c>
      <x:c r="I13" s="17" t="str">
        <x:v>SRC_R2025_NADMA_20250320_OPS</x:v>
      </x:c>
      <x:c r="J13" s="17" t="str">
        <x:v>SRC_R2025_MAYOR_20250328</x:v>
      </x:c>
      <x:c r="K13" s="17" t="str">
        <x:v>Exact day or mayor-retrospective within 19–20 Mar episode</x:v>
      </x:c>
      <x:c r="L13" s="17" t="str">
        <x:v>One of the worst-hit MBJB areas.</x:v>
      </x:c>
    </x:row>
    <x:row r="14">
      <x:c r="A14" s="17" t="str">
        <x:v>EVT-JB-2025-013</x:v>
      </x:c>
      <x:c r="B14" s="17" t="str">
        <x:v>2025-03-20</x:v>
      </x:c>
      <x:c r="C14" s="17" t="str">
        <x:v>DG-JB-20250319-20250324</x:v>
      </x:c>
      <x:c r="D14" s="17" t="str">
        <x:v>Pandan</x:v>
      </x:c>
      <x:c r="E14" s="17" t="str">
        <x:v>S2025-010</x:v>
      </x:c>
      <x:c r="F14" s="17" t="str">
        <x:v>Pandan</x:v>
      </x:c>
      <x:c r="G14" s="17" t="str">
        <x:v>Monsoon flood / flash-flood impact</x:v>
      </x:c>
      <x:c r="H14" s="17" t="str">
        <x:v>A/B/C</x:v>
      </x:c>
      <x:c r="I14" s="17" t="str">
        <x:v>SRC_R2025_MAYOR_20250328</x:v>
      </x:c>
      <x:c r="J14" s="17" t="str"/>
      <x:c r="K14" s="17" t="str">
        <x:v>Exact day or mayor-retrospective within 19–20 Mar episode</x:v>
      </x:c>
      <x:c r="L14" s="17" t="str">
        <x:v>Mayor retrospective explicitly includes Pandan among affected MBJB locations.</x:v>
      </x:c>
    </x:row>
    <x:row r="15">
      <x:c r="A15" s="17" t="str">
        <x:v>EVT-JB-2025-014</x:v>
      </x:c>
      <x:c r="B15" s="17" t="str">
        <x:v>2025-03-20</x:v>
      </x:c>
      <x:c r="C15" s="17" t="str">
        <x:v>DG-JB-20250319-20250324</x:v>
      </x:c>
      <x:c r="D15" s="17" t="str">
        <x:v>Taman Desa Mutiara</x:v>
      </x:c>
      <x:c r="E15" s="17" t="str">
        <x:v>S2025-011</x:v>
      </x:c>
      <x:c r="F15" s="17" t="str">
        <x:v>Taman Desa Mutiara</x:v>
      </x:c>
      <x:c r="G15" s="17" t="str">
        <x:v>Monsoon flood / flash-flood impact</x:v>
      </x:c>
      <x:c r="H15" s="17" t="str">
        <x:v>A/B/C</x:v>
      </x:c>
      <x:c r="I15" s="17" t="str">
        <x:v>SRC_R2025_MAYOR_20250328</x:v>
      </x:c>
      <x:c r="J15" s="17" t="str">
        <x:v>SRC_R2025_NADMA_20250322_AID</x:v>
      </x:c>
      <x:c r="K15" s="17" t="str">
        <x:v>Exact day or mayor-retrospective within 19–20 Mar episode</x:v>
      </x:c>
      <x:c r="L15" s="17" t="str">
        <x:v>Post-flood cleanup evidence supports direct impact.</x:v>
      </x:c>
    </x:row>
    <x:row r="16">
      <x:c r="A16" s="17" t="str">
        <x:v>EVT-JB-2025-015</x:v>
      </x:c>
      <x:c r="B16" s="17" t="str">
        <x:v>2025-03-20</x:v>
      </x:c>
      <x:c r="C16" s="17" t="str">
        <x:v>DG-JB-20250319-20250324</x:v>
      </x:c>
      <x:c r="D16" s="17" t="str">
        <x:v>Taman Tampoi Utama</x:v>
      </x:c>
      <x:c r="E16" s="17" t="str">
        <x:v>S2025-012</x:v>
      </x:c>
      <x:c r="F16" s="17" t="str">
        <x:v>Taman Tampoi Utama</x:v>
      </x:c>
      <x:c r="G16" s="17" t="str">
        <x:v>Monsoon flood / flash-flood impact</x:v>
      </x:c>
      <x:c r="H16" s="17" t="str">
        <x:v>A/B/C</x:v>
      </x:c>
      <x:c r="I16" s="17" t="str">
        <x:v>SRC_R2025_MAYOR_20250328</x:v>
      </x:c>
      <x:c r="J16" s="17" t="str">
        <x:v>SRC_R2025_NADMA_20250321_TAMPOI</x:v>
      </x:c>
      <x:c r="K16" s="17" t="str">
        <x:v>Exact day or mayor-retrospective within 19–20 Mar episode</x:v>
      </x:c>
      <x:c r="L16" s="17" t="str">
        <x:v>School/neighbourhood rescue evidence.</x:v>
      </x:c>
    </x:row>
    <x:row r="17">
      <x:c r="A17" s="17" t="str">
        <x:v>EVT-JB-2025-016</x:v>
      </x:c>
      <x:c r="B17" s="17" t="str">
        <x:v>2025-03-20</x:v>
      </x:c>
      <x:c r="C17" s="17" t="str">
        <x:v>DG-JB-20250319-20250324</x:v>
      </x:c>
      <x:c r="D17" s="17" t="str">
        <x:v>Kampung Seri Serdang</x:v>
      </x:c>
      <x:c r="E17" s="17" t="str">
        <x:v>S2025-013</x:v>
      </x:c>
      <x:c r="F17" s="17" t="str">
        <x:v>Kampung Seri Serdang</x:v>
      </x:c>
      <x:c r="G17" s="17" t="str">
        <x:v>Monsoon flood / flash-flood impact</x:v>
      </x:c>
      <x:c r="H17" s="17" t="str">
        <x:v>A/B/C</x:v>
      </x:c>
      <x:c r="I17" s="17" t="str">
        <x:v>SRC_R2025_MAYOR_20250328</x:v>
      </x:c>
      <x:c r="J17" s="17" t="str"/>
      <x:c r="K17" s="17" t="str">
        <x:v>Exact day or mayor-retrospective within 19–20 Mar episode</x:v>
      </x:c>
      <x:c r="L17" s="17" t="str">
        <x:v>Mayor retrospective explicit location.</x:v>
      </x:c>
    </x:row>
    <x:row r="18">
      <x:c r="A18" s="17" t="str">
        <x:v>EVT-JB-2025-017</x:v>
      </x:c>
      <x:c r="B18" s="17" t="str">
        <x:v>2025-03-20</x:v>
      </x:c>
      <x:c r="C18" s="17" t="str">
        <x:v>DG-JB-20250319-20250324</x:v>
      </x:c>
      <x:c r="D18" s="17" t="str">
        <x:v>Kampung Melayu Pandan</x:v>
      </x:c>
      <x:c r="E18" s="17" t="str">
        <x:v>S2025-014</x:v>
      </x:c>
      <x:c r="F18" s="17" t="str">
        <x:v>Kampung Melayu Pandan</x:v>
      </x:c>
      <x:c r="G18" s="17" t="str">
        <x:v>Monsoon flood / flash-flood impact</x:v>
      </x:c>
      <x:c r="H18" s="17" t="str">
        <x:v>A/B/C</x:v>
      </x:c>
      <x:c r="I18" s="17" t="str">
        <x:v>SRC_R2025_MAYOR_20250328</x:v>
      </x:c>
      <x:c r="J18" s="17" t="str"/>
      <x:c r="K18" s="17" t="str">
        <x:v>Exact day or mayor-retrospective within 19–20 Mar episode</x:v>
      </x:c>
      <x:c r="L18" s="17" t="str">
        <x:v>Mayor retrospective explicit location.</x:v>
      </x:c>
    </x:row>
    <x:row r="19">
      <x:c r="A19" s="17" t="str">
        <x:v>EVT-JB-2025-018</x:v>
      </x:c>
      <x:c r="B19" s="17" t="str">
        <x:v>2025-03-20</x:v>
      </x:c>
      <x:c r="C19" s="17" t="str">
        <x:v>DG-JB-20250319-20250324</x:v>
      </x:c>
      <x:c r="D19" s="17" t="str">
        <x:v>Kampung Belantik</x:v>
      </x:c>
      <x:c r="E19" s="17" t="str">
        <x:v>S2025-015</x:v>
      </x:c>
      <x:c r="F19" s="17" t="str">
        <x:v>Kampung Belantik</x:v>
      </x:c>
      <x:c r="G19" s="17" t="str">
        <x:v>Monsoon flood / flash-flood impact</x:v>
      </x:c>
      <x:c r="H19" s="17" t="str">
        <x:v>A/B/C</x:v>
      </x:c>
      <x:c r="I19" s="17" t="str">
        <x:v>SRC_R2025_MAYOR_20250328</x:v>
      </x:c>
      <x:c r="J19" s="17" t="str"/>
      <x:c r="K19" s="17" t="str">
        <x:v>Exact day or mayor-retrospective within 19–20 Mar episode</x:v>
      </x:c>
      <x:c r="L19" s="17" t="str">
        <x:v>Mayor retrospective explicit location; identity retained without forced polygon.</x:v>
      </x:c>
    </x:row>
    <x:row r="20">
      <x:c r="A20" s="17" t="str">
        <x:v>EVT-JB-2025-019</x:v>
      </x:c>
      <x:c r="B20" s="17" t="str">
        <x:v>2025-03-20</x:v>
      </x:c>
      <x:c r="C20" s="17" t="str">
        <x:v>DG-JB-20250319-20250324</x:v>
      </x:c>
      <x:c r="D20" s="17" t="str">
        <x:v>Taman Tampoi Indah</x:v>
      </x:c>
      <x:c r="E20" s="17" t="str">
        <x:v>S2025-016</x:v>
      </x:c>
      <x:c r="F20" s="17" t="str">
        <x:v>Taman Tampoi Indah</x:v>
      </x:c>
      <x:c r="G20" s="17" t="str">
        <x:v>Monsoon flood / flash-flood impact</x:v>
      </x:c>
      <x:c r="H20" s="17" t="str">
        <x:v>A/B/C</x:v>
      </x:c>
      <x:c r="I20" s="17" t="str">
        <x:v>SRC_R2025_MAYOR_20250328</x:v>
      </x:c>
      <x:c r="J20" s="17" t="str">
        <x:v>SRC_R2025_NADMA_20250325_TAMPOI</x:v>
      </x:c>
      <x:c r="K20" s="17" t="str">
        <x:v>Exact day or mayor-retrospective within 19–20 Mar episode</x:v>
      </x:c>
      <x:c r="L20" s="17" t="str">
        <x:v>Mayor identifies it as among worst-hit; local rescue evidence corroborates.</x:v>
      </x:c>
    </x:row>
    <x:row r="21">
      <x:c r="A21" s="17" t="str">
        <x:v>EVT-JB-2025-020</x:v>
      </x:c>
      <x:c r="B21" s="17" t="str">
        <x:v>2025-03-20</x:v>
      </x:c>
      <x:c r="C21" s="17" t="str">
        <x:v>DG-JB-20250319-20250324</x:v>
      </x:c>
      <x:c r="D21" s="17" t="str">
        <x:v>Perling</x:v>
      </x:c>
      <x:c r="E21" s="17" t="str">
        <x:v>S2025-017</x:v>
      </x:c>
      <x:c r="F21" s="17" t="str">
        <x:v>Perling</x:v>
      </x:c>
      <x:c r="G21" s="17" t="str">
        <x:v>Monsoon flood / flash-flood impact</x:v>
      </x:c>
      <x:c r="H21" s="17" t="str">
        <x:v>A/B/C</x:v>
      </x:c>
      <x:c r="I21" s="17" t="str">
        <x:v>SRC_R2025_DAP_20250324</x:v>
      </x:c>
      <x:c r="J21" s="17" t="str"/>
      <x:c r="K21" s="17" t="str">
        <x:v>Exact day or mayor-retrospective within 19–20 Mar episode</x:v>
      </x:c>
      <x:c r="L21" s="17" t="str">
        <x:v>Lower-tier field observation retained transparently; electricity cut after deep flooding.</x:v>
      </x:c>
    </x:row>
    <x:row r="22">
      <x:c r="A22" s="17" t="str">
        <x:v>EVT-JB-2025-021</x:v>
      </x:c>
      <x:c r="B22" s="17" t="str">
        <x:v>2025-03-20</x:v>
      </x:c>
      <x:c r="C22" s="17" t="str">
        <x:v>DG-JB-20250319-20250324</x:v>
      </x:c>
      <x:c r="D22" s="17" t="str">
        <x:v>Jalan Sukun, Kampung Pasir</x:v>
      </x:c>
      <x:c r="E22" s="17" t="str">
        <x:v>S2025-018</x:v>
      </x:c>
      <x:c r="F22" s="17" t="str">
        <x:v>Jalan Sukun, Kampung Pasir</x:v>
      </x:c>
      <x:c r="G22" s="17" t="str">
        <x:v>Monsoon flood / flash-flood impact</x:v>
      </x:c>
      <x:c r="H22" s="17" t="str">
        <x:v>A/B/C</x:v>
      </x:c>
      <x:c r="I22" s="17" t="str">
        <x:v>SRC_R2025_NADMA_20250320_ROAD</x:v>
      </x:c>
      <x:c r="J22" s="17" t="str"/>
      <x:c r="K22" s="17" t="str">
        <x:v>Exact day or mayor-retrospective within 19–20 Mar episode</x:v>
      </x:c>
      <x:c r="L22" s="17" t="str">
        <x:v>Wheelchair-bound resident rescued from flood along Jalan Sukun.</x:v>
      </x:c>
    </x:row>
    <x:row r="23">
      <x:c r="A23" s="17" t="str">
        <x:v>EVT-JB-2025-022</x:v>
      </x:c>
      <x:c r="B23" s="17" t="str">
        <x:v>2025-03-20</x:v>
      </x:c>
      <x:c r="C23" s="17" t="str">
        <x:v>DG-JB-20250319-20250324</x:v>
      </x:c>
      <x:c r="D23" s="17" t="str">
        <x:v>SK Kangkar Tebrau</x:v>
      </x:c>
      <x:c r="E23" s="17" t="str">
        <x:v>S2025-003</x:v>
      </x:c>
      <x:c r="F23" s="17" t="str">
        <x:v>SK Kangkar Tebrau</x:v>
      </x:c>
      <x:c r="G23" s="17" t="str">
        <x:v>Flood-related critical-facility impact</x:v>
      </x:c>
      <x:c r="H23" s="17" t="str">
        <x:v>A/B</x:v>
      </x:c>
      <x:c r="I23" s="17" t="str">
        <x:v>SRC_R2025_BERNAMA_SCHOOLS_20250320</x:v>
      </x:c>
      <x:c r="J23" s="17" t="str"/>
      <x:c r="K23" s="17" t="str">
        <x:v>Exact status date within continuing flood episode</x:v>
      </x:c>
      <x:c r="L23" s="17" t="str">
        <x:v>School fully inundated; operations stopped.</x:v>
      </x:c>
    </x:row>
    <x:row r="24">
      <x:c r="A24" s="17" t="str">
        <x:v>EVT-JB-2025-023</x:v>
      </x:c>
      <x:c r="B24" s="17" t="str">
        <x:v>2025-03-20</x:v>
      </x:c>
      <x:c r="C24" s="17" t="str">
        <x:v>DG-JB-20250319-20250324</x:v>
      </x:c>
      <x:c r="D24" s="17" t="str">
        <x:v>SK Kampung Maju Jaya</x:v>
      </x:c>
      <x:c r="E24" s="17" t="str">
        <x:v>S2025-019</x:v>
      </x:c>
      <x:c r="F24" s="17" t="str">
        <x:v>SK Kampung Maju Jaya</x:v>
      </x:c>
      <x:c r="G24" s="17" t="str">
        <x:v>Flood-related critical-facility impact</x:v>
      </x:c>
      <x:c r="H24" s="17" t="str">
        <x:v>A/B</x:v>
      </x:c>
      <x:c r="I24" s="17" t="str">
        <x:v>SRC_R2025_BERNAMA_SCHOOLS_20250320</x:v>
      </x:c>
      <x:c r="J24" s="17" t="str"/>
      <x:c r="K24" s="17" t="str">
        <x:v>Exact status date within continuing flood episode</x:v>
      </x:c>
      <x:c r="L24" s="17" t="str">
        <x:v>School fully inundated; operations stopped.</x:v>
      </x:c>
    </x:row>
    <x:row r="25">
      <x:c r="A25" s="17" t="str">
        <x:v>EVT-JB-2025-024</x:v>
      </x:c>
      <x:c r="B25" s="17" t="str">
        <x:v>2025-03-20</x:v>
      </x:c>
      <x:c r="C25" s="17" t="str">
        <x:v>DG-JB-20250319-20250324</x:v>
      </x:c>
      <x:c r="D25" s="17" t="str">
        <x:v>SK Taman Tampoi Utama</x:v>
      </x:c>
      <x:c r="E25" s="17" t="str">
        <x:v>S2025-020</x:v>
      </x:c>
      <x:c r="F25" s="17" t="str">
        <x:v>SK Taman Tampoi Utama</x:v>
      </x:c>
      <x:c r="G25" s="17" t="str">
        <x:v>Flood-related critical-facility impact</x:v>
      </x:c>
      <x:c r="H25" s="17" t="str">
        <x:v>A/B</x:v>
      </x:c>
      <x:c r="I25" s="17" t="str">
        <x:v>SRC_R2025_RTM_TAMPOI_20250321</x:v>
      </x:c>
      <x:c r="J25" s="17" t="str"/>
      <x:c r="K25" s="17" t="str">
        <x:v>Exact status date within continuing flood episode</x:v>
      </x:c>
      <x:c r="L25" s="17" t="str">
        <x:v>Teachers and pupils trapped after school compound/building was inundated.</x:v>
      </x:c>
    </x:row>
    <x:row r="26">
      <x:c r="A26" s="17" t="str">
        <x:v>EVT-JB-2025-025</x:v>
      </x:c>
      <x:c r="B26" s="17" t="str">
        <x:v>2025-03-21</x:v>
      </x:c>
      <x:c r="C26" s="17" t="str">
        <x:v>DG-JB-20250319-20250324</x:v>
      </x:c>
      <x:c r="D26" s="17" t="str">
        <x:v>KD Kangkar Tebrau</x:v>
      </x:c>
      <x:c r="E26" s="17" t="str">
        <x:v>S2025-021</x:v>
      </x:c>
      <x:c r="F26" s="17" t="str">
        <x:v>KD Kangkar Tebrau</x:v>
      </x:c>
      <x:c r="G26" s="17" t="str">
        <x:v>Flood-related critical-facility impact</x:v>
      </x:c>
      <x:c r="H26" s="17" t="str">
        <x:v>A/B</x:v>
      </x:c>
      <x:c r="I26" s="17" t="str">
        <x:v>SRC_R2025_NADMA_SITREP_20250322</x:v>
      </x:c>
      <x:c r="J26" s="17" t="str"/>
      <x:c r="K26" s="17" t="str">
        <x:v>Exact status date within continuing flood episode</x:v>
      </x:c>
      <x:c r="L26" s="17" t="str">
        <x:v>Flood-affected health facility; operations moved to KK Majidee.</x:v>
      </x:c>
    </x:row>
    <x:row r="27">
      <x:c r="A27" s="17" t="str">
        <x:v>EVT-JB-2025-026</x:v>
      </x:c>
      <x:c r="B27" s="17" t="str">
        <x:v>2025-03-21</x:v>
      </x:c>
      <x:c r="C27" s="17" t="str">
        <x:v>DG-JB-20250319-20250324</x:v>
      </x:c>
      <x:c r="D27" s="17" t="str">
        <x:v>KD Maju Jaya</x:v>
      </x:c>
      <x:c r="E27" s="17" t="str">
        <x:v>S2025-022</x:v>
      </x:c>
      <x:c r="F27" s="17" t="str">
        <x:v>KD Maju Jaya</x:v>
      </x:c>
      <x:c r="G27" s="17" t="str">
        <x:v>Flood-related critical-facility impact</x:v>
      </x:c>
      <x:c r="H27" s="17" t="str">
        <x:v>A/B</x:v>
      </x:c>
      <x:c r="I27" s="17" t="str">
        <x:v>SRC_R2025_NADMA_SITREP_20250322</x:v>
      </x:c>
      <x:c r="J27" s="17" t="str"/>
      <x:c r="K27" s="17" t="str">
        <x:v>Exact status date within continuing flood episode</x:v>
      </x:c>
      <x:c r="L27" s="17" t="str">
        <x:v>Flood-affected health facility; remained operational.</x:v>
      </x:c>
    </x:row>
    <x:row r="28">
      <x:c r="A28" s="17" t="str">
        <x:v>EVT-JB-2025-027</x:v>
      </x:c>
      <x:c r="B28" s="17" t="str">
        <x:v>2025-03-21</x:v>
      </x:c>
      <x:c r="C28" s="17" t="str">
        <x:v>DG-JB-20250319-20250324</x:v>
      </x:c>
      <x:c r="D28" s="17" t="str">
        <x:v>KD Plentong</x:v>
      </x:c>
      <x:c r="E28" s="17" t="str">
        <x:v>S2025-023</x:v>
      </x:c>
      <x:c r="F28" s="17" t="str">
        <x:v>KD Plentong</x:v>
      </x:c>
      <x:c r="G28" s="17" t="str">
        <x:v>Flood-related critical-facility impact</x:v>
      </x:c>
      <x:c r="H28" s="17" t="str">
        <x:v>A/B</x:v>
      </x:c>
      <x:c r="I28" s="17" t="str">
        <x:v>SRC_R2025_NADMA_SITREP_20250322</x:v>
      </x:c>
      <x:c r="J28" s="17" t="str"/>
      <x:c r="K28" s="17" t="str">
        <x:v>Exact status date within continuing flood episode</x:v>
      </x:c>
      <x:c r="L28" s="17" t="str">
        <x:v>Flood-affected health facility; remained operational.</x:v>
      </x:c>
    </x:row>
    <x:row r="29">
      <x:c r="A29" s="17" t="str">
        <x:v>EVT-JB-2025-028</x:v>
      </x:c>
      <x:c r="B29" s="17" t="str">
        <x:v>2025-03-20</x:v>
      </x:c>
      <x:c r="C29" s="17" t="str">
        <x:v>DG-JB-20250319-20250324</x:v>
      </x:c>
      <x:c r="D29" s="17" t="str">
        <x:v>FT003 Johor Bahru–Endau, Sec 21.0–21.8 (PS Tebrau)</x:v>
      </x:c>
      <x:c r="E29" s="17" t="str">
        <x:v>S2025-024</x:v>
      </x:c>
      <x:c r="F29" s="17" t="str">
        <x:v>FT003 Johor Bahru–Endau Sec 21.0–21.8</x:v>
      </x:c>
      <x:c r="G29" s="17" t="str">
        <x:v>Flash-flood road disruption</x:v>
      </x:c>
      <x:c r="H29" s="17" t="str">
        <x:v>A</x:v>
      </x:c>
      <x:c r="I29" s="17" t="str">
        <x:v>SRC_R2025_NADMA_SITREP_20250322</x:v>
      </x:c>
      <x:c r="J29" s="17" t="str"/>
      <x:c r="K29" s="17" t="str">
        <x:v>Exact JKR incident date and road section</x:v>
      </x:c>
      <x:c r="L29" s="17" t="str">
        <x:v>JKR SITREP provides route/section geometry reference; lane status: One lane open.</x:v>
      </x:c>
    </x:row>
    <x:row r="30">
      <x:c r="A30" s="17" t="str">
        <x:v>EVT-JB-2025-029</x:v>
      </x:c>
      <x:c r="B30" s="17" t="str">
        <x:v>2025-03-20</x:v>
      </x:c>
      <x:c r="C30" s="17" t="str">
        <x:v>DG-JB-20250319-20250324</x:v>
      </x:c>
      <x:c r="D30" s="17" t="str">
        <x:v>FT003 Jalan Johor Bahru–Kota Tinggi, Sec 9.1–10.0 (Pasar Borong Pandan)</x:v>
      </x:c>
      <x:c r="E30" s="17" t="str">
        <x:v>S2025-025</x:v>
      </x:c>
      <x:c r="F30" s="17" t="str">
        <x:v>FT003 Jalan Johor Bahru–Kota Tinggi Sec 9.1–10.0</x:v>
      </x:c>
      <x:c r="G30" s="17" t="str">
        <x:v>Flash-flood road disruption</x:v>
      </x:c>
      <x:c r="H30" s="17" t="str">
        <x:v>A</x:v>
      </x:c>
      <x:c r="I30" s="17" t="str">
        <x:v>SRC_R2025_NADMA_SITREP_20250322</x:v>
      </x:c>
      <x:c r="J30" s="17" t="str"/>
      <x:c r="K30" s="17" t="str">
        <x:v>Exact JKR incident date and road section</x:v>
      </x:c>
      <x:c r="L30" s="17" t="str">
        <x:v>JKR SITREP provides route/section geometry reference; lane status: Closed.</x:v>
      </x:c>
    </x:row>
    <x:row r="31">
      <x:c r="A31" s="17" t="str">
        <x:v>EVT-JB-2025-030</x:v>
      </x:c>
      <x:c r="B31" s="17" t="str">
        <x:v>2025-03-20</x:v>
      </x:c>
      <x:c r="C31" s="17" t="str">
        <x:v>DG-JB-20250319-20250324</x:v>
      </x:c>
      <x:c r="D31" s="17" t="str">
        <x:v>FT01 Jalan Johor Bahru–Senai, Sec 19.6–20.0 (U-turn MBIP / Pintu Masuk UTM)</x:v>
      </x:c>
      <x:c r="E31" s="17" t="str">
        <x:v>S2025-026</x:v>
      </x:c>
      <x:c r="F31" s="17" t="str">
        <x:v>FT01 Jalan Johor Bahru–Senai Sec 19.6–20.0</x:v>
      </x:c>
      <x:c r="G31" s="17" t="str">
        <x:v>Flash-flood road disruption</x:v>
      </x:c>
      <x:c r="H31" s="17" t="str">
        <x:v>A</x:v>
      </x:c>
      <x:c r="I31" s="17" t="str">
        <x:v>SRC_R2025_NADMA_SITREP_20250322</x:v>
      </x:c>
      <x:c r="J31" s="17" t="str"/>
      <x:c r="K31" s="17" t="str">
        <x:v>Exact JKR incident date and road section</x:v>
      </x:c>
      <x:c r="L31" s="17" t="str">
        <x:v>JKR SITREP provides route/section geometry reference; lane status: Closed.</x:v>
      </x:c>
    </x:row>
    <x:row r="32">
      <x:c r="A32" s="17" t="str">
        <x:v>EVT-JB-2025-031</x:v>
      </x:c>
      <x:c r="B32" s="17" t="str">
        <x:v>2025-03-20</x:v>
      </x:c>
      <x:c r="C32" s="17" t="str">
        <x:v>DG-JB-20250319-20250324</x:v>
      </x:c>
      <x:c r="D32" s="17" t="str">
        <x:v>FT017 Lebuhraya Pasir Gudang, Sec 10.20–10.70</x:v>
      </x:c>
      <x:c r="E32" s="17" t="str">
        <x:v>S2025-027</x:v>
      </x:c>
      <x:c r="F32" s="17" t="str">
        <x:v>FT017 Lebuhraya Pasir Gudang Sec 10.20–10.70</x:v>
      </x:c>
      <x:c r="G32" s="17" t="str">
        <x:v>Flash-flood road disruption</x:v>
      </x:c>
      <x:c r="H32" s="17" t="str">
        <x:v>A</x:v>
      </x:c>
      <x:c r="I32" s="17" t="str">
        <x:v>SRC_R2025_NADMA_SITREP_20250322</x:v>
      </x:c>
      <x:c r="J32" s="17" t="str"/>
      <x:c r="K32" s="17" t="str">
        <x:v>Exact JKR incident date and road section</x:v>
      </x:c>
      <x:c r="L32" s="17" t="str">
        <x:v>JKR SITREP provides route/section geometry reference; lane status: One lane open.</x:v>
      </x:c>
    </x:row>
    <x:row r="33">
      <x:c r="A33" s="17" t="str">
        <x:v>EVT-JB-2025-032</x:v>
      </x:c>
      <x:c r="B33" s="17" t="str">
        <x:v>2025-03-20</x:v>
      </x:c>
      <x:c r="C33" s="17" t="str">
        <x:v>DG-JB-20250319-20250324</x:v>
      </x:c>
      <x:c r="D33" s="17" t="str">
        <x:v>FT017 Lebuhraya Pasir Gudang, Sec 21.0–21.3 (Bawah Jambatan Seri Alam)</x:v>
      </x:c>
      <x:c r="E33" s="17" t="str">
        <x:v>S2025-028</x:v>
      </x:c>
      <x:c r="F33" s="17" t="str">
        <x:v>FT017 Lebuhraya Pasir Gudang Sec 21.0–21.3</x:v>
      </x:c>
      <x:c r="G33" s="17" t="str">
        <x:v>Flash-flood road disruption</x:v>
      </x:c>
      <x:c r="H33" s="17" t="str">
        <x:v>A</x:v>
      </x:c>
      <x:c r="I33" s="17" t="str">
        <x:v>SRC_R2025_NADMA_SITREP_20250322</x:v>
      </x:c>
      <x:c r="J33" s="17" t="str"/>
      <x:c r="K33" s="17" t="str">
        <x:v>Exact JKR incident date and road section</x:v>
      </x:c>
      <x:c r="L33" s="17" t="str">
        <x:v>JKR SITREP provides route/section geometry reference; lane status: One lane open.</x:v>
      </x:c>
    </x:row>
    <x:row r="34">
      <x:c r="A34" s="17" t="str">
        <x:v>EVT-JB-2025-033</x:v>
      </x:c>
      <x:c r="B34" s="17" t="str">
        <x:v>2025-03-20</x:v>
      </x:c>
      <x:c r="C34" s="17" t="str">
        <x:v>DG-JB-20250319-20250324</x:v>
      </x:c>
      <x:c r="D34" s="17" t="str">
        <x:v>J105 Jalan Maju Jaya–Seelong, Sec 5.0–5.5 (Shell Tiong Nam)</x:v>
      </x:c>
      <x:c r="E34" s="17" t="str">
        <x:v>S2025-029</x:v>
      </x:c>
      <x:c r="F34" s="17" t="str">
        <x:v>J105 Jalan Maju Jaya–Seelong Sec 5.0–5.5</x:v>
      </x:c>
      <x:c r="G34" s="17" t="str">
        <x:v>Flash-flood road disruption</x:v>
      </x:c>
      <x:c r="H34" s="17" t="str">
        <x:v>A</x:v>
      </x:c>
      <x:c r="I34" s="17" t="str">
        <x:v>SRC_R2025_NADMA_SITREP_20250322</x:v>
      </x:c>
      <x:c r="J34" s="17" t="str"/>
      <x:c r="K34" s="17" t="str">
        <x:v>Exact JKR incident date and road section</x:v>
      </x:c>
      <x:c r="L34" s="17" t="str">
        <x:v>JKR SITREP provides route/section geometry reference; lane status: One lane open.</x:v>
      </x:c>
    </x:row>
    <x:row r="35">
      <x:c r="A35" s="17" t="str">
        <x:v>EVT-JB-2025-034</x:v>
      </x:c>
      <x:c r="B35" s="17" t="str">
        <x:v>2025-03-20</x:v>
      </x:c>
      <x:c r="C35" s="17" t="str">
        <x:v>DG-JB-20250319-20250324</x:v>
      </x:c>
      <x:c r="D35" s="17" t="str">
        <x:v>J105 Jalan Maju Jaya–Seelong, Sec 7.0–7.5 (Madrasah Tahfiz/Tok Wan Catering)</x:v>
      </x:c>
      <x:c r="E35" s="17" t="str">
        <x:v>S2025-030</x:v>
      </x:c>
      <x:c r="F35" s="17" t="str">
        <x:v>J105 Jalan Maju Jaya–Seelong Sec 7.0–7.5</x:v>
      </x:c>
      <x:c r="G35" s="17" t="str">
        <x:v>Flash-flood road disruption</x:v>
      </x:c>
      <x:c r="H35" s="17" t="str">
        <x:v>A</x:v>
      </x:c>
      <x:c r="I35" s="17" t="str">
        <x:v>SRC_R2025_NADMA_SITREP_20250322</x:v>
      </x:c>
      <x:c r="J35" s="17" t="str"/>
      <x:c r="K35" s="17" t="str">
        <x:v>Exact JKR incident date and road section</x:v>
      </x:c>
      <x:c r="L35" s="17" t="str">
        <x:v>JKR SITREP provides route/section geometry reference; lane status: Heavy vehicles only.</x:v>
      </x:c>
    </x:row>
    <x:row r="36">
      <x:c r="A36" s="17" t="str">
        <x:v>EVT-JB-2025-035</x:v>
      </x:c>
      <x:c r="B36" s="17" t="str">
        <x:v>2025-03-21</x:v>
      </x:c>
      <x:c r="C36" s="17" t="str">
        <x:v>DG-JB-20250319-20250324</x:v>
      </x:c>
      <x:c r="D36" s="17" t="str">
        <x:v>J46 Jalan Ulu Pulai, Sec 2.0–2.3 (Warung Abah/Gerai Durian)</x:v>
      </x:c>
      <x:c r="E36" s="17" t="str">
        <x:v>S2025-031</x:v>
      </x:c>
      <x:c r="F36" s="17" t="str">
        <x:v>J46 Jalan Ulu Pulai Sec 2.0–2.3</x:v>
      </x:c>
      <x:c r="G36" s="17" t="str">
        <x:v>Flash-flood road disruption</x:v>
      </x:c>
      <x:c r="H36" s="17" t="str">
        <x:v>A</x:v>
      </x:c>
      <x:c r="I36" s="17" t="str">
        <x:v>SRC_R2025_NADMA_SITREP_20250322</x:v>
      </x:c>
      <x:c r="J36" s="17" t="str"/>
      <x:c r="K36" s="17" t="str">
        <x:v>Exact JKR incident date and road section</x:v>
      </x:c>
      <x:c r="L36" s="17" t="str">
        <x:v>JKR SITREP provides route/section geometry reference; lane status: Heavy vehicles only.</x:v>
      </x:c>
    </x:row>
    <x:row r="37">
      <x:c r="A37" s="17" t="str">
        <x:v>EVT-JB-2025-036</x:v>
      </x:c>
      <x:c r="B37" s="17" t="str">
        <x:v>2025-04-16</x:v>
      </x:c>
      <x:c r="C37" s="17" t="str">
        <x:v>DG-JB-20250416</x:v>
      </x:c>
      <x:c r="D37" s="17" t="str">
        <x:v>Lebuhraya Pasir Gudang near Taman Rinting interchange</x:v>
      </x:c>
      <x:c r="E37" s="17" t="str">
        <x:v>S2025-032</x:v>
      </x:c>
      <x:c r="F37" s="17" t="str">
        <x:v>Lebuhraya Pasir Gudang near Taman Rinting interchange</x:v>
      </x:c>
      <x:c r="G37" s="17" t="str">
        <x:v>Flash-flood road disruption</x:v>
      </x:c>
      <x:c r="H37" s="17" t="str">
        <x:v>A/B</x:v>
      </x:c>
      <x:c r="I37" s="17" t="str">
        <x:v>SRC_R2025_NADMA_20250416</x:v>
      </x:c>
      <x:c r="J37" s="17" t="str"/>
      <x:c r="K37" s="17" t="str">
        <x:v>Exact day</x:v>
      </x:c>
      <x:c r="L37" s="17" t="str">
        <x:v>About 0.5 m floodwater; traffic toward Permas Jaya congested for nearly 1 km.</x:v>
      </x:c>
    </x:row>
    <x:row r="38">
      <x:c r="A38" s="17" t="str">
        <x:v>EVT-JB-2025-037</x:v>
      </x:c>
      <x:c r="B38" s="17" t="str">
        <x:v>2025-09-11</x:v>
      </x:c>
      <x:c r="C38" s="17" t="str">
        <x:v>DG-JB-20250911</x:v>
      </x:c>
      <x:c r="D38" s="17" t="str">
        <x:v>Bangunan Lily, Hospital Sultanah Aminah</x:v>
      </x:c>
      <x:c r="E38" s="17" t="str">
        <x:v>S2025-033</x:v>
      </x:c>
      <x:c r="F38" s="17" t="str">
        <x:v>Bangunan Lily, Hospital Sultanah Aminah</x:v>
      </x:c>
      <x:c r="G38" s="17" t="str">
        <x:v>Flash flood / critical-facility inundation</x:v>
      </x:c>
      <x:c r="H38" s="17" t="str">
        <x:v>A/B</x:v>
      </x:c>
      <x:c r="I38" s="17" t="str">
        <x:v>SRC_R2025_BERNAMA_20250911</x:v>
      </x:c>
      <x:c r="J38" s="17" t="str">
        <x:v>SRC_R2025_SINAR_20250911</x:v>
      </x:c>
      <x:c r="K38" s="17" t="str">
        <x:v>Exact day</x:v>
      </x:c>
      <x:c r="L38" s="17" t="str">
        <x:v>Building-specific HSA event; do not substitute the whole HSA campus polygon as flood footprint.</x:v>
      </x:c>
    </x:row>
    <x:row r="39">
      <x:c r="A39" s="17" t="str">
        <x:v>EVT-JB-2025-038</x:v>
      </x:c>
      <x:c r="B39" s="17" t="str">
        <x:v>2025-12-12</x:v>
      </x:c>
      <x:c r="C39" s="17" t="str">
        <x:v>DG-JB-20251212</x:v>
      </x:c>
      <x:c r="D39" s="17" t="str">
        <x:v>Jalan Kolam Air</x:v>
      </x:c>
      <x:c r="E39" s="17" t="str">
        <x:v>S2025-034</x:v>
      </x:c>
      <x:c r="F39" s="17" t="str">
        <x:v>Jalan Kolam Ayer</x:v>
      </x:c>
      <x:c r="G39" s="17" t="str">
        <x:v>Flash flood / urban inundation</x:v>
      </x:c>
      <x:c r="H39" s="17" t="str">
        <x:v>B</x:v>
      </x:c>
      <x:c r="I39" s="17" t="str">
        <x:v>SRC_R2025_SINAR_20251212</x:v>
      </x:c>
      <x:c r="J39" s="17" t="str">
        <x:v>SRC_R2025_KOSMO_20251212</x:v>
      </x:c>
      <x:c r="K39" s="17" t="str">
        <x:v>Exact day</x:v>
      </x:c>
      <x:c r="L39" s="17" t="str">
        <x:v>Direct road flooding.</x:v>
      </x:c>
    </x:row>
    <x:row r="40">
      <x:c r="A40" s="17" t="str">
        <x:v>EVT-JB-2025-039</x:v>
      </x:c>
      <x:c r="B40" s="17" t="str">
        <x:v>2025-12-12</x:v>
      </x:c>
      <x:c r="C40" s="17" t="str">
        <x:v>DG-JB-20251212</x:v>
      </x:c>
      <x:c r="D40" s="17" t="str">
        <x:v>Nong Chik</x:v>
      </x:c>
      <x:c r="E40" s="17" t="str">
        <x:v>S2025-035</x:v>
      </x:c>
      <x:c r="F40" s="17" t="str">
        <x:v>Taman Nong Chik</x:v>
      </x:c>
      <x:c r="G40" s="17" t="str">
        <x:v>Flash flood / urban inundation</x:v>
      </x:c>
      <x:c r="H40" s="17" t="str">
        <x:v>B</x:v>
      </x:c>
      <x:c r="I40" s="17" t="str">
        <x:v>SRC_R2025_SINAR_20251212</x:v>
      </x:c>
      <x:c r="J40" s="17" t="str"/>
      <x:c r="K40" s="17" t="str">
        <x:v>Exact day</x:v>
      </x:c>
      <x:c r="L40" s="17" t="str">
        <x:v>Flooding reported around Nong Chik.</x:v>
      </x:c>
    </x:row>
    <x:row r="41">
      <x:c r="A41" s="17" t="str">
        <x:v>EVT-JB-2025-040</x:v>
      </x:c>
      <x:c r="B41" s="17" t="str">
        <x:v>2025-12-12</x:v>
      </x:c>
      <x:c r="C41" s="17" t="str">
        <x:v>DG-JB-20251212</x:v>
      </x:c>
      <x:c r="D41" s="17" t="str">
        <x:v>Jalan Sungai Chat</x:v>
      </x:c>
      <x:c r="E41" s="17" t="str">
        <x:v>S2025-036</x:v>
      </x:c>
      <x:c r="F41" s="17" t="str">
        <x:v>Jalan Sungai Chat</x:v>
      </x:c>
      <x:c r="G41" s="17" t="str">
        <x:v>Flash flood / urban inundation</x:v>
      </x:c>
      <x:c r="H41" s="17" t="str">
        <x:v>B</x:v>
      </x:c>
      <x:c r="I41" s="17" t="str">
        <x:v>SRC_R2025_SINAR_20251212</x:v>
      </x:c>
      <x:c r="J41" s="17" t="str"/>
      <x:c r="K41" s="17" t="str">
        <x:v>Exact day</x:v>
      </x:c>
      <x:c r="L41" s="17" t="str">
        <x:v>Direct road flooding.</x:v>
      </x:c>
    </x:row>
    <x:row r="42">
      <x:c r="A42" s="17" t="str">
        <x:v>EVT-JB-2025-041</x:v>
      </x:c>
      <x:c r="B42" s="17" t="str">
        <x:v>2025-12-12</x:v>
      </x:c>
      <x:c r="C42" s="17" t="str">
        <x:v>DG-JB-20251212</x:v>
      </x:c>
      <x:c r="D42" s="17" t="str">
        <x:v>Tasik Merdeka</x:v>
      </x:c>
      <x:c r="E42" s="17" t="str">
        <x:v>S2025-037</x:v>
      </x:c>
      <x:c r="F42" s="17" t="str">
        <x:v>Tasik Merdeka</x:v>
      </x:c>
      <x:c r="G42" s="17" t="str">
        <x:v>Flash flood / urban inundation</x:v>
      </x:c>
      <x:c r="H42" s="17" t="str">
        <x:v>B</x:v>
      </x:c>
      <x:c r="I42" s="17" t="str">
        <x:v>SRC_R2025_SINAR_20251212</x:v>
      </x:c>
      <x:c r="J42" s="17" t="str"/>
      <x:c r="K42" s="17" t="str">
        <x:v>Exact day</x:v>
      </x:c>
      <x:c r="L42" s="17" t="str">
        <x:v>Flooded low-lying area.</x:v>
      </x:c>
    </x:row>
    <x:row r="43">
      <x:c r="A43" s="17" t="str">
        <x:v>EVT-JB-2025-042</x:v>
      </x:c>
      <x:c r="B43" s="17" t="str">
        <x:v>2025-12-12</x:v>
      </x:c>
      <x:c r="C43" s="17" t="str">
        <x:v>DG-JB-20251212</x:v>
      </x:c>
      <x:c r="D43" s="17" t="str">
        <x:v>Kampung Mohd Amin / Jalan Md Amin</x:v>
      </x:c>
      <x:c r="E43" s="17" t="str">
        <x:v>S2025-038</x:v>
      </x:c>
      <x:c r="F43" s="17" t="str">
        <x:v>Kampung Mohd Amin / Jalan Md Amin context</x:v>
      </x:c>
      <x:c r="G43" s="17" t="str">
        <x:v>Flash flood / urban inundation</x:v>
      </x:c>
      <x:c r="H43" s="17" t="str">
        <x:v>B</x:v>
      </x:c>
      <x:c r="I43" s="17" t="str">
        <x:v>SRC_R2025_STAR_RESCUE_20251212</x:v>
      </x:c>
      <x:c r="J43" s="17" t="str">
        <x:v>SRC_R2025_MALAYSIAAKTIF_20251213</x:v>
      </x:c>
      <x:c r="K43" s="17" t="str">
        <x:v>Exact day</x:v>
      </x:c>
      <x:c r="L43" s="17" t="str">
        <x:v>Kindergarten and homes inundated; 34 rescued.</x:v>
      </x:c>
    </x:row>
    <x:row r="44">
      <x:c r="A44" s="17" t="str">
        <x:v>EVT-JB-2025-043</x:v>
      </x:c>
      <x:c r="B44" s="17" t="str">
        <x:v>2025-12-12</x:v>
      </x:c>
      <x:c r="C44" s="17" t="str">
        <x:v>DG-JB-20251212</x:v>
      </x:c>
      <x:c r="D44" s="17" t="str">
        <x:v>Kampung Pasir</x:v>
      </x:c>
      <x:c r="E44" s="17" t="str">
        <x:v>S2025-005</x:v>
      </x:c>
      <x:c r="F44" s="17" t="str">
        <x:v>Kampung Pasir</x:v>
      </x:c>
      <x:c r="G44" s="17" t="str">
        <x:v>Flash flood / urban inundation</x:v>
      </x:c>
      <x:c r="H44" s="17" t="str">
        <x:v>B</x:v>
      </x:c>
      <x:c r="I44" s="17" t="str">
        <x:v>SRC_R2025_AWANI_20251213</x:v>
      </x:c>
      <x:c r="J44" s="17" t="str"/>
      <x:c r="K44" s="17" t="str">
        <x:v>Exact day</x:v>
      </x:c>
      <x:c r="L44" s="17" t="str">
        <x:v>Separate baby rescue from flooded caregiver's house; incident occurred 12 Dec.</x:v>
      </x:c>
    </x:row>
    <x:row r="45">
      <x:c r="A45" s="17" t="str">
        <x:v>EVT-JB-2025-044</x:v>
      </x:c>
      <x:c r="B45" s="17" t="str">
        <x:v>2025-12-12</x:v>
      </x:c>
      <x:c r="C45" s="17" t="str">
        <x:v>DG-JB-20251212</x:v>
      </x:c>
      <x:c r="D45" s="17" t="str">
        <x:v>Jalan Wong Ah Fook</x:v>
      </x:c>
      <x:c r="E45" s="17" t="str">
        <x:v>S2025-039</x:v>
      </x:c>
      <x:c r="F45" s="17" t="str">
        <x:v>Jalan Wong Ah Fook</x:v>
      </x:c>
      <x:c r="G45" s="17" t="str">
        <x:v>Flash flood / urban inundation</x:v>
      </x:c>
      <x:c r="H45" s="17" t="str">
        <x:v>B</x:v>
      </x:c>
      <x:c r="I45" s="17" t="str">
        <x:v>SRC_R2025_KOSMO_20251212</x:v>
      </x:c>
      <x:c r="J45" s="17" t="str"/>
      <x:c r="K45" s="17" t="str">
        <x:v>Exact day</x:v>
      </x:c>
      <x:c r="L45" s="17" t="str">
        <x:v>Directly named among flooded/affected city roads.</x:v>
      </x:c>
    </x:row>
    <x:row r="46">
      <x:c r="A46" s="17" t="str">
        <x:v>EVT-JB-2025-045</x:v>
      </x:c>
      <x:c r="B46" s="17" t="str">
        <x:v>2025-12-12</x:v>
      </x:c>
      <x:c r="C46" s="17" t="str">
        <x:v>DG-JB-20251212</x:v>
      </x:c>
      <x:c r="D46" s="17" t="str">
        <x:v>Jalan Tun Abdul Razak</x:v>
      </x:c>
      <x:c r="E46" s="17" t="str">
        <x:v>S2025-040</x:v>
      </x:c>
      <x:c r="F46" s="17" t="str">
        <x:v>Jalan Tun Abdul Razak</x:v>
      </x:c>
      <x:c r="G46" s="17" t="str">
        <x:v>Flash flood / urban inundation</x:v>
      </x:c>
      <x:c r="H46" s="17" t="str">
        <x:v>B</x:v>
      </x:c>
      <x:c r="I46" s="17" t="str">
        <x:v>SRC_R2025_KOSMO_20251212</x:v>
      </x:c>
      <x:c r="J46" s="17" t="str"/>
      <x:c r="K46" s="17" t="str">
        <x:v>Exact day</x:v>
      </x:c>
      <x:c r="L46" s="17" t="str">
        <x:v>Directly named among flooded/affected city roads.</x:v>
      </x:c>
    </x:row>
    <x:row r="47">
      <x:c r="A47" s="17" t="str">
        <x:v>EVT-JB-2025-046</x:v>
      </x:c>
      <x:c r="B47" s="17" t="str">
        <x:v>2025-12-12</x:v>
      </x:c>
      <x:c r="C47" s="17" t="str">
        <x:v>DG-JB-20251212</x:v>
      </x:c>
      <x:c r="D47" s="17" t="str">
        <x:v>Taman Pelangi</x:v>
      </x:c>
      <x:c r="E47" s="17" t="str">
        <x:v>S2025-041</x:v>
      </x:c>
      <x:c r="F47" s="17" t="str">
        <x:v>Taman Pelangi</x:v>
      </x:c>
      <x:c r="G47" s="17" t="str">
        <x:v>Flash flood / urban inundation</x:v>
      </x:c>
      <x:c r="H47" s="17" t="str">
        <x:v>B</x:v>
      </x:c>
      <x:c r="I47" s="17" t="str">
        <x:v>SRC_R2025_KOSMO_20251212</x:v>
      </x:c>
      <x:c r="J47" s="17" t="str"/>
      <x:c r="K47" s="17" t="str">
        <x:v>Exact day</x:v>
      </x:c>
      <x:c r="L47" s="17" t="str">
        <x:v>Directly named among affected areas.</x:v>
      </x:c>
    </x:row>
    <x:row r="48">
      <x:c r="A48" s="17" t="str">
        <x:v>EVT-JB-2025-047</x:v>
      </x:c>
      <x:c r="B48" s="17" t="str">
        <x:v>2025-12-13</x:v>
      </x:c>
      <x:c r="C48" s="17" t="str">
        <x:v>DG-JB-20251213</x:v>
      </x:c>
      <x:c r="D48" s="17" t="str">
        <x:v>Kampung Mohd Amin</x:v>
      </x:c>
      <x:c r="E48" s="17" t="str">
        <x:v>S2025-038</x:v>
      </x:c>
      <x:c r="F48" s="17" t="str">
        <x:v>Kampung Mohd Amin / Jalan Md Amin context</x:v>
      </x:c>
      <x:c r="G48" s="17" t="str">
        <x:v>Flash-flood recurrence</x:v>
      </x:c>
      <x:c r="H48" s="17" t="str">
        <x:v>B</x:v>
      </x:c>
      <x:c r="I48" s="17" t="str">
        <x:v>SRC_R2025_BERNAMA_IMAGE_20251213</x:v>
      </x:c>
      <x:c r="J48" s="17" t="str"/>
      <x:c r="K48" s="17" t="str">
        <x:v>Exact day from Bernama documentary caption</x:v>
      </x:c>
      <x:c r="L48" s="17" t="str">
        <x:v>Bernama describes Kampung Mohd Amin flooding on 13 Dec and notes flash flooding for two consecutive days; counted as a separate recurrence after 12 Dec event.</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9" hidden="0" customWidth="1"/>
    <x:col min="2" max="2" width="25" hidden="0" customWidth="1"/>
    <x:col min="3" max="3" width="25" hidden="0" customWidth="1"/>
    <x:col min="4" max="4" width="20" hidden="0" customWidth="1"/>
    <x:col min="5" max="5" width="92" hidden="0" customWidth="1"/>
  </x:cols>
  <x:sheetData>
    <x:row r="1">
      <x:c r="A1" s="54" t="str">
        <x:v>Dedup_Group_ID</x:v>
      </x:c>
      <x:c r="B1" s="54" t="str">
        <x:v>Episode_Date_or_Range</x:v>
      </x:c>
      <x:c r="C1" s="54" t="str">
        <x:v>Event_Type</x:v>
      </x:c>
      <x:c r="D1" s="54" t="str">
        <x:v>Event_Location_Rows</x:v>
      </x:c>
      <x:c r="E1" s="54" t="str">
        <x:v>Episode_Note</x:v>
      </x:c>
    </x:row>
    <x:row r="2">
      <x:c r="A2" s="17" t="str">
        <x:v>DG-JB-20250110-20250115</x:v>
      </x:c>
      <x:c r="B2" s="17" t="str">
        <x:v>2025-01-11 to 2025-01-15</x:v>
      </x:c>
      <x:c r="C2" s="17" t="str">
        <x:v>Monsoon flood</x:v>
      </x:c>
      <x:c r="D2" s="17" t="n">
        <x:v>5</x:v>
      </x:c>
      <x:c r="E2" s="17" t="str">
        <x:v>Johor Bahru became flood-affected on 11 Jan after rain from 10 Jan; one continuous January episode.</x:v>
      </x:c>
    </x:row>
    <x:row r="3">
      <x:c r="A3" s="17" t="str">
        <x:v>DG-JB-20250319-20250324</x:v>
      </x:c>
      <x:c r="B3" s="17" t="str">
        <x:v>2025-03-19 to 2025-03-24</x:v>
      </x:c>
      <x:c r="C3" s="17" t="str">
        <x:v>Major monsoon flood</x:v>
      </x:c>
      <x:c r="D3" s="17" t="n">
        <x:v>30</x:v>
      </x:c>
      <x:c r="E3" s="17" t="str">
        <x:v>Worst JB flood in roughly three decades according to MBJB mayor; communities, roads, schools and health facilities retained under one episode group.</x:v>
      </x:c>
    </x:row>
    <x:row r="4">
      <x:c r="A4" s="17" t="str">
        <x:v>DG-JB-20250416</x:v>
      </x:c>
      <x:c r="B4" s="17" t="str">
        <x:v>2025-04-16</x:v>
      </x:c>
      <x:c r="C4" s="17" t="str">
        <x:v>Flash flood</x:v>
      </x:c>
      <x:c r="D4" s="17" t="n">
        <x:v>1</x:v>
      </x:c>
      <x:c r="E4" s="17" t="str">
        <x:v>Lebuhraya Pasir Gudang near Taman Rinting interchange; ~0.5 m water and severe traffic congestion.</x:v>
      </x:c>
    </x:row>
    <x:row r="5">
      <x:c r="A5" s="17" t="str">
        <x:v>DG-JB-20250911</x:v>
      </x:c>
      <x:c r="B5" s="17" t="str">
        <x:v>2025-09-11</x:v>
      </x:c>
      <x:c r="C5" s="17" t="str">
        <x:v>Flash flood</x:v>
      </x:c>
      <x:c r="D5" s="17" t="n">
        <x:v>1</x:v>
      </x:c>
      <x:c r="E5" s="17" t="str">
        <x:v>Building Lily, HSA; building-specific drainage/low-level issue.</x:v>
      </x:c>
    </x:row>
    <x:row r="6">
      <x:c r="A6" s="17" t="str">
        <x:v>DG-JB-20251212</x:v>
      </x:c>
      <x:c r="B6" s="17" t="str">
        <x:v>2025-12-12</x:v>
      </x:c>
      <x:c r="C6" s="17" t="str">
        <x:v>Urban flash flood</x:v>
      </x:c>
      <x:c r="D6" s="17" t="n">
        <x:v>9</x:v>
      </x:c>
      <x:c r="E6" s="17" t="str">
        <x:v>City-centre/low-lying roads and residential areas; includes rescue at Kampung Mohd Amin and Kampung Pasir.</x:v>
      </x:c>
    </x:row>
    <x:row r="7">
      <x:c r="A7" s="17" t="str">
        <x:v>DG-JB-20251213</x:v>
      </x:c>
      <x:c r="B7" s="17" t="str">
        <x:v>2025-12-13</x:v>
      </x:c>
      <x:c r="C7" s="17" t="str">
        <x:v>Flash-flood recurrence</x:v>
      </x:c>
      <x:c r="D7" s="17" t="n">
        <x:v>1</x:v>
      </x:c>
      <x:c r="E7" s="17" t="str">
        <x:v>Kampung Mohd Amin documented again by Bernama on the following day; retained as separate recurrence after two consecutive flood days.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35" hidden="0" customWidth="1"/>
    <x:col min="2" max="2" width="58" hidden="0" customWidth="1"/>
    <x:col min="3" max="3" width="38" hidden="0" customWidth="1"/>
    <x:col min="4" max="4" width="17" hidden="0" customWidth="1"/>
    <x:col min="5" max="5" width="16" hidden="0" customWidth="1"/>
    <x:col min="6" max="6" width="31" hidden="0" customWidth="1"/>
    <x:col min="7" max="7" width="72" hidden="0" customWidth="1"/>
    <x:col min="8" max="8" width="82" hidden="0" customWidth="1"/>
  </x:cols>
  <x:sheetData>
    <x:row r="1">
      <x:c r="A1" s="54" t="str">
        <x:v>Source_ID</x:v>
      </x:c>
      <x:c r="B1" s="54" t="str">
        <x:v>Source_Title</x:v>
      </x:c>
      <x:c r="C1" s="54" t="str">
        <x:v>Publisher</x:v>
      </x:c>
      <x:c r="D1" s="54" t="str">
        <x:v>Publication_Date</x:v>
      </x:c>
      <x:c r="E1" s="54" t="str">
        <x:v>Reliability_Tier</x:v>
      </x:c>
      <x:c r="F1" s="54" t="str">
        <x:v>Use</x:v>
      </x:c>
      <x:c r="G1" s="54" t="str">
        <x:v>Source_URL</x:v>
      </x:c>
      <x:c r="H1" s="54" t="str">
        <x:v>Evidence_Note</x:v>
      </x:c>
    </x:row>
    <x:row r="2">
      <x:c r="A2" s="17" t="str">
        <x:v>SRC_R2025_UTUSAN_20250111</x:v>
      </x:c>
      <x:c r="B2" s="17" t="str">
        <x:v>300 keluarga terjejas banjir di Kangkar Tebrau</x:v>
      </x:c>
      <x:c r="C2" s="17" t="str">
        <x:v>Utusan Malaysia</x:v>
      </x:c>
      <x:c r="D2" s="17" t="str">
        <x:v>2025-01-11</x:v>
      </x:c>
      <x:c r="E2" s="17" t="str">
        <x:v>B</x:v>
      </x:c>
      <x:c r="F2" s="17" t="str">
        <x:v>Exact January event/location evidence</x:v>
      </x:c>
      <x:c r="G2" s="17" t="str">
        <x:v>https://www.utusan.com.my/berita/2025/01/300-keluarga-terjejas-banjir-di-kangkar-tebrau/</x:v>
      </x:c>
      <x:c r="H2" s="17" t="str">
        <x:v>Direct community, SK Kangkar Tebrau and mosque inundation evidence.</x:v>
      </x:c>
    </x:row>
    <x:row r="3">
      <x:c r="A3" s="17" t="str">
        <x:v>SRC_R2025_BERNAMA_20250111</x:v>
      </x:c>
      <x:c r="B3" s="17" t="str">
        <x:v>Banjir: Mangsa Di Johor Terus Meningkat, Perak Kekal, Malam Ini</x:v>
      </x:c>
      <x:c r="C3" s="17" t="str">
        <x:v>Bernama</x:v>
      </x:c>
      <x:c r="D3" s="17" t="str">
        <x:v>2025-01-11</x:v>
      </x:c>
      <x:c r="E3" s="17" t="str">
        <x:v>B</x:v>
      </x:c>
      <x:c r="F3" s="17" t="str">
        <x:v>Exact January location evidence</x:v>
      </x:c>
      <x:c r="G3" s="17" t="str">
        <x:v>https://bernama.com/bm/news.php?id=2381630</x:v>
      </x:c>
      <x:c r="H3" s="17" t="str">
        <x:v>Bernama field observation: road/houses flooded at Kampung Paya Kenangan.</x:v>
      </x:c>
    </x:row>
    <x:row r="4">
      <x:c r="A4" s="17" t="str">
        <x:v>SRC_R2025_NADMA_20250113</x:v>
      </x:c>
      <x:c r="B4" s="17" t="str">
        <x:v>Flood evacuees rise in Johor</x:v>
      </x:c>
      <x:c r="C4" s="17" t="str">
        <x:v>NADMA / JPBN</x:v>
      </x:c>
      <x:c r="D4" s="17" t="str">
        <x:v>2025-01-13</x:v>
      </x:c>
      <x:c r="E4" s="17" t="str">
        <x:v>A</x:v>
      </x:c>
      <x:c r="F4" s="17" t="str">
        <x:v>January episode summary</x:v>
      </x:c>
      <x:c r="G4" s="17" t="str">
        <x:v>https://www.nadma.gov.my/bi/media-en/news/2235-flood-evacuees-rise-in-johor</x:v>
      </x:c>
      <x:c r="H4" s="17" t="str">
        <x:v>Johor Bahru worst-hit areas: Kampung Kangkar Tebrau, Kampung Paya Kenangan and Kampung Pasir.</x:v>
      </x:c>
    </x:row>
    <x:row r="5">
      <x:c r="A5" s="17" t="str">
        <x:v>SRC_R2025_NST_NADMA_20250113</x:v>
      </x:c>
      <x:c r="B5" s="17" t="str">
        <x:v>KPWKM/NST media monitoring: Flood evacuees rise in Johor</x:v>
      </x:c>
      <x:c r="C5" s="17" t="str">
        <x:v>KPWKM / New Straits Times</x:v>
      </x:c>
      <x:c r="D5" s="17" t="str">
        <x:v>2025-01-13</x:v>
      </x:c>
      <x:c r="E5" s="17" t="str">
        <x:v>A/B</x:v>
      </x:c>
      <x:c r="F5" s="17" t="str">
        <x:v>January corroboration</x:v>
      </x:c>
      <x:c r="G5" s="17" t="str">
        <x:v>https://kpwkm.gov.my/uploads/content-downloads/file_20250116124207.pdf</x:v>
      </x:c>
      <x:c r="H5" s="17" t="str">
        <x:v>Official media-monitoring copy repeats the same three worst-hit Johor Bahru locations.</x:v>
      </x:c>
    </x:row>
    <x:row r="6">
      <x:c r="A6" s="17" t="str">
        <x:v>SRC_R2025_NADMA_20250320</x:v>
      </x:c>
      <x:c r="B6" s="17" t="str">
        <x:v>Banjir: Tiga PPS dibuka di Johor Bahru, 68 penduduk terjejas</x:v>
      </x:c>
      <x:c r="C6" s="17" t="str">
        <x:v>NADMA / JPBN</x:v>
      </x:c>
      <x:c r="D6" s="17" t="str">
        <x:v>2025-03-20</x:v>
      </x:c>
      <x:c r="E6" s="17" t="str">
        <x:v>A</x:v>
      </x:c>
      <x:c r="F6" s="17" t="str">
        <x:v>Exact March origin-community evidence</x:v>
      </x:c>
      <x:c r="G6" s="17" t="str">
        <x:v>https://www.nadma.gov.my/bm/media-2/berita/3257-banjir-tiga-pps-dibuka-di-johor-bahru-68-penduduk-terjejas</x:v>
      </x:c>
      <x:c r="H6" s="17" t="str">
        <x:v>Names Kangkar Tebrau, Ulu Pandan, Bunga Ros, Paya Kenangan and Pasir Tebrau as flood-affected origin communities.</x:v>
      </x:c>
    </x:row>
    <x:row r="7">
      <x:c r="A7" s="17" t="str">
        <x:v>SRC_R2025_NADMA_20250320_OPS</x:v>
      </x:c>
      <x:c r="B7" s="17" t="str">
        <x:v>Johor dilanda banjir, 3 PPS dibuka</x:v>
      </x:c>
      <x:c r="C7" s="17" t="str">
        <x:v>NADMA / JPBN / JBPM</x:v>
      </x:c>
      <x:c r="D7" s="17" t="str">
        <x:v>2025-03-20</x:v>
      </x:c>
      <x:c r="E7" s="17" t="str">
        <x:v>A</x:v>
      </x:c>
      <x:c r="F7" s="17" t="str">
        <x:v>March rescue/operations evidence</x:v>
      </x:c>
      <x:c r="G7" s="17" t="str">
        <x:v>https://www.nadma.gov.my/bm/media-2/berita/3259-johor-dilanda-banjir-3-pps-dibuka</x:v>
      </x:c>
      <x:c r="H7" s="17" t="str">
        <x:v>Rescue/evacuation operations explicitly at Kampung Laut Skudai, Kangkar Tebrau and Kampung Pasir.</x:v>
      </x:c>
    </x:row>
    <x:row r="8">
      <x:c r="A8" s="17" t="str">
        <x:v>SRC_R2025_NADMA_20250320_ROAD</x:v>
      </x:c>
      <x:c r="B8" s="17" t="str">
        <x:v>Floods: Several locations near JB report rising waters amid continuous rainfall</x:v>
      </x:c>
      <x:c r="C8" s="17" t="str">
        <x:v>NADMA carrying JBPM report</x:v>
      </x:c>
      <x:c r="D8" s="17" t="str">
        <x:v>2025-03-20</x:v>
      </x:c>
      <x:c r="E8" s="17" t="str">
        <x:v>A/B</x:v>
      </x:c>
      <x:c r="F8" s="17" t="str">
        <x:v>Exact road/community evidence</x:v>
      </x:c>
      <x:c r="G8" s="17" t="str">
        <x:v>https://www.nadma.gov.my/bi/media-en/news/3261-floods-several-locations-near-jb-report-rising-waters-amid-continuous-rainfall</x:v>
      </x:c>
      <x:c r="H8" s="17" t="str">
        <x:v>JBPM monitored Paya Kenangan, Pasir Tebrau, Kangkar Tebrau, Bunga Ros; rescued resident along Jalan Sukun at Kampung Pasir.</x:v>
      </x:c>
    </x:row>
    <x:row r="9">
      <x:c r="A9" s="17" t="str">
        <x:v>SRC_R2025_MAYOR_20250328</x:v>
      </x:c>
      <x:c r="B9" s="17" t="str">
        <x:v>Banjir terburuk dalam tempoh 30 tahun - Datuk Bandar MBJB</x:v>
      </x:c>
      <x:c r="C9" s="17" t="str">
        <x:v>NADMA / MBJB Mayor</x:v>
      </x:c>
      <x:c r="D9" s="17" t="str">
        <x:v>2025-03-28</x:v>
      </x:c>
      <x:c r="E9" s="17" t="str">
        <x:v>A</x:v>
      </x:c>
      <x:c r="F9" s="17" t="str">
        <x:v>Official retrospective affected-area evidence</x:v>
      </x:c>
      <x:c r="G9" s="17" t="str">
        <x:v>https://www.nadma.gov.my/bi/media-en/news/3415-banjir-terburuk-dalam-tempoh-30-tahun-datuk-bandar-mbjb</x:v>
      </x:c>
      <x:c r="H9" s="17" t="str">
        <x:v>MBJB says 27 areas affected; public article names Pandan, Kangkar Tebrau, Desa Mutiara, Tampoi Utama, Kampung Pasir, Seri Serdang, Melayu Pandan, Belantik and highlights Tampoi Indah.</x:v>
      </x:c>
    </x:row>
    <x:row r="10">
      <x:c r="A10" s="17" t="str">
        <x:v>SRC_R2025_NADMA_20250322_AID</x:v>
      </x:c>
      <x:c r="B10" s="17" t="str">
        <x:v>Econsave Hulur Bantuan Kepada Mangsa Banjir di Johor Bahru</x:v>
      </x:c>
      <x:c r="C10" s="17" t="str">
        <x:v>NADMA carrying Kosmo report</x:v>
      </x:c>
      <x:c r="D10" s="17" t="str">
        <x:v>2025-03-22</x:v>
      </x:c>
      <x:c r="E10" s="17" t="str">
        <x:v>B</x:v>
      </x:c>
      <x:c r="F10" s="17" t="str">
        <x:v>Post-flood impact evidence</x:v>
      </x:c>
      <x:c r="G10" s="17" t="str">
        <x:v>https://www.nadma.gov.my/bm/media-2/berita/3317-econsave-hulur-bantuan-kepada-mangsa-banjir-di-johor-bahru</x:v>
      </x:c>
      <x:c r="H10" s="17" t="str">
        <x:v>Cleanup at Surau Desa Mutiara and severely affected nearby homes corroborates Desa Mutiara impact.</x:v>
      </x:c>
    </x:row>
    <x:row r="11">
      <x:c r="A11" s="17" t="str">
        <x:v>SRC_R2025_NADMA_20250321_TAMPOI</x:v>
      </x:c>
      <x:c r="B11" s="17" t="str">
        <x:v>43 guru, murid terkandas sekolah dinaiki air</x:v>
      </x:c>
      <x:c r="C11" s="17" t="str">
        <x:v>NADMA / JBPM</x:v>
      </x:c>
      <x:c r="D11" s="17" t="str">
        <x:v>2025-03-21</x:v>
      </x:c>
      <x:c r="E11" s="17" t="str">
        <x:v>A/B</x:v>
      </x:c>
      <x:c r="F11" s="17" t="str">
        <x:v>Exact facility inundation evidence</x:v>
      </x:c>
      <x:c r="G11" s="17" t="str">
        <x:v>https://www.nadma.gov.my/bi/media-en/news/3306-43-guru-murid-terkandas-sekolah-dinaiki-air</x:v>
      </x:c>
      <x:c r="H11" s="17" t="str">
        <x:v>SK Taman Tampoi Utama directly inundated; teachers and pupils trapped.</x:v>
      </x:c>
    </x:row>
    <x:row r="12">
      <x:c r="A12" s="17" t="str">
        <x:v>SRC_R2025_NADMA_20250325_TAMPOI</x:v>
      </x:c>
      <x:c r="B12" s="17" t="str">
        <x:v>Berulang-alik lebih 30 kali selamatkan murid terkandas akibat banjir</x:v>
      </x:c>
      <x:c r="C12" s="17" t="str">
        <x:v>NADMA</x:v>
      </x:c>
      <x:c r="D12" s="17" t="str">
        <x:v>2025-03-25</x:v>
      </x:c>
      <x:c r="E12" s="17" t="str">
        <x:v>B</x:v>
      </x:c>
      <x:c r="F12" s="17" t="str">
        <x:v>Tampoi flood corroboration</x:v>
      </x:c>
      <x:c r="G12" s="17" t="str">
        <x:v>https://www.nadma.gov.my/bm/media-2/berita/3380-berulang-alik-lebih-30-kali-selamatkan-murid-terkandas-akibat-banjir</x:v>
      </x:c>
      <x:c r="H12" s="17" t="str">
        <x:v>Confirms severe flood around Taman Tampoi Indah and SK Taman Tampoi Utama.</x:v>
      </x:c>
    </x:row>
    <x:row r="13">
      <x:c r="A13" s="17" t="str">
        <x:v>SRC_R2025_BERNAMA_SCHOOLS_20250320</x:v>
      </x:c>
      <x:c r="B13" s="17" t="str">
        <x:v>20 Sekolah Terjejas Akibat Banjir Di Johor</x:v>
      </x:c>
      <x:c r="C13" s="17" t="str">
        <x:v>Bernama</x:v>
      </x:c>
      <x:c r="D13" s="17" t="str">
        <x:v>2025-03-20</x:v>
      </x:c>
      <x:c r="E13" s="17" t="str">
        <x:v>A/B</x:v>
      </x:c>
      <x:c r="F13" s="17" t="str">
        <x:v>Exact facility-impact evidence</x:v>
      </x:c>
      <x:c r="G13" s="17" t="str">
        <x:v>https://www.bernama.com/bm/news.php?id=2404303</x:v>
      </x:c>
      <x:c r="H13" s="17" t="str">
        <x:v>SK Kangkar Tebrau and SK Kampung Maju Jaya in Johor Bahru fully inundated.</x:v>
      </x:c>
    </x:row>
    <x:row r="14">
      <x:c r="A14" s="17" t="str">
        <x:v>SRC_R2025_NADMA_SITREP_20250322</x:v>
      </x:c>
      <x:c r="B14" s="17" t="str">
        <x:v>Laporan Harian Bencana #19, 22 Mac 2025</x:v>
      </x:c>
      <x:c r="C14" s="17" t="str">
        <x:v>NADMA / JKR / KKM</x:v>
      </x:c>
      <x:c r="D14" s="17" t="str">
        <x:v>2025-03-22</x:v>
      </x:c>
      <x:c r="E14" s="17" t="str">
        <x:v>A</x:v>
      </x:c>
      <x:c r="F14" s="17" t="str">
        <x:v>Official road and health-facility impact evidence</x:v>
      </x:c>
      <x:c r="G14" s="17" t="str">
        <x:v>https://www.nadma.gov.my/images/2025/SITREP/SITREP_19_-_22_Mac_2025.pdf</x:v>
      </x:c>
      <x:c r="H14" s="17" t="str">
        <x:v>Provides 8 Johor Bahru JKR flood-affected road sections and 3 Johor Bahru health facilities affected as of 21 Mar.</x:v>
      </x:c>
    </x:row>
    <x:row r="15">
      <x:c r="A15" s="17" t="str">
        <x:v>SRC_R2025_DAP_20250324</x:v>
      </x:c>
      <x:c r="B15" s="17" t="str">
        <x:v>Unit Tindak DAP Johor bertindak pantas membantu mangsa banjir</x:v>
      </x:c>
      <x:c r="C15" s="17" t="str">
        <x:v>DAP Johor field team</x:v>
      </x:c>
      <x:c r="D15" s="17" t="str">
        <x:v>2025-03-24</x:v>
      </x:c>
      <x:c r="E15" s="17" t="str">
        <x:v>C</x:v>
      </x:c>
      <x:c r="F15" s="17" t="str">
        <x:v>Lower-tier field observation</x:v>
      </x:c>
      <x:c r="G15" s="17" t="str">
        <x:v>https://dapmalaysia.org/unit-tindak-dap-johor-bertindak-pantas-membantu-mangsa-banjir/</x:v>
      </x:c>
      <x:c r="H15" s="17" t="str">
        <x:v>Field observation identifies Perling among seriously affected areas; electricity cut after flood rose to around four feet.</x:v>
      </x:c>
    </x:row>
    <x:row r="16">
      <x:c r="A16" s="17" t="str">
        <x:v>SRC_R2025_NADMA_20250416</x:v>
      </x:c>
      <x:c r="B16" s="17" t="str">
        <x:v>Banjir kilat sebabkan Lebuhraya Pasir Gudang sesak</x:v>
      </x:c>
      <x:c r="C16" s="17" t="str">
        <x:v>NADMA carrying Utusan report</x:v>
      </x:c>
      <x:c r="D16" s="17" t="str">
        <x:v>2025-04-16</x:v>
      </x:c>
      <x:c r="E16" s="17" t="str">
        <x:v>A/B</x:v>
      </x:c>
      <x:c r="F16" s="17" t="str">
        <x:v>Exact road flash-flood evidence</x:v>
      </x:c>
      <x:c r="G16" s="17" t="str">
        <x:v>https://www.nadma.gov.my/bm/media-2/berita/3928-banjir-kilat-sebabkan-lebuhraya-pasir-gudang-sesak</x:v>
      </x:c>
      <x:c r="H16" s="17" t="str">
        <x:v>~0.5 m water near Taman Rinting interchange; traffic toward Permas Jaya severely congested.</x:v>
      </x:c>
    </x:row>
    <x:row r="17">
      <x:c r="A17" s="17" t="str">
        <x:v>SRC_R2025_BERNAMA_20250911</x:v>
      </x:c>
      <x:c r="B17" s="17" t="str">
        <x:v>Bangunan Lily HSA Dilanda Banjir Kilat, JPS Kenal Pasti Punca - Exco</x:v>
      </x:c>
      <x:c r="C17" s="17" t="str">
        <x:v>Bernama / Johor Exco / JPS</x:v>
      </x:c>
      <x:c r="D17" s="17" t="str">
        <x:v>2025-09-11</x:v>
      </x:c>
      <x:c r="E17" s="17" t="str">
        <x:v>A/B</x:v>
      </x:c>
      <x:c r="F17" s="17" t="str">
        <x:v>Exact critical-facility flash-flood evidence</x:v>
      </x:c>
      <x:c r="G17" s="17" t="str">
        <x:v>https://bernama.com/bm/news.php?id=2466592</x:v>
      </x:c>
      <x:c r="H17" s="17" t="str">
        <x:v>Building Lily at HSA flooded around 4 pm; building-specific event.</x:v>
      </x:c>
    </x:row>
    <x:row r="18">
      <x:c r="A18" s="17" t="str">
        <x:v>SRC_R2025_SINAR_20250911</x:v>
      </x:c>
      <x:c r="B18" s="17" t="str">
        <x:v>Banjir kilat landa bangunan Lili, Hospital Sultanah Aminah</x:v>
      </x:c>
      <x:c r="C18" s="17" t="str">
        <x:v>Sinar Harian</x:v>
      </x:c>
      <x:c r="D18" s="17" t="str">
        <x:v>2025-09-11</x:v>
      </x:c>
      <x:c r="E18" s="17" t="str">
        <x:v>B</x:v>
      </x:c>
      <x:c r="F18" s="17" t="str">
        <x:v>Critical-facility corroboration</x:v>
      </x:c>
      <x:c r="G18" s="17" t="str">
        <x:v>https://www.sinarharian.com.my/article/747616/edisi/johor/banjir-kilat-landa-bangunan-lili-hospital-sultanah-aminah</x:v>
      </x:c>
      <x:c r="H18" s="17" t="str">
        <x:v>Corroborates HSA Building Lily inundation after prolonged heavy rain.</x:v>
      </x:c>
    </x:row>
    <x:row r="19">
      <x:c r="A19" s="17" t="str">
        <x:v>SRC_R2025_SINAR_20251212</x:v>
      </x:c>
      <x:c r="B19" s="17" t="str">
        <x:v>Banjir kilat, bumbung pentas runtuh, pokok tumbang di Johor Bahru</x:v>
      </x:c>
      <x:c r="C19" s="17" t="str">
        <x:v>Sinar Harian</x:v>
      </x:c>
      <x:c r="D19" s="17" t="str">
        <x:v>2025-12-12</x:v>
      </x:c>
      <x:c r="E19" s="17" t="str">
        <x:v>B</x:v>
      </x:c>
      <x:c r="F19" s="17" t="str">
        <x:v>Exact urban flash-flood locations</x:v>
      </x:c>
      <x:c r="G19" s="17" t="str">
        <x:v>https://www.sinarharian.com.my/article/760321/edisi/johor/banjir-kilat-bumbung-pentas-runtuh-pokok-tumbang-di-johor-bahru</x:v>
      </x:c>
      <x:c r="H19" s="17" t="str">
        <x:v>Names Jalan Kolam Air, Nong Chik, Jalan Sungai Chat and Tasik Merdeka as flooded around 3:50 pm.</x:v>
      </x:c>
    </x:row>
    <x:row r="20">
      <x:c r="A20" s="17" t="str">
        <x:v>SRC_R2025_KOSMO_20251212</x:v>
      </x:c>
      <x:c r="B20" s="17" t="str">
        <x:v>Hujan lebat lebih 2 jam, Johor Bahru dilanda banjir kilat</x:v>
      </x:c>
      <x:c r="C20" s="17" t="str">
        <x:v>Kosmo</x:v>
      </x:c>
      <x:c r="D20" s="17" t="str">
        <x:v>2025-12-12</x:v>
      </x:c>
      <x:c r="E20" s="17" t="str">
        <x:v>B</x:v>
      </x:c>
      <x:c r="F20" s="17" t="str">
        <x:v>Additional urban locations</x:v>
      </x:c>
      <x:c r="G20" s="17" t="str">
        <x:v>https://www.kosmo.com.my/2025/12/12/video-hujan-lebat-lebih-2-jam-johor-bahru-dilanda-banjir-kilat/</x:v>
      </x:c>
      <x:c r="H20" s="17" t="str">
        <x:v>Names city centre, Jalan Wong Ah Fook, Jalan Tun Abdul Razak and Taman Pelangi.</x:v>
      </x:c>
    </x:row>
    <x:row r="21">
      <x:c r="A21" s="17" t="str">
        <x:v>SRC_R2025_STAR_RESCUE_20251212</x:v>
      </x:c>
      <x:c r="B21" s="17" t="str">
        <x:v>JB floods: 34 rescued from private kindergarten in Larkin</x:v>
      </x:c>
      <x:c r="C21" s="17" t="str">
        <x:v>The Star / JBPM</x:v>
      </x:c>
      <x:c r="D21" s="17" t="str">
        <x:v>2025-12-12</x:v>
      </x:c>
      <x:c r="E21" s="17" t="str">
        <x:v>B</x:v>
      </x:c>
      <x:c r="F21" s="17" t="str">
        <x:v>Exact rescue/location evidence</x:v>
      </x:c>
      <x:c r="G21" s="17" t="str">
        <x:v>https://www.thestar.com.my/news/nation/2025/12/12/jb-floods-34-rescued-from-private-kindergarten-in-larkin</x:v>
      </x:c>
      <x:c r="H21" s="17" t="str">
        <x:v>34 people evacuated from flooded kindergarten in Jalan Md Amin/Kampung Mohd Amin context.</x:v>
      </x:c>
    </x:row>
    <x:row r="22">
      <x:c r="A22" s="17" t="str">
        <x:v>SRC_R2025_MALAYSIAAKTIF_20251213</x:v>
      </x:c>
      <x:c r="B22" s="17" t="str">
        <x:v>Banjir Kilat Landa Kampung Mohd Amin</x:v>
      </x:c>
      <x:c r="C22" s="17" t="str">
        <x:v>MalaysiaAktif / JBPM</x:v>
      </x:c>
      <x:c r="D22" s="17" t="str">
        <x:v>2025-12-13</x:v>
      </x:c>
      <x:c r="E22" s="17" t="str">
        <x:v>B</x:v>
      </x:c>
      <x:c r="F22" s="17" t="str">
        <x:v>12 Dec event corroboration</x:v>
      </x:c>
      <x:c r="G22" s="17" t="str">
        <x:v>https://malaysiaaktif.my/2025/12/banjir-kilat-landa-kampung-mohd-amin/</x:v>
      </x:c>
      <x:c r="H22" s="17" t="str">
        <x:v>Report published 13 Dec explicitly says rescue/flood occurred the previous afternoon; homes and kindergarten inundated.</x:v>
      </x:c>
    </x:row>
    <x:row r="23">
      <x:c r="A23" s="17" t="str">
        <x:v>SRC_R2025_AWANI_20251213</x:v>
      </x:c>
      <x:c r="B23" s="17" t="str">
        <x:v>Banjir: 19 bayi antara 35 mangsa diselamatkan bomba</x:v>
      </x:c>
      <x:c r="C23" s="17" t="str">
        <x:v>Astro Awani carrying Bernama/JBPM</x:v>
      </x:c>
      <x:c r="D23" s="17" t="str">
        <x:v>2025-12-13</x:v>
      </x:c>
      <x:c r="E23" s="17" t="str">
        <x:v>B</x:v>
      </x:c>
      <x:c r="F23" s="17" t="str">
        <x:v>12 Dec rescue evidence</x:v>
      </x:c>
      <x:c r="G23" s="17" t="str">
        <x:v>https://www.astroawani.com/berita-malaysia/banjir-19-bayi-antara-35-mangsa-diselamatkan-bomba-551556/</x:v>
      </x:c>
      <x:c r="H23" s="17" t="str">
        <x:v>Also records rescue of a baby from a flooded caregiver's house at Kampung Pasir on 12 Dec.</x:v>
      </x:c>
    </x:row>
    <x:row r="24">
      <x:c r="A24" s="17" t="str">
        <x:v>SRC_R2025_BERNAMA_IMAGE_20251213</x:v>
      </x:c>
      <x:c r="B24" s="17" t="str">
        <x:v>JB11_13122025_BANJIR_KILAT</x:v>
      </x:c>
      <x:c r="C24" s="17" t="str">
        <x:v>Bernama Images</x:v>
      </x:c>
      <x:c r="D24" s="17" t="str">
        <x:v>2025-12-13</x:v>
      </x:c>
      <x:c r="E24" s="17" t="str">
        <x:v>B</x:v>
      </x:c>
      <x:c r="F24" s="17" t="str">
        <x:v>Documentary recurrence evidence</x:v>
      </x:c>
      <x:c r="G24" s="17" t="str">
        <x:v>https://imagesapps.bernama.com/images/2322/jb11-13122025-banjir-kilat</x:v>
      </x:c>
      <x:c r="H24" s="17" t="str">
        <x:v>Caption states Kampung Mohd Amin was flooded 'today' and flash flooding occurred for two consecutive days.</x:v>
      </x:c>
    </x:row>
    <x:row r="25">
      <x:c r="A25" s="17" t="str">
        <x:v>SRC_R2025_RMP_HOTSPOTS_20251204</x:v>
      </x:c>
      <x:c r="B25" s="17" t="str">
        <x:v>874 flood-risk locations identified statewide</x:v>
      </x:c>
      <x:c r="C25" s="17" t="str">
        <x:v>PDRM Johor</x:v>
      </x:c>
      <x:c r="D25" s="17" t="str">
        <x:v>2025-12-04</x:v>
      </x:c>
      <x:c r="E25" s="17" t="str">
        <x:v>A</x:v>
      </x:c>
      <x:c r="F25" s="17" t="str">
        <x:v>Risk context only</x:v>
      </x:c>
      <x:c r="G25" s="17" t="str">
        <x:v>https://www.rmp.gov.my/news-detail/2025/12/05/keratan-akhbar-pilihan-ada-874-lokasi-berisiko-banjir-04122025</x:v>
      </x:c>
      <x:c r="H25" s="17" t="str">
        <x:v>Johor Bahru had 51 identified flood-risk locations; not converted into dated events.</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16" hidden="0" customWidth="1"/>
    <x:col min="5" max="5" width="17" hidden="0" customWidth="1"/>
    <x:col min="6" max="6" width="17" hidden="0" customWidth="1"/>
    <x:col min="7" max="7" width="52" hidden="0" customWidth="1"/>
    <x:col min="8" max="8" width="45" hidden="0" customWidth="1"/>
    <x:col min="9" max="9" width="31" hidden="0" customWidth="1"/>
    <x:col min="10" max="10" width="72" hidden="0" customWidth="1"/>
    <x:col min="11" max="11" width="72" hidden="0" customWidth="1"/>
    <x:col min="12" max="12" width="17" hidden="0" customWidth="1"/>
  </x:cols>
  <x:sheetData>
    <x:row r="1">
      <x:c r="A1" s="54" t="str">
        <x:v>Spatial_Object_Key</x:v>
      </x:c>
      <x:c r="B1" s="54" t="str">
        <x:v>Canonical_Name</x:v>
      </x:c>
      <x:c r="C1" s="54" t="str">
        <x:v>Object_Type</x:v>
      </x:c>
      <x:c r="D1" s="54" t="str">
        <x:v>Point_GIS_Ready</x:v>
      </x:c>
      <x:c r="E1" s="54" t="str">
        <x:v>Longitude_WGS84</x:v>
      </x:c>
      <x:c r="F1" s="54" t="str">
        <x:v>Latitude_WGS84</x:v>
      </x:c>
      <x:c r="G1" s="54" t="str">
        <x:v>Point_Source</x:v>
      </x:c>
      <x:c r="H1" s="54" t="str">
        <x:v>Geometry_Status</x:v>
      </x:c>
      <x:c r="I1" s="54" t="str">
        <x:v>Polygon_ID</x:v>
      </x:c>
      <x:c r="J1" s="54" t="str">
        <x:v>Key_Conflict_or_Gap</x:v>
      </x:c>
      <x:c r="K1" s="54" t="str">
        <x:v>Next_Spatial_Action</x:v>
      </x:c>
      <x:c r="L1" s="54" t="str">
        <x:v>Event_Count_2025</x:v>
      </x:c>
    </x:row>
    <x:row r="2">
      <x:c r="A2" s="17" t="str">
        <x:v>S2025-001</x:v>
      </x:c>
      <x:c r="B2" s="17" t="str">
        <x:v>Kampung Kangkar Tebrau</x:v>
      </x:c>
      <x:c r="C2" s="17" t="str">
        <x:v>COMMUNITY/AREA</x:v>
      </x:c>
      <x:c r="D2" s="24" t="b">
        <x:v>1</x:v>
      </x:c>
      <x:c r="E2" s="17" t="n">
        <x:v>103.75709827</x:v>
      </x:c>
      <x:c r="F2" s="17" t="n">
        <x:v>1.53184902</x:v>
      </x:c>
      <x:c r="G2" s="17" t="str">
        <x:v>Official MyGeoName / frozen R005-R018 lineage</x:v>
      </x:c>
      <x:c r="H2" s="17" t="str">
        <x:v>REUSED_CLOSED</x:v>
      </x:c>
      <x:c r="I2" s="17" t="str">
        <x:v>PG2017-KG-KANGKAR-TEBRAU</x:v>
      </x:c>
      <x:c r="J2" s="17" t="str">
        <x:v>Exact named community analysis polygon already frozen; not an observed event inundation footprint.</x:v>
      </x:c>
      <x:c r="K2" s="17" t="str">
        <x:v>Reuse only as parent-community analysis context.</x:v>
      </x:c>
      <x:c r="L2" s="17" t="n">
        <x:f>COUNTIF('35_2025_Event_Master'!$E$2:$E$48,A2)</x:f>
        <x:v>2</x:v>
      </x:c>
    </x:row>
    <x:row r="3">
      <x:c r="A3" s="17" t="str">
        <x:v>S2025-002</x:v>
      </x:c>
      <x:c r="B3" s="17" t="str">
        <x:v>Kampung Paya Kenangan</x:v>
      </x:c>
      <x:c r="C3" s="17" t="str">
        <x:v>COMMUNITY/AREA</x:v>
      </x:c>
      <x:c r="D3" s="24" t="b">
        <x:v>1</x:v>
      </x:c>
      <x:c r="E3" s="17" t="n">
        <x:v>103.74961954</x:v>
      </x:c>
      <x:c r="F3" s="17" t="n">
        <x:v>1.5403203</x:v>
      </x:c>
      <x:c r="G3" s="17" t="str">
        <x:v>Official MyGeoName / R016</x:v>
      </x:c>
      <x:c r="H3" s="17" t="str">
        <x:v>POINT_READY; POLYGON_OPEN</x:v>
      </x:c>
      <x:c r="I3" s="17" t="str"/>
      <x:c r="J3" s="17" t="str">
        <x:v>Representative point is defensible; exact closed event/community geometry is not frozen.</x:v>
      </x:c>
      <x:c r="K3" s="17" t="str">
        <x:v>Seek exact named closed community/residential boundary.</x:v>
      </x:c>
      <x:c r="L3" s="17" t="n">
        <x:f>COUNTIF('35_2025_Event_Master'!$E$2:$E$48,A3)</x:f>
        <x:v>2</x:v>
      </x:c>
    </x:row>
    <x:row r="4">
      <x:c r="A4" s="17" t="str">
        <x:v>S2025-003</x:v>
      </x:c>
      <x:c r="B4" s="17" t="str">
        <x:v>SK Kangkar Tebrau</x:v>
      </x:c>
      <x:c r="C4" s="17" t="str">
        <x:v>CRITICAL FACILITY</x:v>
      </x:c>
      <x:c r="D4" s="24" t="b">
        <x:v>0</x:v>
      </x:c>
      <x:c r="E4" s="17"/>
      <x:c r="F4" s="17"/>
      <x:c r="G4" s="17" t="str"/>
      <x:c r="H4" s="17" t="str">
        <x:v>FACILITY_POINT/POLYGON_OPEN</x:v>
      </x:c>
      <x:c r="I4" s="17" t="str"/>
      <x:c r="J4" s="17" t="str">
        <x:v>Facility impact is verified; exact building/flood polygon is not frozen.</x:v>
      </x:c>
      <x:c r="K4" s="17" t="str">
        <x:v>Resolve exact facility/building footprint only from defensible geometry.</x:v>
      </x:c>
      <x:c r="L4" s="17" t="n">
        <x:f>COUNTIF('35_2025_Event_Master'!$E$2:$E$48,A4)</x:f>
        <x:v>2</x:v>
      </x:c>
    </x:row>
    <x:row r="5">
      <x:c r="A5" s="17" t="str">
        <x:v>S2025-004</x:v>
      </x:c>
      <x:c r="B5" s="17" t="str">
        <x:v>Masjid Kampung Kangkar Tebrau</x:v>
      </x:c>
      <x:c r="C5" s="17" t="str">
        <x:v>CRITICAL FACILITY</x:v>
      </x:c>
      <x:c r="D5" s="24" t="b">
        <x:v>0</x:v>
      </x:c>
      <x:c r="E5" s="17"/>
      <x:c r="F5" s="17"/>
      <x:c r="G5" s="17" t="str"/>
      <x:c r="H5" s="17" t="str">
        <x:v>FACILITY_POINT/POLYGON_OPEN</x:v>
      </x:c>
      <x:c r="I5" s="17" t="str"/>
      <x:c r="J5" s="17" t="str">
        <x:v>Facility impact is verified; exact building/flood polygon is not frozen.</x:v>
      </x:c>
      <x:c r="K5" s="17" t="str">
        <x:v>Resolve exact facility/building footprint only from defensible geometry.</x:v>
      </x:c>
      <x:c r="L5" s="17" t="n">
        <x:f>COUNTIF('35_2025_Event_Master'!$E$2:$E$48,A5)</x:f>
        <x:v>1</x:v>
      </x:c>
    </x:row>
    <x:row r="6">
      <x:c r="A6" s="17" t="str">
        <x:v>S2025-005</x:v>
      </x:c>
      <x:c r="B6" s="17" t="str">
        <x:v>Kampung Pasir</x:v>
      </x:c>
      <x:c r="C6" s="17" t="str">
        <x:v>COMMUNITY/AREA</x:v>
      </x:c>
      <x:c r="D6" s="24" t="b">
        <x:v>1</x:v>
      </x:c>
      <x:c r="E6" s="17" t="n">
        <x:v>103.6969651</x:v>
      </x:c>
      <x:c r="F6" s="17" t="n">
        <x:v>1.4955303</x:v>
      </x:c>
      <x:c r="G6" s="17" t="str">
        <x:v>Frozen HF14 reference point</x:v>
      </x:c>
      <x:c r="H6" s="17" t="str">
        <x:v>POINT_READY; POLYGON_OPEN</x:v>
      </x:c>
      <x:c r="I6" s="17" t="str"/>
      <x:c r="J6" s="17" t="str">
        <x:v>Representative point is defensible; exact closed event/community geometry is not frozen.</x:v>
      </x:c>
      <x:c r="K6" s="17" t="str">
        <x:v>Seek exact named closed community/residential boundary.</x:v>
      </x:c>
      <x:c r="L6" s="17" t="n">
        <x:f>COUNTIF('35_2025_Event_Master'!$E$2:$E$48,A6)</x:f>
        <x:v>3</x:v>
      </x:c>
    </x:row>
    <x:row r="7">
      <x:c r="A7" s="17" t="str">
        <x:v>S2025-006</x:v>
      </x:c>
      <x:c r="B7" s="17" t="str">
        <x:v>Kampung Ulu Pandan</x:v>
      </x:c>
      <x:c r="C7" s="17" t="str">
        <x:v>COMMUNITY/AREA</x:v>
      </x:c>
      <x:c r="D7" s="24" t="b">
        <x:v>1</x:v>
      </x:c>
      <x:c r="E7" s="17" t="n">
        <x:v>103.7683272</x:v>
      </x:c>
      <x:c r="F7" s="17" t="n">
        <x:v>1.5345501</x:v>
      </x:c>
      <x:c r="G7" s="17" t="str">
        <x:v>Frozen HF42 reference point</x:v>
      </x:c>
      <x:c r="H7" s="17" t="str">
        <x:v>POINT_READY; POLYGON_OPEN</x:v>
      </x:c>
      <x:c r="I7" s="17" t="str"/>
      <x:c r="J7" s="17" t="str">
        <x:v>Representative point is defensible; exact closed event/community geometry is not frozen.</x:v>
      </x:c>
      <x:c r="K7" s="17" t="str">
        <x:v>Seek exact named closed community/residential boundary.</x:v>
      </x:c>
      <x:c r="L7" s="17" t="n">
        <x:f>COUNTIF('35_2025_Event_Master'!$E$2:$E$48,A7)</x:f>
        <x:v>1</x:v>
      </x:c>
    </x:row>
    <x:row r="8">
      <x:c r="A8" s="17" t="str">
        <x:v>S2025-007</x:v>
      </x:c>
      <x:c r="B8" s="17" t="str">
        <x:v>Kampung Bunga Ros</x:v>
      </x:c>
      <x:c r="C8" s="17" t="str">
        <x:v>COMMUNITY/AREA</x:v>
      </x:c>
      <x:c r="D8" s="24" t="b">
        <x:v>1</x:v>
      </x:c>
      <x:c r="E8" s="17" t="n">
        <x:v>103.75965347</x:v>
      </x:c>
      <x:c r="F8" s="17" t="n">
        <x:v>1.53411714</x:v>
      </x:c>
      <x:c r="G8" s="17" t="str">
        <x:v>Official MyGeoName point retained in R016</x:v>
      </x:c>
      <x:c r="H8" s="17" t="str">
        <x:v>POINT_READY; POLYGON_OPEN</x:v>
      </x:c>
      <x:c r="I8" s="17" t="str"/>
      <x:c r="J8" s="17" t="str">
        <x:v>Representative point is defensible; exact closed event/community geometry is not frozen.</x:v>
      </x:c>
      <x:c r="K8" s="17" t="str">
        <x:v>Seek exact named closed community/residential boundary.</x:v>
      </x:c>
      <x:c r="L8" s="17" t="n">
        <x:f>COUNTIF('35_2025_Event_Master'!$E$2:$E$48,A8)</x:f>
        <x:v>1</x:v>
      </x:c>
    </x:row>
    <x:row r="9">
      <x:c r="A9" s="17" t="str">
        <x:v>S2025-008</x:v>
      </x:c>
      <x:c r="B9" s="17" t="str">
        <x:v>Kampung Pasir Tebrau</x:v>
      </x:c>
      <x:c r="C9" s="17" t="str">
        <x:v>COMMUNITY/AREA</x:v>
      </x:c>
      <x:c r="D9" s="24" t="b">
        <x:v>1</x:v>
      </x:c>
      <x:c r="E9" s="17" t="n">
        <x:v>103.74288131</x:v>
      </x:c>
      <x:c r="F9" s="17" t="n">
        <x:v>1.54457461</x:v>
      </x:c>
      <x:c r="G9" s="17" t="str">
        <x:v>Official MyGeoName / R016</x:v>
      </x:c>
      <x:c r="H9" s="17" t="str">
        <x:v>POINT_READY; POLYGON_OPEN</x:v>
      </x:c>
      <x:c r="I9" s="17" t="str"/>
      <x:c r="J9" s="17" t="str">
        <x:v>Representative point is defensible; exact closed event/community geometry is not frozen.</x:v>
      </x:c>
      <x:c r="K9" s="17" t="str">
        <x:v>Seek exact named closed community/residential boundary.</x:v>
      </x:c>
      <x:c r="L9" s="17" t="n">
        <x:f>COUNTIF('35_2025_Event_Master'!$E$2:$E$48,A9)</x:f>
        <x:v>1</x:v>
      </x:c>
    </x:row>
    <x:row r="10">
      <x:c r="A10" s="17" t="str">
        <x:v>S2025-009</x:v>
      </x:c>
      <x:c r="B10" s="17" t="str">
        <x:v>Kampung Laut Skudai</x:v>
      </x:c>
      <x:c r="C10" s="17" t="str">
        <x:v>COMMUNITY/AREA</x:v>
      </x:c>
      <x:c r="D10" s="24" t="b">
        <x:v>1</x:v>
      </x:c>
      <x:c r="E10" s="17" t="n">
        <x:v>103.6605</x:v>
      </x:c>
      <x:c r="F10" s="17" t="n">
        <x:v>1.5453</x:v>
      </x:c>
      <x:c r="G10" s="17" t="str">
        <x:v>Audited locality reference from R014/R016</x:v>
      </x:c>
      <x:c r="H10" s="17" t="str">
        <x:v>POINT_READY; POLYGON_OPEN</x:v>
      </x:c>
      <x:c r="I10" s="17" t="str"/>
      <x:c r="J10" s="17" t="str">
        <x:v>Representative point is defensible; exact closed event/community geometry is not frozen.</x:v>
      </x:c>
      <x:c r="K10" s="17" t="str">
        <x:v>Seek exact named closed community/residential boundary.</x:v>
      </x:c>
      <x:c r="L10" s="17" t="n">
        <x:f>COUNTIF('35_2025_Event_Master'!$E$2:$E$48,A10)</x:f>
        <x:v>1</x:v>
      </x:c>
    </x:row>
    <x:row r="11">
      <x:c r="A11" s="17" t="str">
        <x:v>S2025-010</x:v>
      </x:c>
      <x:c r="B11" s="17" t="str">
        <x:v>Pandan</x:v>
      </x:c>
      <x:c r="C11" s="17" t="str">
        <x:v>AREA/RESIDENTIAL</x:v>
      </x:c>
      <x:c r="D11" s="24" t="b">
        <x:v>1</x:v>
      </x:c>
      <x:c r="E11" s="17" t="n">
        <x:v>103.7639473</x:v>
      </x:c>
      <x:c r="F11" s="17" t="n">
        <x:v>1.5218297</x:v>
      </x:c>
      <x:c r="G11" s="17" t="str">
        <x:v>Frozen HF43 reference point</x:v>
      </x:c>
      <x:c r="H11" s="17" t="str">
        <x:v>POINT_READY; POLYGON_OPEN</x:v>
      </x:c>
      <x:c r="I11" s="17" t="str"/>
      <x:c r="J11" s="17" t="str">
        <x:v>Representative point is defensible; exact closed event/community geometry is not frozen.</x:v>
      </x:c>
      <x:c r="K11" s="17" t="str">
        <x:v>Seek exact named closed community/residential boundary.</x:v>
      </x:c>
      <x:c r="L11" s="17" t="n">
        <x:f>COUNTIF('35_2025_Event_Master'!$E$2:$E$48,A11)</x:f>
        <x:v>1</x:v>
      </x:c>
    </x:row>
    <x:row r="12">
      <x:c r="A12" s="17" t="str">
        <x:v>S2025-011</x:v>
      </x:c>
      <x:c r="B12" s="17" t="str">
        <x:v>Taman Desa Mutiara</x:v>
      </x:c>
      <x:c r="C12" s="17" t="str">
        <x:v>AREA/RESIDENTIAL</x:v>
      </x:c>
      <x:c r="D12" s="24" t="b">
        <x:v>1</x:v>
      </x:c>
      <x:c r="E12" s="17" t="n">
        <x:v>103.747256167436</x:v>
      </x:c>
      <x:c r="F12" s="17" t="n">
        <x:v>1.5406298</x:v>
      </x:c>
      <x:c r="G12" s="17" t="str">
        <x:v>Frozen HF45 reference point</x:v>
      </x:c>
      <x:c r="H12" s="17" t="str">
        <x:v>POINT_READY; POLYGON_OPEN</x:v>
      </x:c>
      <x:c r="I12" s="17" t="str"/>
      <x:c r="J12" s="17" t="str">
        <x:v>Representative point is defensible; exact closed event/community geometry is not frozen.</x:v>
      </x:c>
      <x:c r="K12" s="17" t="str">
        <x:v>Seek exact named closed community/residential boundary.</x:v>
      </x:c>
      <x:c r="L12" s="17" t="n">
        <x:f>COUNTIF('35_2025_Event_Master'!$E$2:$E$48,A12)</x:f>
        <x:v>1</x:v>
      </x:c>
    </x:row>
    <x:row r="13">
      <x:c r="A13" s="17" t="str">
        <x:v>S2025-012</x:v>
      </x:c>
      <x:c r="B13" s="17" t="str">
        <x:v>Taman Tampoi Utama</x:v>
      </x:c>
      <x:c r="C13" s="17" t="str">
        <x:v>AREA/RESIDENTIAL</x:v>
      </x:c>
      <x:c r="D13" s="24" t="b">
        <x:v>1</x:v>
      </x:c>
      <x:c r="E13" s="17" t="n">
        <x:v>103.6859554</x:v>
      </x:c>
      <x:c r="F13" s="17" t="n">
        <x:v>1.502518</x:v>
      </x:c>
      <x:c r="G13" s="17" t="str">
        <x:v>Frozen HF40 reference point</x:v>
      </x:c>
      <x:c r="H13" s="17" t="str">
        <x:v>POINT_READY; POLYGON_OPEN</x:v>
      </x:c>
      <x:c r="I13" s="17" t="str"/>
      <x:c r="J13" s="17" t="str">
        <x:v>Representative point is defensible; exact closed event/community geometry is not frozen.</x:v>
      </x:c>
      <x:c r="K13" s="17" t="str">
        <x:v>Seek exact named closed community/residential boundary.</x:v>
      </x:c>
      <x:c r="L13" s="17" t="n">
        <x:f>COUNTIF('35_2025_Event_Master'!$E$2:$E$48,A13)</x:f>
        <x:v>1</x:v>
      </x:c>
    </x:row>
    <x:row r="14">
      <x:c r="A14" s="17" t="str">
        <x:v>S2025-013</x:v>
      </x:c>
      <x:c r="B14" s="17" t="str">
        <x:v>Kampung Seri Serdang</x:v>
      </x:c>
      <x:c r="C14" s="17" t="str">
        <x:v>COMMUNITY/AREA</x:v>
      </x:c>
      <x:c r="D14" s="24" t="b">
        <x:v>1</x:v>
      </x:c>
      <x:c r="E14" s="17" t="n">
        <x:v>103.6919335</x:v>
      </x:c>
      <x:c r="F14" s="17" t="n">
        <x:v>1.5017487</x:v>
      </x:c>
      <x:c r="G14" s="17" t="str">
        <x:v>Frozen HF15 / Kampung Sri Serdang reference</x:v>
      </x:c>
      <x:c r="H14" s="17" t="str">
        <x:v>POINT_READY; POLYGON_OPEN</x:v>
      </x:c>
      <x:c r="I14" s="17" t="str"/>
      <x:c r="J14" s="17" t="str">
        <x:v>Representative point is defensible; exact closed event/community geometry is not frozen.</x:v>
      </x:c>
      <x:c r="K14" s="17" t="str">
        <x:v>Seek exact named closed community/residential boundary.</x:v>
      </x:c>
      <x:c r="L14" s="17" t="n">
        <x:f>COUNTIF('35_2025_Event_Master'!$E$2:$E$48,A14)</x:f>
        <x:v>1</x:v>
      </x:c>
    </x:row>
    <x:row r="15">
      <x:c r="A15" s="17" t="str">
        <x:v>S2025-014</x:v>
      </x:c>
      <x:c r="B15" s="17" t="str">
        <x:v>Kampung Melayu Pandan</x:v>
      </x:c>
      <x:c r="C15" s="17" t="str">
        <x:v>COMMUNITY/AREA</x:v>
      </x:c>
      <x:c r="D15" s="24" t="b">
        <x:v>1</x:v>
      </x:c>
      <x:c r="E15" s="17" t="n">
        <x:v>103.773858346421</x:v>
      </x:c>
      <x:c r="F15" s="17" t="n">
        <x:v>1.52264915</x:v>
      </x:c>
      <x:c r="G15" s="17" t="str">
        <x:v>Frozen HF12 reference point</x:v>
      </x:c>
      <x:c r="H15" s="17" t="str">
        <x:v>POINT_READY; POLYGON_OPEN</x:v>
      </x:c>
      <x:c r="I15" s="17" t="str"/>
      <x:c r="J15" s="17" t="str">
        <x:v>Representative point is defensible; exact closed event/community geometry is not frozen.</x:v>
      </x:c>
      <x:c r="K15" s="17" t="str">
        <x:v>Seek exact named closed community/residential boundary.</x:v>
      </x:c>
      <x:c r="L15" s="17" t="n">
        <x:f>COUNTIF('35_2025_Event_Master'!$E$2:$E$48,A15)</x:f>
        <x:v>1</x:v>
      </x:c>
    </x:row>
    <x:row r="16">
      <x:c r="A16" s="17" t="str">
        <x:v>S2025-015</x:v>
      </x:c>
      <x:c r="B16" s="17" t="str">
        <x:v>Kampung Belantik</x:v>
      </x:c>
      <x:c r="C16" s="17" t="str">
        <x:v>COMMUNITY/AREA</x:v>
      </x:c>
      <x:c r="D16" s="24" t="b">
        <x:v>0</x:v>
      </x:c>
      <x:c r="E16" s="17"/>
      <x:c r="F16" s="17"/>
      <x:c r="G16" s="17" t="str"/>
      <x:c r="H16" s="17" t="str">
        <x:v>IDENTITY_VALID; POINT_OPEN; POLYGON_OPEN</x:v>
      </x:c>
      <x:c r="I16" s="17" t="str"/>
      <x:c r="J16" s="17" t="str">
        <x:v>Mayor explicitly names Kampung Belantik, but earlier combined Belantik/Bendahara evidence must not be silently converted to Bendahara coordinates.</x:v>
      </x:c>
      <x:c r="K16" s="17" t="str">
        <x:v>Resolve Kampung Belantik identity independently.</x:v>
      </x:c>
      <x:c r="L16" s="17" t="n">
        <x:f>COUNTIF('35_2025_Event_Master'!$E$2:$E$48,A16)</x:f>
        <x:v>1</x:v>
      </x:c>
    </x:row>
    <x:row r="17">
      <x:c r="A17" s="17" t="str">
        <x:v>S2025-016</x:v>
      </x:c>
      <x:c r="B17" s="17" t="str">
        <x:v>Taman Tampoi Indah</x:v>
      </x:c>
      <x:c r="C17" s="17" t="str">
        <x:v>AREA/RESIDENTIAL</x:v>
      </x:c>
      <x:c r="D17" s="24" t="b">
        <x:v>1</x:v>
      </x:c>
      <x:c r="E17" s="17" t="n">
        <x:v>103.6818886</x:v>
      </x:c>
      <x:c r="F17" s="17" t="n">
        <x:v>1.5104756</x:v>
      </x:c>
      <x:c r="G17" s="17" t="str">
        <x:v>Frozen HF16 reference point</x:v>
      </x:c>
      <x:c r="H17" s="17" t="str">
        <x:v>POINT_READY; POLYGON_OPEN</x:v>
      </x:c>
      <x:c r="I17" s="17" t="str"/>
      <x:c r="J17" s="17" t="str">
        <x:v>Representative point is defensible; exact closed event/community geometry is not frozen.</x:v>
      </x:c>
      <x:c r="K17" s="17" t="str">
        <x:v>Seek exact named closed community/residential boundary.</x:v>
      </x:c>
      <x:c r="L17" s="17" t="n">
        <x:f>COUNTIF('35_2025_Event_Master'!$E$2:$E$48,A17)</x:f>
        <x:v>1</x:v>
      </x:c>
    </x:row>
    <x:row r="18">
      <x:c r="A18" s="17" t="str">
        <x:v>S2025-017</x:v>
      </x:c>
      <x:c r="B18" s="17" t="str">
        <x:v>Perling</x:v>
      </x:c>
      <x:c r="C18" s="17" t="str">
        <x:v>AREA/RESIDENTIAL</x:v>
      </x:c>
      <x:c r="D18" s="24" t="b">
        <x:v>0</x:v>
      </x:c>
      <x:c r="E18" s="17"/>
      <x:c r="F18" s="17"/>
      <x:c r="G18" s="17" t="str"/>
      <x:c r="H18" s="17" t="str">
        <x:v>LOWER_TIER_EVENT_EVIDENCE; POINT_OPEN; POLYGON_OPEN</x:v>
      </x:c>
      <x:c r="I18" s="17" t="str"/>
      <x:c r="J18" s="17" t="str">
        <x:v>Field observation confirms severe flooding/electricity isolation, but source tier is lower than official MBJB list.</x:v>
      </x:c>
      <x:c r="K18" s="17" t="str">
        <x:v>Retain event; seek official incident/geospatial confirmation.</x:v>
      </x:c>
      <x:c r="L18" s="17" t="n">
        <x:f>COUNTIF('35_2025_Event_Master'!$E$2:$E$48,A18)</x:f>
        <x:v>1</x:v>
      </x:c>
    </x:row>
    <x:row r="19">
      <x:c r="A19" s="17" t="str">
        <x:v>S2025-018</x:v>
      </x:c>
      <x:c r="B19" s="17" t="str">
        <x:v>Jalan Sukun, Kampung Pasir</x:v>
      </x:c>
      <x:c r="C19" s="17" t="str">
        <x:v>ROAD/ROAD SEGMENT</x:v>
      </x:c>
      <x:c r="D19" s="24" t="b">
        <x:v>0</x:v>
      </x:c>
      <x:c r="E19" s="17"/>
      <x:c r="F19" s="17"/>
      <x:c r="G19" s="17" t="str"/>
      <x:c r="H19" s="17" t="str">
        <x:v>ROAD_SEGMENT_OPEN</x:v>
      </x:c>
      <x:c r="I19" s="17" t="str"/>
      <x:c r="J19" s="17" t="str">
        <x:v>Road is event-valid; exact flooded start/end segment is not defensibly frozen.</x:v>
      </x:c>
      <x:c r="K19" s="17" t="str">
        <x:v>Recover exact flooded segment or route-chainage geometry before road GIS closure.</x:v>
      </x:c>
      <x:c r="L19" s="17" t="n">
        <x:f>COUNTIF('35_2025_Event_Master'!$E$2:$E$48,A19)</x:f>
        <x:v>1</x:v>
      </x:c>
    </x:row>
    <x:row r="20">
      <x:c r="A20" s="17" t="str">
        <x:v>S2025-019</x:v>
      </x:c>
      <x:c r="B20" s="17" t="str">
        <x:v>SK Kampung Maju Jaya</x:v>
      </x:c>
      <x:c r="C20" s="17" t="str">
        <x:v>CRITICAL FACILITY</x:v>
      </x:c>
      <x:c r="D20" s="24" t="b">
        <x:v>1</x:v>
      </x:c>
      <x:c r="E20" s="17" t="n">
        <x:v>103.718275204555</x:v>
      </x:c>
      <x:c r="F20" s="17" t="n">
        <x:v>1.5804887</x:v>
      </x:c>
      <x:c r="G20" s="17" t="str">
        <x:v>Frozen HF44 facility point</x:v>
      </x:c>
      <x:c r="H20" s="17" t="str">
        <x:v>POINT_READY; FACILITY_POLYGON_OPEN</x:v>
      </x:c>
      <x:c r="I20" s="17" t="str"/>
      <x:c r="J20" s="17" t="str">
        <x:v>Facility impact is verified; exact building/flood polygon is not frozen.</x:v>
      </x:c>
      <x:c r="K20" s="17" t="str">
        <x:v>Resolve exact facility/building footprint only from defensible geometry.</x:v>
      </x:c>
      <x:c r="L20" s="17" t="n">
        <x:f>COUNTIF('35_2025_Event_Master'!$E$2:$E$48,A20)</x:f>
        <x:v>1</x:v>
      </x:c>
    </x:row>
    <x:row r="21">
      <x:c r="A21" s="17" t="str">
        <x:v>S2025-020</x:v>
      </x:c>
      <x:c r="B21" s="17" t="str">
        <x:v>SK Taman Tampoi Utama</x:v>
      </x:c>
      <x:c r="C21" s="17" t="str">
        <x:v>CRITICAL FACILITY</x:v>
      </x:c>
      <x:c r="D21" s="24" t="b">
        <x:v>0</x:v>
      </x:c>
      <x:c r="E21" s="17"/>
      <x:c r="F21" s="17"/>
      <x:c r="G21" s="17" t="str"/>
      <x:c r="H21" s="17" t="str">
        <x:v>FACILITY_POINT/POLYGON_OPEN</x:v>
      </x:c>
      <x:c r="I21" s="17" t="str"/>
      <x:c r="J21" s="17" t="str">
        <x:v>Facility impact is verified; exact building/flood polygon is not frozen.</x:v>
      </x:c>
      <x:c r="K21" s="17" t="str">
        <x:v>Resolve exact facility/building footprint only from defensible geometry.</x:v>
      </x:c>
      <x:c r="L21" s="17" t="n">
        <x:f>COUNTIF('35_2025_Event_Master'!$E$2:$E$48,A21)</x:f>
        <x:v>1</x:v>
      </x:c>
    </x:row>
    <x:row r="22">
      <x:c r="A22" s="17" t="str">
        <x:v>S2025-021</x:v>
      </x:c>
      <x:c r="B22" s="17" t="str">
        <x:v>KD Kangkar Tebrau</x:v>
      </x:c>
      <x:c r="C22" s="17" t="str">
        <x:v>CRITICAL FACILITY</x:v>
      </x:c>
      <x:c r="D22" s="24" t="b">
        <x:v>0</x:v>
      </x:c>
      <x:c r="E22" s="17"/>
      <x:c r="F22" s="17"/>
      <x:c r="G22" s="17" t="str"/>
      <x:c r="H22" s="17" t="str">
        <x:v>FACILITY_POINT/POLYGON_OPEN</x:v>
      </x:c>
      <x:c r="I22" s="17" t="str"/>
      <x:c r="J22" s="17" t="str">
        <x:v>Facility impact is verified; exact building/flood polygon is not frozen.</x:v>
      </x:c>
      <x:c r="K22" s="17" t="str">
        <x:v>Resolve exact facility/building footprint only from defensible geometry.</x:v>
      </x:c>
      <x:c r="L22" s="17" t="n">
        <x:f>COUNTIF('35_2025_Event_Master'!$E$2:$E$48,A22)</x:f>
        <x:v>1</x:v>
      </x:c>
    </x:row>
    <x:row r="23">
      <x:c r="A23" s="17" t="str">
        <x:v>S2025-022</x:v>
      </x:c>
      <x:c r="B23" s="17" t="str">
        <x:v>KD Maju Jaya</x:v>
      </x:c>
      <x:c r="C23" s="17" t="str">
        <x:v>CRITICAL FACILITY</x:v>
      </x:c>
      <x:c r="D23" s="24" t="b">
        <x:v>0</x:v>
      </x:c>
      <x:c r="E23" s="17"/>
      <x:c r="F23" s="17"/>
      <x:c r="G23" s="17" t="str"/>
      <x:c r="H23" s="17" t="str">
        <x:v>FACILITY_POINT/POLYGON_OPEN</x:v>
      </x:c>
      <x:c r="I23" s="17" t="str"/>
      <x:c r="J23" s="17" t="str">
        <x:v>Facility impact is verified; exact building/flood polygon is not frozen.</x:v>
      </x:c>
      <x:c r="K23" s="17" t="str">
        <x:v>Resolve exact facility/building footprint only from defensible geometry.</x:v>
      </x:c>
      <x:c r="L23" s="17" t="n">
        <x:f>COUNTIF('35_2025_Event_Master'!$E$2:$E$48,A23)</x:f>
        <x:v>1</x:v>
      </x:c>
    </x:row>
    <x:row r="24">
      <x:c r="A24" s="17" t="str">
        <x:v>S2025-023</x:v>
      </x:c>
      <x:c r="B24" s="17" t="str">
        <x:v>KD Plentong</x:v>
      </x:c>
      <x:c r="C24" s="17" t="str">
        <x:v>CRITICAL FACILITY</x:v>
      </x:c>
      <x:c r="D24" s="24" t="b">
        <x:v>0</x:v>
      </x:c>
      <x:c r="E24" s="17"/>
      <x:c r="F24" s="17"/>
      <x:c r="G24" s="17" t="str"/>
      <x:c r="H24" s="17" t="str">
        <x:v>FACILITY_POINT/POLYGON_OPEN</x:v>
      </x:c>
      <x:c r="I24" s="17" t="str"/>
      <x:c r="J24" s="17" t="str">
        <x:v>Facility impact is verified; exact building/flood polygon is not frozen.</x:v>
      </x:c>
      <x:c r="K24" s="17" t="str">
        <x:v>Resolve exact facility/building footprint only from defensible geometry.</x:v>
      </x:c>
      <x:c r="L24" s="17" t="n">
        <x:f>COUNTIF('35_2025_Event_Master'!$E$2:$E$48,A24)</x:f>
        <x:v>1</x:v>
      </x:c>
    </x:row>
    <x:row r="25">
      <x:c r="A25" s="17" t="str">
        <x:v>S2025-024</x:v>
      </x:c>
      <x:c r="B25" s="17" t="str">
        <x:v>FT003 Johor Bahru–Endau Sec 21.0–21.8</x:v>
      </x:c>
      <x:c r="C25" s="17" t="str">
        <x:v>ROAD/ROAD SEGMENT</x:v>
      </x:c>
      <x:c r="D25" s="24" t="b">
        <x:v>0</x:v>
      </x:c>
      <x:c r="E25" s="17"/>
      <x:c r="F25" s="17"/>
      <x:c r="G25" s="17" t="str"/>
      <x:c r="H25" s="17" t="str">
        <x:v>JKR_SECTION_READY; WKT_PENDING</x:v>
      </x:c>
      <x:c r="I25" s="17" t="str"/>
      <x:c r="J25" s="17" t="str">
        <x:v>JKR supplies route and section limits, but WKT/road-centreline clipping is not yet reconstructed in this workbook.</x:v>
      </x:c>
      <x:c r="K25" s="17" t="str">
        <x:v>Clip the authoritative road network by JKR section chainage; do not buffer arbitrarily.</x:v>
      </x:c>
      <x:c r="L25" s="17" t="n">
        <x:f>COUNTIF('35_2025_Event_Master'!$E$2:$E$48,A25)</x:f>
        <x:v>1</x:v>
      </x:c>
    </x:row>
    <x:row r="26">
      <x:c r="A26" s="17" t="str">
        <x:v>S2025-025</x:v>
      </x:c>
      <x:c r="B26" s="17" t="str">
        <x:v>FT003 Jalan Johor Bahru–Kota Tinggi Sec 9.1–10.0</x:v>
      </x:c>
      <x:c r="C26" s="17" t="str">
        <x:v>ROAD/ROAD SEGMENT</x:v>
      </x:c>
      <x:c r="D26" s="24" t="b">
        <x:v>0</x:v>
      </x:c>
      <x:c r="E26" s="17"/>
      <x:c r="F26" s="17"/>
      <x:c r="G26" s="17" t="str"/>
      <x:c r="H26" s="17" t="str">
        <x:v>JKR_SECTION_READY; WKT_PENDING</x:v>
      </x:c>
      <x:c r="I26" s="17" t="str"/>
      <x:c r="J26" s="17" t="str">
        <x:v>JKR supplies route and section limits, but WKT/road-centreline clipping is not yet reconstructed in this workbook.</x:v>
      </x:c>
      <x:c r="K26" s="17" t="str">
        <x:v>Clip the authoritative road network by JKR section chainage; do not buffer arbitrarily.</x:v>
      </x:c>
      <x:c r="L26" s="17" t="n">
        <x:f>COUNTIF('35_2025_Event_Master'!$E$2:$E$48,A26)</x:f>
        <x:v>1</x:v>
      </x:c>
    </x:row>
    <x:row r="27">
      <x:c r="A27" s="17" t="str">
        <x:v>S2025-026</x:v>
      </x:c>
      <x:c r="B27" s="17" t="str">
        <x:v>FT01 Jalan Johor Bahru–Senai Sec 19.6–20.0</x:v>
      </x:c>
      <x:c r="C27" s="17" t="str">
        <x:v>ROAD/ROAD SEGMENT</x:v>
      </x:c>
      <x:c r="D27" s="24" t="b">
        <x:v>0</x:v>
      </x:c>
      <x:c r="E27" s="17"/>
      <x:c r="F27" s="17"/>
      <x:c r="G27" s="17" t="str"/>
      <x:c r="H27" s="17" t="str">
        <x:v>JKR_SECTION_READY; WKT_PENDING</x:v>
      </x:c>
      <x:c r="I27" s="17" t="str"/>
      <x:c r="J27" s="17" t="str">
        <x:v>JKR supplies route and section limits, but WKT/road-centreline clipping is not yet reconstructed in this workbook.</x:v>
      </x:c>
      <x:c r="K27" s="17" t="str">
        <x:v>Clip the authoritative road network by JKR section chainage; do not buffer arbitrarily.</x:v>
      </x:c>
      <x:c r="L27" s="17" t="n">
        <x:f>COUNTIF('35_2025_Event_Master'!$E$2:$E$48,A27)</x:f>
        <x:v>1</x:v>
      </x:c>
    </x:row>
    <x:row r="28">
      <x:c r="A28" s="17" t="str">
        <x:v>S2025-027</x:v>
      </x:c>
      <x:c r="B28" s="17" t="str">
        <x:v>FT017 Lebuhraya Pasir Gudang Sec 10.20–10.70</x:v>
      </x:c>
      <x:c r="C28" s="17" t="str">
        <x:v>ROAD/ROAD SEGMENT</x:v>
      </x:c>
      <x:c r="D28" s="24" t="b">
        <x:v>0</x:v>
      </x:c>
      <x:c r="E28" s="17"/>
      <x:c r="F28" s="17"/>
      <x:c r="G28" s="17" t="str"/>
      <x:c r="H28" s="17" t="str">
        <x:v>JKR_SECTION_READY; WKT_PENDING</x:v>
      </x:c>
      <x:c r="I28" s="17" t="str"/>
      <x:c r="J28" s="17" t="str">
        <x:v>JKR supplies route and section limits, but WKT/road-centreline clipping is not yet reconstructed in this workbook.</x:v>
      </x:c>
      <x:c r="K28" s="17" t="str">
        <x:v>Clip the authoritative road network by JKR section chainage; do not buffer arbitrarily.</x:v>
      </x:c>
      <x:c r="L28" s="17" t="n">
        <x:f>COUNTIF('35_2025_Event_Master'!$E$2:$E$48,A28)</x:f>
        <x:v>1</x:v>
      </x:c>
    </x:row>
    <x:row r="29">
      <x:c r="A29" s="17" t="str">
        <x:v>S2025-028</x:v>
      </x:c>
      <x:c r="B29" s="17" t="str">
        <x:v>FT017 Lebuhraya Pasir Gudang Sec 21.0–21.3</x:v>
      </x:c>
      <x:c r="C29" s="17" t="str">
        <x:v>ROAD/ROAD SEGMENT</x:v>
      </x:c>
      <x:c r="D29" s="24" t="b">
        <x:v>0</x:v>
      </x:c>
      <x:c r="E29" s="17"/>
      <x:c r="F29" s="17"/>
      <x:c r="G29" s="17" t="str"/>
      <x:c r="H29" s="17" t="str">
        <x:v>JKR_SECTION_READY; WKT_PENDING</x:v>
      </x:c>
      <x:c r="I29" s="17" t="str"/>
      <x:c r="J29" s="17" t="str">
        <x:v>JKR supplies route and section limits, but WKT/road-centreline clipping is not yet reconstructed in this workbook.</x:v>
      </x:c>
      <x:c r="K29" s="17" t="str">
        <x:v>Clip the authoritative road network by JKR section chainage; do not buffer arbitrarily.</x:v>
      </x:c>
      <x:c r="L29" s="17" t="n">
        <x:f>COUNTIF('35_2025_Event_Master'!$E$2:$E$48,A29)</x:f>
        <x:v>1</x:v>
      </x:c>
    </x:row>
    <x:row r="30">
      <x:c r="A30" s="17" t="str">
        <x:v>S2025-029</x:v>
      </x:c>
      <x:c r="B30" s="17" t="str">
        <x:v>J105 Jalan Maju Jaya–Seelong Sec 5.0–5.5</x:v>
      </x:c>
      <x:c r="C30" s="17" t="str">
        <x:v>ROAD/ROAD SEGMENT</x:v>
      </x:c>
      <x:c r="D30" s="24" t="b">
        <x:v>0</x:v>
      </x:c>
      <x:c r="E30" s="17"/>
      <x:c r="F30" s="17"/>
      <x:c r="G30" s="17" t="str"/>
      <x:c r="H30" s="17" t="str">
        <x:v>JKR_SECTION_READY; WKT_PENDING</x:v>
      </x:c>
      <x:c r="I30" s="17" t="str"/>
      <x:c r="J30" s="17" t="str">
        <x:v>JKR supplies route and section limits, but WKT/road-centreline clipping is not yet reconstructed in this workbook.</x:v>
      </x:c>
      <x:c r="K30" s="17" t="str">
        <x:v>Clip the authoritative road network by JKR section chainage; do not buffer arbitrarily.</x:v>
      </x:c>
      <x:c r="L30" s="17" t="n">
        <x:f>COUNTIF('35_2025_Event_Master'!$E$2:$E$48,A30)</x:f>
        <x:v>1</x:v>
      </x:c>
    </x:row>
    <x:row r="31">
      <x:c r="A31" s="17" t="str">
        <x:v>S2025-030</x:v>
      </x:c>
      <x:c r="B31" s="17" t="str">
        <x:v>J105 Jalan Maju Jaya–Seelong Sec 7.0–7.5</x:v>
      </x:c>
      <x:c r="C31" s="17" t="str">
        <x:v>ROAD/ROAD SEGMENT</x:v>
      </x:c>
      <x:c r="D31" s="24" t="b">
        <x:v>0</x:v>
      </x:c>
      <x:c r="E31" s="17"/>
      <x:c r="F31" s="17"/>
      <x:c r="G31" s="17" t="str"/>
      <x:c r="H31" s="17" t="str">
        <x:v>JKR_SECTION_READY; WKT_PENDING</x:v>
      </x:c>
      <x:c r="I31" s="17" t="str"/>
      <x:c r="J31" s="17" t="str">
        <x:v>JKR supplies route and section limits, but WKT/road-centreline clipping is not yet reconstructed in this workbook.</x:v>
      </x:c>
      <x:c r="K31" s="17" t="str">
        <x:v>Clip the authoritative road network by JKR section chainage; do not buffer arbitrarily.</x:v>
      </x:c>
      <x:c r="L31" s="17" t="n">
        <x:f>COUNTIF('35_2025_Event_Master'!$E$2:$E$48,A31)</x:f>
        <x:v>1</x:v>
      </x:c>
    </x:row>
    <x:row r="32">
      <x:c r="A32" s="17" t="str">
        <x:v>S2025-031</x:v>
      </x:c>
      <x:c r="B32" s="17" t="str">
        <x:v>J46 Jalan Ulu Pulai Sec 2.0–2.3</x:v>
      </x:c>
      <x:c r="C32" s="17" t="str">
        <x:v>ROAD/ROAD SEGMENT</x:v>
      </x:c>
      <x:c r="D32" s="24" t="b">
        <x:v>0</x:v>
      </x:c>
      <x:c r="E32" s="17"/>
      <x:c r="F32" s="17"/>
      <x:c r="G32" s="17" t="str"/>
      <x:c r="H32" s="17" t="str">
        <x:v>JKR_SECTION_READY; WKT_PENDING</x:v>
      </x:c>
      <x:c r="I32" s="17" t="str"/>
      <x:c r="J32" s="17" t="str">
        <x:v>JKR supplies route and section limits, but WKT/road-centreline clipping is not yet reconstructed in this workbook.</x:v>
      </x:c>
      <x:c r="K32" s="17" t="str">
        <x:v>Clip the authoritative road network by JKR section chainage; do not buffer arbitrarily.</x:v>
      </x:c>
      <x:c r="L32" s="17" t="n">
        <x:f>COUNTIF('35_2025_Event_Master'!$E$2:$E$48,A32)</x:f>
        <x:v>1</x:v>
      </x:c>
    </x:row>
    <x:row r="33">
      <x:c r="A33" s="17" t="str">
        <x:v>S2025-032</x:v>
      </x:c>
      <x:c r="B33" s="17" t="str">
        <x:v>Lebuhraya Pasir Gudang near Taman Rinting interchange</x:v>
      </x:c>
      <x:c r="C33" s="17" t="str">
        <x:v>ROAD/ROAD SEGMENT</x:v>
      </x:c>
      <x:c r="D33" s="24" t="b">
        <x:v>0</x:v>
      </x:c>
      <x:c r="E33" s="17"/>
      <x:c r="F33" s="17"/>
      <x:c r="G33" s="17" t="str"/>
      <x:c r="H33" s="17" t="str">
        <x:v>ROAD_SEGMENT_OPEN</x:v>
      </x:c>
      <x:c r="I33" s="17" t="str"/>
      <x:c r="J33" s="17" t="str">
        <x:v>Road is event-valid; exact flooded start/end segment is not defensibly frozen.</x:v>
      </x:c>
      <x:c r="K33" s="17" t="str">
        <x:v>Recover exact flooded segment or route-chainage geometry before road GIS closure.</x:v>
      </x:c>
      <x:c r="L33" s="17" t="n">
        <x:f>COUNTIF('35_2025_Event_Master'!$E$2:$E$48,A33)</x:f>
        <x:v>1</x:v>
      </x:c>
    </x:row>
    <x:row r="34">
      <x:c r="A34" s="17" t="str">
        <x:v>S2025-033</x:v>
      </x:c>
      <x:c r="B34" s="17" t="str">
        <x:v>Bangunan Lily, Hospital Sultanah Aminah</x:v>
      </x:c>
      <x:c r="C34" s="17" t="str">
        <x:v>CRITICAL FACILITY</x:v>
      </x:c>
      <x:c r="D34" s="24" t="b">
        <x:v>0</x:v>
      </x:c>
      <x:c r="E34" s="17"/>
      <x:c r="F34" s="17"/>
      <x:c r="G34" s="17" t="str"/>
      <x:c r="H34" s="17" t="str">
        <x:v>BUILDING_SPECIFIC; PARENT_HSA_REFERENCE_ONLY; POLYGON_OPEN</x:v>
      </x:c>
      <x:c r="I34" s="17" t="str"/>
      <x:c r="J34" s="17" t="str">
        <x:v>HSA campus polygon exists, but it must not be substituted for the flooded Lily building footprint.</x:v>
      </x:c>
      <x:c r="K34" s="17" t="str">
        <x:v>Resolve exact Building Lily footprint before polygon closure.</x:v>
      </x:c>
      <x:c r="L34" s="17" t="n">
        <x:f>COUNTIF('35_2025_Event_Master'!$E$2:$E$48,A34)</x:f>
        <x:v>1</x:v>
      </x:c>
    </x:row>
    <x:row r="35">
      <x:c r="A35" s="17" t="str">
        <x:v>S2025-034</x:v>
      </x:c>
      <x:c r="B35" s="17" t="str">
        <x:v>Jalan Kolam Ayer</x:v>
      </x:c>
      <x:c r="C35" s="17" t="str">
        <x:v>ROAD/ROAD SEGMENT</x:v>
      </x:c>
      <x:c r="D35" s="24" t="b">
        <x:v>1</x:v>
      </x:c>
      <x:c r="E35" s="17" t="n">
        <x:v>103.7220526</x:v>
      </x:c>
      <x:c r="F35" s="17" t="n">
        <x:v>1.4823854</x:v>
      </x:c>
      <x:c r="G35" s="17" t="str">
        <x:v>Frozen HF02 reference point</x:v>
      </x:c>
      <x:c r="H35" s="17" t="str">
        <x:v>POINT_REFERENCE; ROAD_SEGMENT_OPEN</x:v>
      </x:c>
      <x:c r="I35" s="17" t="str"/>
      <x:c r="J35" s="17" t="str">
        <x:v>Road is event-valid; exact flooded start/end segment is not defensibly frozen.</x:v>
      </x:c>
      <x:c r="K35" s="17" t="str">
        <x:v>Recover exact flooded segment or route-chainage geometry before road GIS closure.</x:v>
      </x:c>
      <x:c r="L35" s="17" t="n">
        <x:f>COUNTIF('35_2025_Event_Master'!$E$2:$E$48,A35)</x:f>
        <x:v>1</x:v>
      </x:c>
    </x:row>
    <x:row r="36">
      <x:c r="A36" s="17" t="str">
        <x:v>S2025-035</x:v>
      </x:c>
      <x:c r="B36" s="17" t="str">
        <x:v>Taman Nong Chik</x:v>
      </x:c>
      <x:c r="C36" s="17" t="str">
        <x:v>AREA/RESIDENTIAL</x:v>
      </x:c>
      <x:c r="D36" s="24" t="b">
        <x:v>1</x:v>
      </x:c>
      <x:c r="E36" s="17" t="n">
        <x:v>103.7395647</x:v>
      </x:c>
      <x:c r="F36" s="17" t="n">
        <x:v>1.4765564</x:v>
      </x:c>
      <x:c r="G36" s="17" t="str">
        <x:v>Frozen HF35 reference point</x:v>
      </x:c>
      <x:c r="H36" s="17" t="str">
        <x:v>POINT_READY; POLYGON_OPEN</x:v>
      </x:c>
      <x:c r="I36" s="17" t="str"/>
      <x:c r="J36" s="17" t="str">
        <x:v>Representative point is defensible; exact closed event/community geometry is not frozen.</x:v>
      </x:c>
      <x:c r="K36" s="17" t="str">
        <x:v>Seek exact named closed community/residential boundary.</x:v>
      </x:c>
      <x:c r="L36" s="17" t="n">
        <x:f>COUNTIF('35_2025_Event_Master'!$E$2:$E$48,A36)</x:f>
        <x:v>1</x:v>
      </x:c>
    </x:row>
    <x:row r="37">
      <x:c r="A37" s="17" t="str">
        <x:v>S2025-036</x:v>
      </x:c>
      <x:c r="B37" s="17" t="str">
        <x:v>Jalan Sungai Chat</x:v>
      </x:c>
      <x:c r="C37" s="17" t="str">
        <x:v>ROAD/ROAD SEGMENT</x:v>
      </x:c>
      <x:c r="D37" s="24" t="b">
        <x:v>1</x:v>
      </x:c>
      <x:c r="E37" s="17" t="n">
        <x:v>103.7385575</x:v>
      </x:c>
      <x:c r="F37" s="17" t="n">
        <x:v>1.4609922</x:v>
      </x:c>
      <x:c r="G37" s="17" t="str">
        <x:v>Frozen HF04 reference point</x:v>
      </x:c>
      <x:c r="H37" s="17" t="str">
        <x:v>POINT_REFERENCE; ROAD_SEGMENT_OPEN</x:v>
      </x:c>
      <x:c r="I37" s="17" t="str"/>
      <x:c r="J37" s="17" t="str">
        <x:v>Road is event-valid; exact flooded start/end segment is not defensibly frozen.</x:v>
      </x:c>
      <x:c r="K37" s="17" t="str">
        <x:v>Recover exact flooded segment or route-chainage geometry before road GIS closure.</x:v>
      </x:c>
      <x:c r="L37" s="17" t="n">
        <x:f>COUNTIF('35_2025_Event_Master'!$E$2:$E$48,A37)</x:f>
        <x:v>1</x:v>
      </x:c>
    </x:row>
    <x:row r="38">
      <x:c r="A38" s="17" t="str">
        <x:v>S2025-037</x:v>
      </x:c>
      <x:c r="B38" s="17" t="str">
        <x:v>Tasik Merdeka</x:v>
      </x:c>
      <x:c r="C38" s="17" t="str">
        <x:v>AREA/RESIDENTIAL</x:v>
      </x:c>
      <x:c r="D38" s="24" t="b">
        <x:v>0</x:v>
      </x:c>
      <x:c r="E38" s="17"/>
      <x:c r="F38" s="17"/>
      <x:c r="G38" s="17" t="str"/>
      <x:c r="H38" s="17" t="str">
        <x:v>POINT_OPEN; POLYGON_OPEN</x:v>
      </x:c>
      <x:c r="I38" s="17" t="str"/>
      <x:c r="J38" s="17" t="str">
        <x:v>Event identity is valid but no strict traceable point/boundary is frozen.</x:v>
      </x:c>
      <x:c r="K38" s="17" t="str">
        <x:v>Resolve official geospatial point/boundary; do not fabricate geometry.</x:v>
      </x:c>
      <x:c r="L38" s="17" t="n">
        <x:f>COUNTIF('35_2025_Event_Master'!$E$2:$E$48,A38)</x:f>
        <x:v>1</x:v>
      </x:c>
    </x:row>
    <x:row r="39">
      <x:c r="A39" s="17" t="str">
        <x:v>S2025-038</x:v>
      </x:c>
      <x:c r="B39" s="17" t="str">
        <x:v>Kampung Mohd Amin / Jalan Md Amin context</x:v>
      </x:c>
      <x:c r="C39" s="17" t="str">
        <x:v>COMMUNITY/AREA</x:v>
      </x:c>
      <x:c r="D39" s="24" t="b">
        <x:v>1</x:v>
      </x:c>
      <x:c r="E39" s="17" t="n">
        <x:v>103.7354126</x:v>
      </x:c>
      <x:c r="F39" s="17" t="n">
        <x:v>1.4673637</x:v>
      </x:c>
      <x:c r="G39" s="17" t="str">
        <x:v>Frozen canonical Kampung Mohd Amin reference</x:v>
      </x:c>
      <x:c r="H39" s="17" t="str">
        <x:v>POINT_READY; POLYGON_OPEN</x:v>
      </x:c>
      <x:c r="I39" s="17" t="str"/>
      <x:c r="J39" s="17" t="str">
        <x:v>Representative point is defensible; exact closed event/community geometry is not frozen.</x:v>
      </x:c>
      <x:c r="K39" s="17" t="str">
        <x:v>Seek exact named closed community/residential boundary.</x:v>
      </x:c>
      <x:c r="L39" s="17" t="n">
        <x:f>COUNTIF('35_2025_Event_Master'!$E$2:$E$48,A39)</x:f>
        <x:v>2</x:v>
      </x:c>
    </x:row>
    <x:row r="40">
      <x:c r="A40" s="17" t="str">
        <x:v>S2025-039</x:v>
      </x:c>
      <x:c r="B40" s="17" t="str">
        <x:v>Jalan Wong Ah Fook</x:v>
      </x:c>
      <x:c r="C40" s="17" t="str">
        <x:v>ROAD/ROAD SEGMENT</x:v>
      </x:c>
      <x:c r="D40" s="24" t="b">
        <x:v>1</x:v>
      </x:c>
      <x:c r="E40" s="17" t="n">
        <x:v>103.7656178</x:v>
      </x:c>
      <x:c r="F40" s="17" t="n">
        <x:v>1.4576093</x:v>
      </x:c>
      <x:c r="G40" s="17" t="str">
        <x:v>Frozen HF32 reference point</x:v>
      </x:c>
      <x:c r="H40" s="17" t="str">
        <x:v>POINT_REFERENCE; ROAD_SEGMENT_OPEN</x:v>
      </x:c>
      <x:c r="I40" s="17" t="str"/>
      <x:c r="J40" s="17" t="str">
        <x:v>Road is event-valid; exact flooded start/end segment is not defensibly frozen.</x:v>
      </x:c>
      <x:c r="K40" s="17" t="str">
        <x:v>Recover exact flooded segment or route-chainage geometry before road GIS closure.</x:v>
      </x:c>
      <x:c r="L40" s="17" t="n">
        <x:f>COUNTIF('35_2025_Event_Master'!$E$2:$E$48,A40)</x:f>
        <x:v>1</x:v>
      </x:c>
    </x:row>
    <x:row r="41">
      <x:c r="A41" s="17" t="str">
        <x:v>S2025-040</x:v>
      </x:c>
      <x:c r="B41" s="17" t="str">
        <x:v>Jalan Tun Abdul Razak</x:v>
      </x:c>
      <x:c r="C41" s="17" t="str">
        <x:v>ROAD/ROAD SEGMENT</x:v>
      </x:c>
      <x:c r="D41" s="24" t="b">
        <x:v>1</x:v>
      </x:c>
      <x:c r="E41" s="17" t="n">
        <x:v>103.7527329</x:v>
      </x:c>
      <x:c r="F41" s="17" t="n">
        <x:v>1.4803791</x:v>
      </x:c>
      <x:c r="G41" s="17" t="str">
        <x:v>Frozen HF06 reference point</x:v>
      </x:c>
      <x:c r="H41" s="17" t="str">
        <x:v>POINT_REFERENCE; ROAD_SEGMENT_OPEN</x:v>
      </x:c>
      <x:c r="I41" s="17" t="str"/>
      <x:c r="J41" s="17" t="str">
        <x:v>Road is event-valid; exact flooded start/end segment is not defensibly frozen.</x:v>
      </x:c>
      <x:c r="K41" s="17" t="str">
        <x:v>Recover exact flooded segment or route-chainage geometry before road GIS closure.</x:v>
      </x:c>
      <x:c r="L41" s="17" t="n">
        <x:f>COUNTIF('35_2025_Event_Master'!$E$2:$E$48,A41)</x:f>
        <x:v>1</x:v>
      </x:c>
    </x:row>
    <x:row r="42">
      <x:c r="A42" s="17" t="str">
        <x:v>S2025-041</x:v>
      </x:c>
      <x:c r="B42" s="17" t="str">
        <x:v>Taman Pelangi</x:v>
      </x:c>
      <x:c r="C42" s="17" t="str">
        <x:v>AREA/RESIDENTIAL</x:v>
      </x:c>
      <x:c r="D42" s="24" t="b">
        <x:v>0</x:v>
      </x:c>
      <x:c r="E42" s="17"/>
      <x:c r="F42" s="17"/>
      <x:c r="G42" s="17" t="str"/>
      <x:c r="H42" s="17" t="str">
        <x:v>POINT_OPEN; POLYGON_OPEN</x:v>
      </x:c>
      <x:c r="I42" s="17" t="str"/>
      <x:c r="J42" s="17" t="str">
        <x:v>Established news explicitly names Taman Pelangi; exact inundated subarea/boundary not frozen.</x:v>
      </x:c>
      <x:c r="K42" s="17" t="str">
        <x:v>Resolve neighbourhood boundary/affected road geometry.</x:v>
      </x:c>
      <x:c r="L42" s="17" t="n">
        <x:f>COUNTIF('35_2025_Event_Master'!$E$2:$E$48,A42)</x:f>
        <x:v>1</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40" hidden="0" customWidth="1"/>
    <x:col min="2" max="2" width="27" hidden="0" customWidth="1"/>
    <x:col min="3" max="3" width="58" hidden="0" customWidth="1"/>
    <x:col min="4" max="4" width="42" hidden="0" customWidth="1"/>
    <x:col min="5" max="5" width="34" hidden="0" customWidth="1"/>
    <x:col min="6" max="6" width="88" hidden="0" customWidth="1"/>
  </x:cols>
  <x:sheetData>
    <x:row r="1">
      <x:c r="A1" s="54" t="str">
        <x:v>Candidate_ID</x:v>
      </x:c>
      <x:c r="B1" s="54" t="str">
        <x:v>Time_Context</x:v>
      </x:c>
      <x:c r="C1" s="54" t="str">
        <x:v>Location_Label</x:v>
      </x:c>
      <x:c r="D1" s="54" t="str">
        <x:v>Resolution_Status</x:v>
      </x:c>
      <x:c r="E1" s="54" t="str">
        <x:v>Primary_Source_ID</x:v>
      </x:c>
      <x:c r="F1" s="54" t="str">
        <x:v>Decision_Note</x:v>
      </x:c>
    </x:row>
    <x:row r="2">
      <x:c r="A2" s="17" t="str">
        <x:v>CAND-2025-MAR-MBJB-UNNAMED</x:v>
      </x:c>
      <x:c r="B2" s="17" t="str">
        <x:v>2025-03-19 to 2025-03-24</x:v>
      </x:c>
      <x:c r="C2" s="17" t="str">
        <x:v>18 unnamed remainder of MBJB's 27 affected areas</x:v>
      </x:c>
      <x:c r="D2" s="17" t="str">
        <x:v>NAMES_NOT_PUBLICLY_EXPOSED</x:v>
      </x:c>
      <x:c r="E2" s="17" t="str">
        <x:v>SRC_R2025_MAYOR_20250328</x:v>
      </x:c>
      <x:c r="F2" s="17" t="str">
        <x:v>Mayor states 27 affected MBJB areas, but the public article names only a subset. Do not invent the remaining names.</x:v>
      </x:c>
    </x:row>
    <x:row r="3">
      <x:c r="A3" s="17" t="str">
        <x:v>CAND-2025-MAR-BUKIT-MUTIARA-PPS</x:v>
      </x:c>
      <x:c r="B3" s="17" t="str">
        <x:v>2025-03-19</x:v>
      </x:c>
      <x:c r="C3" s="17" t="str">
        <x:v>SK Bukit Mutiara</x:v>
      </x:c>
      <x:c r="D3" s="17" t="str">
        <x:v>PPS_SITE_NOT_AUTOMATIC_ORIGIN</x:v>
      </x:c>
      <x:c r="E3" s="17" t="str">
        <x:v>SRC_R2025_NADMA_20250320</x:v>
      </x:c>
      <x:c r="F3" s="17" t="str">
        <x:v>PPS housed victims from Kangkar Tebrau/Paya Kenangan/Pasir Tebrau; do not count Bukit Mutiara as an inundated origin without direct evidence.</x:v>
      </x:c>
    </x:row>
    <x:row r="4">
      <x:c r="A4" s="17" t="str">
        <x:v>CAND-2025-MAR-KUO-KUANG-PPS</x:v>
      </x:c>
      <x:c r="B4" s="17" t="str">
        <x:v>2025-03-19</x:v>
      </x:c>
      <x:c r="C4" s="17" t="str">
        <x:v>SJKC Kuo Kuang</x:v>
      </x:c>
      <x:c r="D4" s="17" t="str">
        <x:v>PPS_SITE_NOT_AUTOMATIC_ORIGIN</x:v>
      </x:c>
      <x:c r="E4" s="17" t="str">
        <x:v>SRC_R2025_NADMA_20250320</x:v>
      </x:c>
      <x:c r="F4" s="17" t="str">
        <x:v>PPS status alone is not proof that the school/community itself was inundated.</x:v>
      </x:c>
    </x:row>
    <x:row r="5">
      <x:c r="A5" s="17" t="str">
        <x:v>CAND-2025-MAR-PERIGI-ACHEH</x:v>
      </x:c>
      <x:c r="B5" s="17" t="str">
        <x:v>2025-03-20</x:v>
      </x:c>
      <x:c r="C5" s="17" t="str">
        <x:v>SK Perigi Acheh</x:v>
      </x:c>
      <x:c r="D5" s="17" t="str">
        <x:v>SECONDARY_ACCESS_IMPACT</x:v>
      </x:c>
      <x:c r="E5" s="17" t="str">
        <x:v>SRC_R2025_BERNAMA_SCHOOLS_20250320</x:v>
      </x:c>
      <x:c r="F5" s="17" t="str">
        <x:v>School reported cut off, not explicitly inundated; retained as access-impact candidate, not direct flood-location row.</x:v>
      </x:c>
    </x:row>
    <x:row r="6">
      <x:c r="A6" s="17" t="str">
        <x:v>CAND-2025-MAR-PPR-UNNAMED</x:v>
      </x:c>
      <x:c r="B6" s="17" t="str">
        <x:v>2025-03-19 to 2025-03-24</x:v>
      </x:c>
      <x:c r="C6" s="17" t="str">
        <x:v>Unspecified PPR locations under MBJB</x:v>
      </x:c>
      <x:c r="D6" s="17" t="str">
        <x:v>LOCATION_NAMES_UNRESOLVED</x:v>
      </x:c>
      <x:c r="E6" s="17" t="str">
        <x:v>SRC_R2025_MAYOR_20250328</x:v>
      </x:c>
      <x:c r="F6" s="17" t="str">
        <x:v>Mayor says affected locations included PPR schemes but public article does not name each scheme.</x:v>
      </x:c>
    </x:row>
    <x:row r="7">
      <x:c r="A7" s="17" t="str">
        <x:v>CAND-2025-JAN-KAMPUNG-LAUT-RIVER</x:v>
      </x:c>
      <x:c r="B7" s="17" t="str">
        <x:v>2025-01-13</x:v>
      </x:c>
      <x:c r="C7" s="17" t="str">
        <x:v>Kampung Laut / Sungai Skudai monitoring point</x:v>
      </x:c>
      <x:c r="D7" s="17" t="str">
        <x:v>RIVER_LEVEL_NOT_DIRECT_EVENT</x:v>
      </x:c>
      <x:c r="E7" s="17" t="str">
        <x:v>SRC_R2025_NADMA_20250113</x:v>
      </x:c>
      <x:c r="F7" s="17" t="str">
        <x:v>Alert-level river reading does not by itself prove a new event-location at Kampung Laut in the January episode.</x:v>
      </x:c>
    </x:row>
    <x:row r="8">
      <x:c r="A8" s="17" t="str">
        <x:v>CAND-2025-HOTSPOT-51</x:v>
      </x:c>
      <x:c r="B8" s="17" t="str">
        <x:v>2025 risk context</x:v>
      </x:c>
      <x:c r="C8" s="17" t="str">
        <x:v>51 Johor Bahru flood-risk locations</x:v>
      </x:c>
      <x:c r="D8" s="17" t="str">
        <x:v>RISK_LIST_NOT_EVENT_LIST</x:v>
      </x:c>
      <x:c r="E8" s="17" t="str">
        <x:v>SRC_R2025_RMP_HOTSPOTS_20251204</x:v>
      </x:c>
      <x:c r="F8" s="17" t="str">
        <x:v>Preparedness/hotspot list is contextual evidence only; no dated Event_IDs created.</x:v>
      </x:c>
    </x:row>
    <x:row r="9">
      <x:c r="A9" s="17" t="str">
        <x:v>CAND-2025-DEC13-OTHER-JB</x:v>
      </x:c>
      <x:c r="B9" s="17" t="str">
        <x:v>2025-12-13</x:v>
      </x:c>
      <x:c r="C9" s="17" t="str">
        <x:v>Other Johor Bahru locations possibly affected on second consecutive day</x:v>
      </x:c>
      <x:c r="D9" s="17" t="str">
        <x:v>LOCATION_UNRESOLVED</x:v>
      </x:c>
      <x:c r="E9" s="17" t="str">
        <x:v>SRC_R2025_BERNAMA_IMAGE_20251213</x:v>
      </x:c>
      <x:c r="F9" s="17" t="str">
        <x:v>Bernama confirms two consecutive flood days at Kampung Mohd Amin, but does not provide a defensible full second-day city location list.</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45" hidden="0" customWidth="1"/>
    <x:col min="5" max="5" width="74" hidden="0" customWidth="1"/>
    <x:col min="6" max="6" width="74" hidden="0" customWidth="1"/>
    <x:col min="7" max="7" width="48" hidden="0" customWidth="1"/>
  </x:cols>
  <x:sheetData>
    <x:row r="1">
      <x:c r="A1" s="54" t="str">
        <x:v>Spatial_Object_Key</x:v>
      </x:c>
      <x:c r="B1" s="54" t="str">
        <x:v>Canonical_Name</x:v>
      </x:c>
      <x:c r="C1" s="54" t="str">
        <x:v>Object_Type</x:v>
      </x:c>
      <x:c r="D1" s="54" t="str">
        <x:v>Current_Status</x:v>
      </x:c>
      <x:c r="E1" s="54" t="str">
        <x:v>Key_Conflict_or_Gap</x:v>
      </x:c>
      <x:c r="F1" s="54" t="str">
        <x:v>Next_Spatial_Action</x:v>
      </x:c>
      <x:c r="G1" s="54" t="str">
        <x:v>Decision</x:v>
      </x:c>
    </x:row>
    <x:row r="2">
      <x:c r="A2" s="17" t="str">
        <x:v>S2025-002</x:v>
      </x:c>
      <x:c r="B2" s="17" t="str">
        <x:v>Kampung Paya Kenangan</x:v>
      </x:c>
      <x:c r="C2" s="17" t="str">
        <x:v>COMMUNITY/AREA</x:v>
      </x:c>
      <x:c r="D2" s="17" t="str">
        <x:v>POINT_READY; POLYGON_OPEN</x:v>
      </x:c>
      <x:c r="E2" s="17" t="str">
        <x:v>Representative point is defensible; exact closed event/community geometry is not frozen.</x:v>
      </x:c>
      <x:c r="F2" s="17" t="str">
        <x:v>Seek exact named closed community/residential boundary.</x:v>
      </x:c>
      <x:c r="G2" s="17" t="str">
        <x:v>OPEN - retain evidence; no fabricated closure</x:v>
      </x:c>
    </x:row>
    <x:row r="3">
      <x:c r="A3" s="17" t="str">
        <x:v>S2025-003</x:v>
      </x:c>
      <x:c r="B3" s="17" t="str">
        <x:v>SK Kangkar Tebrau</x:v>
      </x:c>
      <x:c r="C3" s="17" t="str">
        <x:v>CRITICAL FACILITY</x:v>
      </x:c>
      <x:c r="D3" s="17" t="str">
        <x:v>FACILITY_POINT/POLYGON_OPEN</x:v>
      </x:c>
      <x:c r="E3" s="17" t="str">
        <x:v>Facility impact is verified; exact building/flood polygon is not frozen.</x:v>
      </x:c>
      <x:c r="F3" s="17" t="str">
        <x:v>Resolve exact facility/building footprint only from defensible geometry.</x:v>
      </x:c>
      <x:c r="G3" s="17" t="str">
        <x:v>OPEN - retain evidence; no fabricated closure</x:v>
      </x:c>
    </x:row>
    <x:row r="4">
      <x:c r="A4" s="17" t="str">
        <x:v>S2025-004</x:v>
      </x:c>
      <x:c r="B4" s="17" t="str">
        <x:v>Masjid Kampung Kangkar Tebrau</x:v>
      </x:c>
      <x:c r="C4" s="17" t="str">
        <x:v>CRITICAL FACILITY</x:v>
      </x:c>
      <x:c r="D4" s="17" t="str">
        <x:v>FACILITY_POINT/POLYGON_OPEN</x:v>
      </x:c>
      <x:c r="E4" s="17" t="str">
        <x:v>Facility impact is verified; exact building/flood polygon is not frozen.</x:v>
      </x:c>
      <x:c r="F4" s="17" t="str">
        <x:v>Resolve exact facility/building footprint only from defensible geometry.</x:v>
      </x:c>
      <x:c r="G4" s="17" t="str">
        <x:v>OPEN - retain evidence; no fabricated closure</x:v>
      </x:c>
    </x:row>
    <x:row r="5">
      <x:c r="A5" s="17" t="str">
        <x:v>S2025-005</x:v>
      </x:c>
      <x:c r="B5" s="17" t="str">
        <x:v>Kampung Pasir</x:v>
      </x:c>
      <x:c r="C5" s="17" t="str">
        <x:v>COMMUNITY/AREA</x:v>
      </x:c>
      <x:c r="D5" s="17" t="str">
        <x:v>POINT_READY; POLYGON_OPEN</x:v>
      </x:c>
      <x:c r="E5" s="17" t="str">
        <x:v>Representative point is defensible; exact closed event/community geometry is not frozen.</x:v>
      </x:c>
      <x:c r="F5" s="17" t="str">
        <x:v>Seek exact named closed community/residential boundary.</x:v>
      </x:c>
      <x:c r="G5" s="17" t="str">
        <x:v>OPEN - retain evidence; no fabricated closure</x:v>
      </x:c>
    </x:row>
    <x:row r="6">
      <x:c r="A6" s="17" t="str">
        <x:v>S2025-006</x:v>
      </x:c>
      <x:c r="B6" s="17" t="str">
        <x:v>Kampung Ulu Pandan</x:v>
      </x:c>
      <x:c r="C6" s="17" t="str">
        <x:v>COMMUNITY/AREA</x:v>
      </x:c>
      <x:c r="D6" s="17" t="str">
        <x:v>POINT_READY; POLYGON_OPEN</x:v>
      </x:c>
      <x:c r="E6" s="17" t="str">
        <x:v>Representative point is defensible; exact closed event/community geometry is not frozen.</x:v>
      </x:c>
      <x:c r="F6" s="17" t="str">
        <x:v>Seek exact named closed community/residential boundary.</x:v>
      </x:c>
      <x:c r="G6" s="17" t="str">
        <x:v>OPEN - retain evidence; no fabricated closure</x:v>
      </x:c>
    </x:row>
    <x:row r="7">
      <x:c r="A7" s="17" t="str">
        <x:v>S2025-007</x:v>
      </x:c>
      <x:c r="B7" s="17" t="str">
        <x:v>Kampung Bunga Ros</x:v>
      </x:c>
      <x:c r="C7" s="17" t="str">
        <x:v>COMMUNITY/AREA</x:v>
      </x:c>
      <x:c r="D7" s="17" t="str">
        <x:v>POINT_READY; POLYGON_OPEN</x:v>
      </x:c>
      <x:c r="E7" s="17" t="str">
        <x:v>Representative point is defensible; exact closed event/community geometry is not frozen.</x:v>
      </x:c>
      <x:c r="F7" s="17" t="str">
        <x:v>Seek exact named closed community/residential boundary.</x:v>
      </x:c>
      <x:c r="G7" s="17" t="str">
        <x:v>OPEN - retain evidence; no fabricated closure</x:v>
      </x:c>
    </x:row>
    <x:row r="8">
      <x:c r="A8" s="17" t="str">
        <x:v>S2025-008</x:v>
      </x:c>
      <x:c r="B8" s="17" t="str">
        <x:v>Kampung Pasir Tebrau</x:v>
      </x:c>
      <x:c r="C8" s="17" t="str">
        <x:v>COMMUNITY/AREA</x:v>
      </x:c>
      <x:c r="D8" s="17" t="str">
        <x:v>POINT_READY; POLYGON_OPEN</x:v>
      </x:c>
      <x:c r="E8" s="17" t="str">
        <x:v>Representative point is defensible; exact closed event/community geometry is not frozen.</x:v>
      </x:c>
      <x:c r="F8" s="17" t="str">
        <x:v>Seek exact named closed community/residential boundary.</x:v>
      </x:c>
      <x:c r="G8" s="17" t="str">
        <x:v>OPEN - retain evidence; no fabricated closure</x:v>
      </x:c>
    </x:row>
    <x:row r="9">
      <x:c r="A9" s="17" t="str">
        <x:v>S2025-009</x:v>
      </x:c>
      <x:c r="B9" s="17" t="str">
        <x:v>Kampung Laut Skudai</x:v>
      </x:c>
      <x:c r="C9" s="17" t="str">
        <x:v>COMMUNITY/AREA</x:v>
      </x:c>
      <x:c r="D9" s="17" t="str">
        <x:v>POINT_READY; POLYGON_OPEN</x:v>
      </x:c>
      <x:c r="E9" s="17" t="str">
        <x:v>Representative point is defensible; exact closed event/community geometry is not frozen.</x:v>
      </x:c>
      <x:c r="F9" s="17" t="str">
        <x:v>Seek exact named closed community/residential boundary.</x:v>
      </x:c>
      <x:c r="G9" s="17" t="str">
        <x:v>OPEN - retain evidence; no fabricated closure</x:v>
      </x:c>
    </x:row>
    <x:row r="10">
      <x:c r="A10" s="17" t="str">
        <x:v>S2025-010</x:v>
      </x:c>
      <x:c r="B10" s="17" t="str">
        <x:v>Pandan</x:v>
      </x:c>
      <x:c r="C10" s="17" t="str">
        <x:v>AREA/RESIDENTIAL</x:v>
      </x:c>
      <x:c r="D10" s="17" t="str">
        <x:v>POINT_READY; POLYGON_OPEN</x:v>
      </x:c>
      <x:c r="E10" s="17" t="str">
        <x:v>Representative point is defensible; exact closed event/community geometry is not frozen.</x:v>
      </x:c>
      <x:c r="F10" s="17" t="str">
        <x:v>Seek exact named closed community/residential boundary.</x:v>
      </x:c>
      <x:c r="G10" s="17" t="str">
        <x:v>OPEN - retain evidence; no fabricated closure</x:v>
      </x:c>
    </x:row>
    <x:row r="11">
      <x:c r="A11" s="17" t="str">
        <x:v>S2025-011</x:v>
      </x:c>
      <x:c r="B11" s="17" t="str">
        <x:v>Taman Desa Mutiara</x:v>
      </x:c>
      <x:c r="C11" s="17" t="str">
        <x:v>AREA/RESIDENTIAL</x:v>
      </x:c>
      <x:c r="D11" s="17" t="str">
        <x:v>POINT_READY; POLYGON_OPEN</x:v>
      </x:c>
      <x:c r="E11" s="17" t="str">
        <x:v>Representative point is defensible; exact closed event/community geometry is not frozen.</x:v>
      </x:c>
      <x:c r="F11" s="17" t="str">
        <x:v>Seek exact named closed community/residential boundary.</x:v>
      </x:c>
      <x:c r="G11" s="17" t="str">
        <x:v>OPEN - retain evidence; no fabricated closure</x:v>
      </x:c>
    </x:row>
    <x:row r="12">
      <x:c r="A12" s="17" t="str">
        <x:v>S2025-012</x:v>
      </x:c>
      <x:c r="B12" s="17" t="str">
        <x:v>Taman Tampoi Utama</x:v>
      </x:c>
      <x:c r="C12" s="17" t="str">
        <x:v>AREA/RESIDENTIAL</x:v>
      </x:c>
      <x:c r="D12" s="17" t="str">
        <x:v>POINT_READY; POLYGON_OPEN</x:v>
      </x:c>
      <x:c r="E12" s="17" t="str">
        <x:v>Representative point is defensible; exact closed event/community geometry is not frozen.</x:v>
      </x:c>
      <x:c r="F12" s="17" t="str">
        <x:v>Seek exact named closed community/residential boundary.</x:v>
      </x:c>
      <x:c r="G12" s="17" t="str">
        <x:v>OPEN - retain evidence; no fabricated closure</x:v>
      </x:c>
    </x:row>
    <x:row r="13">
      <x:c r="A13" s="17" t="str">
        <x:v>S2025-013</x:v>
      </x:c>
      <x:c r="B13" s="17" t="str">
        <x:v>Kampung Seri Serdang</x:v>
      </x:c>
      <x:c r="C13" s="17" t="str">
        <x:v>COMMUNITY/AREA</x:v>
      </x:c>
      <x:c r="D13" s="17" t="str">
        <x:v>POINT_READY; POLYGON_OPEN</x:v>
      </x:c>
      <x:c r="E13" s="17" t="str">
        <x:v>Representative point is defensible; exact closed event/community geometry is not frozen.</x:v>
      </x:c>
      <x:c r="F13" s="17" t="str">
        <x:v>Seek exact named closed community/residential boundary.</x:v>
      </x:c>
      <x:c r="G13" s="17" t="str">
        <x:v>OPEN - retain evidence; no fabricated closure</x:v>
      </x:c>
    </x:row>
    <x:row r="14">
      <x:c r="A14" s="17" t="str">
        <x:v>S2025-014</x:v>
      </x:c>
      <x:c r="B14" s="17" t="str">
        <x:v>Kampung Melayu Pandan</x:v>
      </x:c>
      <x:c r="C14" s="17" t="str">
        <x:v>COMMUNITY/AREA</x:v>
      </x:c>
      <x:c r="D14" s="17" t="str">
        <x:v>POINT_READY; POLYGON_OPEN</x:v>
      </x:c>
      <x:c r="E14" s="17" t="str">
        <x:v>Representative point is defensible; exact closed event/community geometry is not frozen.</x:v>
      </x:c>
      <x:c r="F14" s="17" t="str">
        <x:v>Seek exact named closed community/residential boundary.</x:v>
      </x:c>
      <x:c r="G14" s="17" t="str">
        <x:v>OPEN - retain evidence; no fabricated closure</x:v>
      </x:c>
    </x:row>
    <x:row r="15">
      <x:c r="A15" s="17" t="str">
        <x:v>S2025-015</x:v>
      </x:c>
      <x:c r="B15" s="17" t="str">
        <x:v>Kampung Belantik</x:v>
      </x:c>
      <x:c r="C15" s="17" t="str">
        <x:v>COMMUNITY/AREA</x:v>
      </x:c>
      <x:c r="D15" s="17" t="str">
        <x:v>IDENTITY_VALID; POINT_OPEN; POLYGON_OPEN</x:v>
      </x:c>
      <x:c r="E15" s="17" t="str">
        <x:v>Mayor explicitly names Kampung Belantik, but earlier combined Belantik/Bendahara evidence must not be silently converted to Bendahara coordinates.</x:v>
      </x:c>
      <x:c r="F15" s="17" t="str">
        <x:v>Resolve Kampung Belantik identity independently.</x:v>
      </x:c>
      <x:c r="G15" s="17" t="str">
        <x:v>OPEN - retain evidence; no fabricated closure</x:v>
      </x:c>
    </x:row>
    <x:row r="16">
      <x:c r="A16" s="17" t="str">
        <x:v>S2025-016</x:v>
      </x:c>
      <x:c r="B16" s="17" t="str">
        <x:v>Taman Tampoi Indah</x:v>
      </x:c>
      <x:c r="C16" s="17" t="str">
        <x:v>AREA/RESIDENTIAL</x:v>
      </x:c>
      <x:c r="D16" s="17" t="str">
        <x:v>POINT_READY; POLYGON_OPEN</x:v>
      </x:c>
      <x:c r="E16" s="17" t="str">
        <x:v>Representative point is defensible; exact closed event/community geometry is not frozen.</x:v>
      </x:c>
      <x:c r="F16" s="17" t="str">
        <x:v>Seek exact named closed community/residential boundary.</x:v>
      </x:c>
      <x:c r="G16" s="17" t="str">
        <x:v>OPEN - retain evidence; no fabricated closure</x:v>
      </x:c>
    </x:row>
    <x:row r="17">
      <x:c r="A17" s="17" t="str">
        <x:v>S2025-017</x:v>
      </x:c>
      <x:c r="B17" s="17" t="str">
        <x:v>Perling</x:v>
      </x:c>
      <x:c r="C17" s="17" t="str">
        <x:v>AREA/RESIDENTIAL</x:v>
      </x:c>
      <x:c r="D17" s="17" t="str">
        <x:v>LOWER_TIER_EVENT_EVIDENCE; POINT_OPEN; POLYGON_OPEN</x:v>
      </x:c>
      <x:c r="E17" s="17" t="str">
        <x:v>Field observation confirms severe flooding/electricity isolation, but source tier is lower than official MBJB list.</x:v>
      </x:c>
      <x:c r="F17" s="17" t="str">
        <x:v>Retain event; seek official incident/geospatial confirmation.</x:v>
      </x:c>
      <x:c r="G17" s="17" t="str">
        <x:v>OPEN - retain evidence; no fabricated closure</x:v>
      </x:c>
    </x:row>
    <x:row r="18">
      <x:c r="A18" s="17" t="str">
        <x:v>S2025-018</x:v>
      </x:c>
      <x:c r="B18" s="17" t="str">
        <x:v>Jalan Sukun, Kampung Pasir</x:v>
      </x:c>
      <x:c r="C18" s="17" t="str">
        <x:v>ROAD/ROAD SEGMENT</x:v>
      </x:c>
      <x:c r="D18" s="17" t="str">
        <x:v>ROAD_SEGMENT_OPEN</x:v>
      </x:c>
      <x:c r="E18" s="17" t="str">
        <x:v>Road is event-valid; exact flooded start/end segment is not defensibly frozen.</x:v>
      </x:c>
      <x:c r="F18" s="17" t="str">
        <x:v>Recover exact flooded segment or route-chainage geometry before road GIS closure.</x:v>
      </x:c>
      <x:c r="G18" s="17" t="str">
        <x:v>OPEN - retain evidence; no fabricated closure</x:v>
      </x:c>
    </x:row>
    <x:row r="19">
      <x:c r="A19" s="17" t="str">
        <x:v>S2025-019</x:v>
      </x:c>
      <x:c r="B19" s="17" t="str">
        <x:v>SK Kampung Maju Jaya</x:v>
      </x:c>
      <x:c r="C19" s="17" t="str">
        <x:v>CRITICAL FACILITY</x:v>
      </x:c>
      <x:c r="D19" s="17" t="str">
        <x:v>POINT_READY; FACILITY_POLYGON_OPEN</x:v>
      </x:c>
      <x:c r="E19" s="17" t="str">
        <x:v>Facility impact is verified; exact building/flood polygon is not frozen.</x:v>
      </x:c>
      <x:c r="F19" s="17" t="str">
        <x:v>Resolve exact facility/building footprint only from defensible geometry.</x:v>
      </x:c>
      <x:c r="G19" s="17" t="str">
        <x:v>OPEN - retain evidence; no fabricated closure</x:v>
      </x:c>
    </x:row>
    <x:row r="20">
      <x:c r="A20" s="17" t="str">
        <x:v>S2025-020</x:v>
      </x:c>
      <x:c r="B20" s="17" t="str">
        <x:v>SK Taman Tampoi Utama</x:v>
      </x:c>
      <x:c r="C20" s="17" t="str">
        <x:v>CRITICAL FACILITY</x:v>
      </x:c>
      <x:c r="D20" s="17" t="str">
        <x:v>FACILITY_POINT/POLYGON_OPEN</x:v>
      </x:c>
      <x:c r="E20" s="17" t="str">
        <x:v>Facility impact is verified; exact building/flood polygon is not frozen.</x:v>
      </x:c>
      <x:c r="F20" s="17" t="str">
        <x:v>Resolve exact facility/building footprint only from defensible geometry.</x:v>
      </x:c>
      <x:c r="G20" s="17" t="str">
        <x:v>OPEN - retain evidence; no fabricated closure</x:v>
      </x:c>
    </x:row>
    <x:row r="21">
      <x:c r="A21" s="17" t="str">
        <x:v>S2025-021</x:v>
      </x:c>
      <x:c r="B21" s="17" t="str">
        <x:v>KD Kangkar Tebrau</x:v>
      </x:c>
      <x:c r="C21" s="17" t="str">
        <x:v>CRITICAL FACILITY</x:v>
      </x:c>
      <x:c r="D21" s="17" t="str">
        <x:v>FACILITY_POINT/POLYGON_OPEN</x:v>
      </x:c>
      <x:c r="E21" s="17" t="str">
        <x:v>Facility impact is verified; exact building/flood polygon is not frozen.</x:v>
      </x:c>
      <x:c r="F21" s="17" t="str">
        <x:v>Resolve exact facility/building footprint only from defensible geometry.</x:v>
      </x:c>
      <x:c r="G21" s="17" t="str">
        <x:v>OPEN - retain evidence; no fabricated closure</x:v>
      </x:c>
    </x:row>
    <x:row r="22">
      <x:c r="A22" s="17" t="str">
        <x:v>S2025-022</x:v>
      </x:c>
      <x:c r="B22" s="17" t="str">
        <x:v>KD Maju Jaya</x:v>
      </x:c>
      <x:c r="C22" s="17" t="str">
        <x:v>CRITICAL FACILITY</x:v>
      </x:c>
      <x:c r="D22" s="17" t="str">
        <x:v>FACILITY_POINT/POLYGON_OPEN</x:v>
      </x:c>
      <x:c r="E22" s="17" t="str">
        <x:v>Facility impact is verified; exact building/flood polygon is not frozen.</x:v>
      </x:c>
      <x:c r="F22" s="17" t="str">
        <x:v>Resolve exact facility/building footprint only from defensible geometry.</x:v>
      </x:c>
      <x:c r="G22" s="17" t="str">
        <x:v>OPEN - retain evidence; no fabricated closure</x:v>
      </x:c>
    </x:row>
    <x:row r="23">
      <x:c r="A23" s="17" t="str">
        <x:v>S2025-023</x:v>
      </x:c>
      <x:c r="B23" s="17" t="str">
        <x:v>KD Plentong</x:v>
      </x:c>
      <x:c r="C23" s="17" t="str">
        <x:v>CRITICAL FACILITY</x:v>
      </x:c>
      <x:c r="D23" s="17" t="str">
        <x:v>FACILITY_POINT/POLYGON_OPEN</x:v>
      </x:c>
      <x:c r="E23" s="17" t="str">
        <x:v>Facility impact is verified; exact building/flood polygon is not frozen.</x:v>
      </x:c>
      <x:c r="F23" s="17" t="str">
        <x:v>Resolve exact facility/building footprint only from defensible geometry.</x:v>
      </x:c>
      <x:c r="G23" s="17" t="str">
        <x:v>OPEN - retain evidence; no fabricated closure</x:v>
      </x:c>
    </x:row>
    <x:row r="24">
      <x:c r="A24" s="17" t="str">
        <x:v>S2025-024</x:v>
      </x:c>
      <x:c r="B24" s="17" t="str">
        <x:v>FT003 Johor Bahru–Endau Sec 21.0–21.8</x:v>
      </x:c>
      <x:c r="C24" s="17" t="str">
        <x:v>ROAD/ROAD SEGMENT</x:v>
      </x:c>
      <x:c r="D24" s="17" t="str">
        <x:v>JKR_SECTION_READY; WKT_PENDING</x:v>
      </x:c>
      <x:c r="E24" s="17" t="str">
        <x:v>JKR supplies route and section limits, but WKT/road-centreline clipping is not yet reconstructed in this workbook.</x:v>
      </x:c>
      <x:c r="F24" s="17" t="str">
        <x:v>Clip the authoritative road network by JKR section chainage; do not buffer arbitrarily.</x:v>
      </x:c>
      <x:c r="G24" s="17" t="str">
        <x:v>OPEN - retain evidence; no fabricated closure</x:v>
      </x:c>
    </x:row>
    <x:row r="25">
      <x:c r="A25" s="17" t="str">
        <x:v>S2025-025</x:v>
      </x:c>
      <x:c r="B25" s="17" t="str">
        <x:v>FT003 Jalan Johor Bahru–Kota Tinggi Sec 9.1–10.0</x:v>
      </x:c>
      <x:c r="C25" s="17" t="str">
        <x:v>ROAD/ROAD SEGMENT</x:v>
      </x:c>
      <x:c r="D25" s="17" t="str">
        <x:v>JKR_SECTION_READY; WKT_PENDING</x:v>
      </x:c>
      <x:c r="E25" s="17" t="str">
        <x:v>JKR supplies route and section limits, but WKT/road-centreline clipping is not yet reconstructed in this workbook.</x:v>
      </x:c>
      <x:c r="F25" s="17" t="str">
        <x:v>Clip the authoritative road network by JKR section chainage; do not buffer arbitrarily.</x:v>
      </x:c>
      <x:c r="G25" s="17" t="str">
        <x:v>OPEN - retain evidence; no fabricated closure</x:v>
      </x:c>
    </x:row>
    <x:row r="26">
      <x:c r="A26" s="17" t="str">
        <x:v>S2025-026</x:v>
      </x:c>
      <x:c r="B26" s="17" t="str">
        <x:v>FT01 Jalan Johor Bahru–Senai Sec 19.6–20.0</x:v>
      </x:c>
      <x:c r="C26" s="17" t="str">
        <x:v>ROAD/ROAD SEGMENT</x:v>
      </x:c>
      <x:c r="D26" s="17" t="str">
        <x:v>JKR_SECTION_READY; WKT_PENDING</x:v>
      </x:c>
      <x:c r="E26" s="17" t="str">
        <x:v>JKR supplies route and section limits, but WKT/road-centreline clipping is not yet reconstructed in this workbook.</x:v>
      </x:c>
      <x:c r="F26" s="17" t="str">
        <x:v>Clip the authoritative road network by JKR section chainage; do not buffer arbitrarily.</x:v>
      </x:c>
      <x:c r="G26" s="17" t="str">
        <x:v>OPEN - retain evidence; no fabricated closure</x:v>
      </x:c>
    </x:row>
    <x:row r="27">
      <x:c r="A27" s="17" t="str">
        <x:v>S2025-027</x:v>
      </x:c>
      <x:c r="B27" s="17" t="str">
        <x:v>FT017 Lebuhraya Pasir Gudang Sec 10.20–10.70</x:v>
      </x:c>
      <x:c r="C27" s="17" t="str">
        <x:v>ROAD/ROAD SEGMENT</x:v>
      </x:c>
      <x:c r="D27" s="17" t="str">
        <x:v>JKR_SECTION_READY; WKT_PENDING</x:v>
      </x:c>
      <x:c r="E27" s="17" t="str">
        <x:v>JKR supplies route and section limits, but WKT/road-centreline clipping is not yet reconstructed in this workbook.</x:v>
      </x:c>
      <x:c r="F27" s="17" t="str">
        <x:v>Clip the authoritative road network by JKR section chainage; do not buffer arbitrarily.</x:v>
      </x:c>
      <x:c r="G27" s="17" t="str">
        <x:v>OPEN - retain evidence; no fabricated closure</x:v>
      </x:c>
    </x:row>
    <x:row r="28">
      <x:c r="A28" s="17" t="str">
        <x:v>S2025-028</x:v>
      </x:c>
      <x:c r="B28" s="17" t="str">
        <x:v>FT017 Lebuhraya Pasir Gudang Sec 21.0–21.3</x:v>
      </x:c>
      <x:c r="C28" s="17" t="str">
        <x:v>ROAD/ROAD SEGMENT</x:v>
      </x:c>
      <x:c r="D28" s="17" t="str">
        <x:v>JKR_SECTION_READY; WKT_PENDING</x:v>
      </x:c>
      <x:c r="E28" s="17" t="str">
        <x:v>JKR supplies route and section limits, but WKT/road-centreline clipping is not yet reconstructed in this workbook.</x:v>
      </x:c>
      <x:c r="F28" s="17" t="str">
        <x:v>Clip the authoritative road network by JKR section chainage; do not buffer arbitrarily.</x:v>
      </x:c>
      <x:c r="G28" s="17" t="str">
        <x:v>OPEN - retain evidence; no fabricated closure</x:v>
      </x:c>
    </x:row>
    <x:row r="29">
      <x:c r="A29" s="17" t="str">
        <x:v>S2025-029</x:v>
      </x:c>
      <x:c r="B29" s="17" t="str">
        <x:v>J105 Jalan Maju Jaya–Seelong Sec 5.0–5.5</x:v>
      </x:c>
      <x:c r="C29" s="17" t="str">
        <x:v>ROAD/ROAD SEGMENT</x:v>
      </x:c>
      <x:c r="D29" s="17" t="str">
        <x:v>JKR_SECTION_READY; WKT_PENDING</x:v>
      </x:c>
      <x:c r="E29" s="17" t="str">
        <x:v>JKR supplies route and section limits, but WKT/road-centreline clipping is not yet reconstructed in this workbook.</x:v>
      </x:c>
      <x:c r="F29" s="17" t="str">
        <x:v>Clip the authoritative road network by JKR section chainage; do not buffer arbitrarily.</x:v>
      </x:c>
      <x:c r="G29" s="17" t="str">
        <x:v>OPEN - retain evidence; no fabricated closure</x:v>
      </x:c>
    </x:row>
    <x:row r="30">
      <x:c r="A30" s="17" t="str">
        <x:v>S2025-030</x:v>
      </x:c>
      <x:c r="B30" s="17" t="str">
        <x:v>J105 Jalan Maju Jaya–Seelong Sec 7.0–7.5</x:v>
      </x:c>
      <x:c r="C30" s="17" t="str">
        <x:v>ROAD/ROAD SEGMENT</x:v>
      </x:c>
      <x:c r="D30" s="17" t="str">
        <x:v>JKR_SECTION_READY; WKT_PENDING</x:v>
      </x:c>
      <x:c r="E30" s="17" t="str">
        <x:v>JKR supplies route and section limits, but WKT/road-centreline clipping is not yet reconstructed in this workbook.</x:v>
      </x:c>
      <x:c r="F30" s="17" t="str">
        <x:v>Clip the authoritative road network by JKR section chainage; do not buffer arbitrarily.</x:v>
      </x:c>
      <x:c r="G30" s="17" t="str">
        <x:v>OPEN - retain evidence; no fabricated closure</x:v>
      </x:c>
    </x:row>
    <x:row r="31">
      <x:c r="A31" s="17" t="str">
        <x:v>S2025-031</x:v>
      </x:c>
      <x:c r="B31" s="17" t="str">
        <x:v>J46 Jalan Ulu Pulai Sec 2.0–2.3</x:v>
      </x:c>
      <x:c r="C31" s="17" t="str">
        <x:v>ROAD/ROAD SEGMENT</x:v>
      </x:c>
      <x:c r="D31" s="17" t="str">
        <x:v>JKR_SECTION_READY; WKT_PENDING</x:v>
      </x:c>
      <x:c r="E31" s="17" t="str">
        <x:v>JKR supplies route and section limits, but WKT/road-centreline clipping is not yet reconstructed in this workbook.</x:v>
      </x:c>
      <x:c r="F31" s="17" t="str">
        <x:v>Clip the authoritative road network by JKR section chainage; do not buffer arbitrarily.</x:v>
      </x:c>
      <x:c r="G31" s="17" t="str">
        <x:v>OPEN - retain evidence; no fabricated closure</x:v>
      </x:c>
    </x:row>
    <x:row r="32">
      <x:c r="A32" s="17" t="str">
        <x:v>S2025-032</x:v>
      </x:c>
      <x:c r="B32" s="17" t="str">
        <x:v>Lebuhraya Pasir Gudang near Taman Rinting interchange</x:v>
      </x:c>
      <x:c r="C32" s="17" t="str">
        <x:v>ROAD/ROAD SEGMENT</x:v>
      </x:c>
      <x:c r="D32" s="17" t="str">
        <x:v>ROAD_SEGMENT_OPEN</x:v>
      </x:c>
      <x:c r="E32" s="17" t="str">
        <x:v>Road is event-valid; exact flooded start/end segment is not defensibly frozen.</x:v>
      </x:c>
      <x:c r="F32" s="17" t="str">
        <x:v>Recover exact flooded segment or route-chainage geometry before road GIS closure.</x:v>
      </x:c>
      <x:c r="G32" s="17" t="str">
        <x:v>OPEN - retain evidence; no fabricated closure</x:v>
      </x:c>
    </x:row>
    <x:row r="33">
      <x:c r="A33" s="17" t="str">
        <x:v>S2025-033</x:v>
      </x:c>
      <x:c r="B33" s="17" t="str">
        <x:v>Bangunan Lily, Hospital Sultanah Aminah</x:v>
      </x:c>
      <x:c r="C33" s="17" t="str">
        <x:v>CRITICAL FACILITY</x:v>
      </x:c>
      <x:c r="D33" s="17" t="str">
        <x:v>BUILDING_SPECIFIC; PARENT_HSA_REFERENCE_ONLY; POLYGON_OPEN</x:v>
      </x:c>
      <x:c r="E33" s="17" t="str">
        <x:v>HSA campus polygon exists, but it must not be substituted for the flooded Lily building footprint.</x:v>
      </x:c>
      <x:c r="F33" s="17" t="str">
        <x:v>Resolve exact Building Lily footprint before polygon closure.</x:v>
      </x:c>
      <x:c r="G33" s="17" t="str">
        <x:v>OPEN - retain evidence; no fabricated closure</x:v>
      </x:c>
    </x:row>
    <x:row r="34">
      <x:c r="A34" s="17" t="str">
        <x:v>S2025-034</x:v>
      </x:c>
      <x:c r="B34" s="17" t="str">
        <x:v>Jalan Kolam Ayer</x:v>
      </x:c>
      <x:c r="C34" s="17" t="str">
        <x:v>ROAD/ROAD SEGMENT</x:v>
      </x:c>
      <x:c r="D34" s="17" t="str">
        <x:v>POINT_REFERENCE; ROAD_SEGMENT_OPEN</x:v>
      </x:c>
      <x:c r="E34" s="17" t="str">
        <x:v>Road is event-valid; exact flooded start/end segment is not defensibly frozen.</x:v>
      </x:c>
      <x:c r="F34" s="17" t="str">
        <x:v>Recover exact flooded segment or route-chainage geometry before road GIS closure.</x:v>
      </x:c>
      <x:c r="G34" s="17" t="str">
        <x:v>OPEN - retain evidence; no fabricated closure</x:v>
      </x:c>
    </x:row>
    <x:row r="35">
      <x:c r="A35" s="17" t="str">
        <x:v>S2025-035</x:v>
      </x:c>
      <x:c r="B35" s="17" t="str">
        <x:v>Taman Nong Chik</x:v>
      </x:c>
      <x:c r="C35" s="17" t="str">
        <x:v>AREA/RESIDENTIAL</x:v>
      </x:c>
      <x:c r="D35" s="17" t="str">
        <x:v>POINT_READY; POLYGON_OPEN</x:v>
      </x:c>
      <x:c r="E35" s="17" t="str">
        <x:v>Representative point is defensible; exact closed event/community geometry is not frozen.</x:v>
      </x:c>
      <x:c r="F35" s="17" t="str">
        <x:v>Seek exact named closed community/residential boundary.</x:v>
      </x:c>
      <x:c r="G35" s="17" t="str">
        <x:v>OPEN - retain evidence; no fabricated closure</x:v>
      </x:c>
    </x:row>
    <x:row r="36">
      <x:c r="A36" s="17" t="str">
        <x:v>S2025-036</x:v>
      </x:c>
      <x:c r="B36" s="17" t="str">
        <x:v>Jalan Sungai Chat</x:v>
      </x:c>
      <x:c r="C36" s="17" t="str">
        <x:v>ROAD/ROAD SEGMENT</x:v>
      </x:c>
      <x:c r="D36" s="17" t="str">
        <x:v>POINT_REFERENCE; ROAD_SEGMENT_OPEN</x:v>
      </x:c>
      <x:c r="E36" s="17" t="str">
        <x:v>Road is event-valid; exact flooded start/end segment is not defensibly frozen.</x:v>
      </x:c>
      <x:c r="F36" s="17" t="str">
        <x:v>Recover exact flooded segment or route-chainage geometry before road GIS closure.</x:v>
      </x:c>
      <x:c r="G36" s="17" t="str">
        <x:v>OPEN - retain evidence; no fabricated closure</x:v>
      </x:c>
    </x:row>
    <x:row r="37">
      <x:c r="A37" s="17" t="str">
        <x:v>S2025-037</x:v>
      </x:c>
      <x:c r="B37" s="17" t="str">
        <x:v>Tasik Merdeka</x:v>
      </x:c>
      <x:c r="C37" s="17" t="str">
        <x:v>AREA/RESIDENTIAL</x:v>
      </x:c>
      <x:c r="D37" s="17" t="str">
        <x:v>POINT_OPEN; POLYGON_OPEN</x:v>
      </x:c>
      <x:c r="E37" s="17" t="str">
        <x:v>Event identity is valid but no strict traceable point/boundary is frozen.</x:v>
      </x:c>
      <x:c r="F37" s="17" t="str">
        <x:v>Resolve official geospatial point/boundary; do not fabricate geometry.</x:v>
      </x:c>
      <x:c r="G37" s="17" t="str">
        <x:v>OPEN - retain evidence; no fabricated closure</x:v>
      </x:c>
    </x:row>
    <x:row r="38">
      <x:c r="A38" s="17" t="str">
        <x:v>S2025-038</x:v>
      </x:c>
      <x:c r="B38" s="17" t="str">
        <x:v>Kampung Mohd Amin / Jalan Md Amin context</x:v>
      </x:c>
      <x:c r="C38" s="17" t="str">
        <x:v>COMMUNITY/AREA</x:v>
      </x:c>
      <x:c r="D38" s="17" t="str">
        <x:v>POINT_READY; POLYGON_OPEN</x:v>
      </x:c>
      <x:c r="E38" s="17" t="str">
        <x:v>Representative point is defensible; exact closed event/community geometry is not frozen.</x:v>
      </x:c>
      <x:c r="F38" s="17" t="str">
        <x:v>Seek exact named closed community/residential boundary.</x:v>
      </x:c>
      <x:c r="G38" s="17" t="str">
        <x:v>OPEN - retain evidence; no fabricated closure</x:v>
      </x:c>
    </x:row>
    <x:row r="39">
      <x:c r="A39" s="17" t="str">
        <x:v>S2025-039</x:v>
      </x:c>
      <x:c r="B39" s="17" t="str">
        <x:v>Jalan Wong Ah Fook</x:v>
      </x:c>
      <x:c r="C39" s="17" t="str">
        <x:v>ROAD/ROAD SEGMENT</x:v>
      </x:c>
      <x:c r="D39" s="17" t="str">
        <x:v>POINT_REFERENCE; ROAD_SEGMENT_OPEN</x:v>
      </x:c>
      <x:c r="E39" s="17" t="str">
        <x:v>Road is event-valid; exact flooded start/end segment is not defensibly frozen.</x:v>
      </x:c>
      <x:c r="F39" s="17" t="str">
        <x:v>Recover exact flooded segment or route-chainage geometry before road GIS closure.</x:v>
      </x:c>
      <x:c r="G39" s="17" t="str">
        <x:v>OPEN - retain evidence; no fabricated closure</x:v>
      </x:c>
    </x:row>
    <x:row r="40">
      <x:c r="A40" s="17" t="str">
        <x:v>S2025-040</x:v>
      </x:c>
      <x:c r="B40" s="17" t="str">
        <x:v>Jalan Tun Abdul Razak</x:v>
      </x:c>
      <x:c r="C40" s="17" t="str">
        <x:v>ROAD/ROAD SEGMENT</x:v>
      </x:c>
      <x:c r="D40" s="17" t="str">
        <x:v>POINT_REFERENCE; ROAD_SEGMENT_OPEN</x:v>
      </x:c>
      <x:c r="E40" s="17" t="str">
        <x:v>Road is event-valid; exact flooded start/end segment is not defensibly frozen.</x:v>
      </x:c>
      <x:c r="F40" s="17" t="str">
        <x:v>Recover exact flooded segment or route-chainage geometry before road GIS closure.</x:v>
      </x:c>
      <x:c r="G40" s="17" t="str">
        <x:v>OPEN - retain evidence; no fabricated closure</x:v>
      </x:c>
    </x:row>
    <x:row r="41">
      <x:c r="A41" s="17" t="str">
        <x:v>S2025-041</x:v>
      </x:c>
      <x:c r="B41" s="17" t="str">
        <x:v>Taman Pelangi</x:v>
      </x:c>
      <x:c r="C41" s="17" t="str">
        <x:v>AREA/RESIDENTIAL</x:v>
      </x:c>
      <x:c r="D41" s="17" t="str">
        <x:v>POINT_OPEN; POLYGON_OPEN</x:v>
      </x:c>
      <x:c r="E41" s="17" t="str">
        <x:v>Established news explicitly names Taman Pelangi; exact inundated subarea/boundary not frozen.</x:v>
      </x:c>
      <x:c r="F41" s="17" t="str">
        <x:v>Resolve neighbourhood boundary/affected road geometry.</x:v>
      </x:c>
      <x:c r="G41" s="17" t="str">
        <x:v>OPEN - retain evidence; no fabricated closure</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52" t="str">
        <x:v>Metric</x:v>
      </x:c>
      <x:c r="B1" s="52" t="str">
        <x:v>Formula / Value</x:v>
      </x:c>
      <x:c r="C1" s="52" t="str">
        <x:v>Expected</x:v>
      </x:c>
      <x:c r="D1" s="52" t="str">
        <x:v>Status</x:v>
      </x:c>
    </x:row>
    <x:row r="2">
      <x:c r="A2" s="9" t="str">
        <x:v>2025 event-location rows</x:v>
      </x:c>
      <x:c r="B2" s="9" t="n">
        <x:f>COUNTA('35_2025_Event_Master'!A2:A48)</x:f>
        <x:v>47</x:v>
      </x:c>
      <x:c r="C2" s="9" t="n">
        <x:v>47</x:v>
      </x:c>
      <x:c r="D2" s="9" t="str">
        <x:f>IF(B2=C2,"PASS","CHECK")</x:f>
        <x:v>PASS</x:v>
      </x:c>
    </x:row>
    <x:row r="3">
      <x:c r="A3" s="9" t="str">
        <x:v>2025 episode groups</x:v>
      </x:c>
      <x:c r="B3" s="9" t="n">
        <x:f>COUNTA('36_2025_Episodes'!A2:A7)</x:f>
        <x:v>6</x:v>
      </x:c>
      <x:c r="C3" s="9" t="n">
        <x:v>6</x:v>
      </x:c>
      <x:c r="D3" s="9" t="str">
        <x:f>IF(B3=C3,"PASS","CHECK")</x:f>
        <x:v>PASS</x:v>
      </x:c>
    </x:row>
    <x:row r="4">
      <x:c r="A4" s="9" t="str">
        <x:v>2025 unique spatial objects</x:v>
      </x:c>
      <x:c r="B4" s="9" t="n">
        <x:f>COUNTA('38_2025_Spatial_Resolution'!A2:A42)</x:f>
        <x:v>41</x:v>
      </x:c>
      <x:c r="C4" s="9" t="n">
        <x:v>41</x:v>
      </x:c>
      <x:c r="D4" s="9" t="str">
        <x:f>IF(B4=C4,"PASS","CHECK")</x:f>
        <x:v>PASS</x:v>
      </x:c>
    </x:row>
    <x:row r="5">
      <x:c r="A5" s="9" t="str">
        <x:v>Strict Point-GIS-ready objects</x:v>
      </x:c>
      <x:c r="B5" s="9" t="n">
        <x:f>SUMPRODUCT(--('38_2025_Spatial_Resolution'!D2:D42=TRUE))</x:f>
        <x:v>20</x:v>
      </x:c>
      <x:c r="C5" s="9" t="n">
        <x:v>20</x:v>
      </x:c>
      <x:c r="D5" s="9" t="str">
        <x:f>IF(B5=C5,"PASS","CHECK")</x:f>
        <x:v>PASS</x:v>
      </x:c>
    </x:row>
    <x:row r="6">
      <x:c r="A6" s="9" t="str">
        <x:v>Open spatial objects</x:v>
      </x:c>
      <x:c r="B6" s="9" t="n">
        <x:f>COUNTA('40_2025_Open_Objects'!A2:A41)</x:f>
        <x:v>40</x:v>
      </x:c>
      <x:c r="C6" s="9" t="n">
        <x:v>40</x:v>
      </x:c>
      <x:c r="D6" s="9" t="str">
        <x:f>IF(B6=C6,"PASS","CHECK")</x:f>
        <x:v>PASS</x:v>
      </x:c>
    </x:row>
    <x:row r="7">
      <x:c r="A7" s="9" t="str">
        <x:v>Unresolved/non-counted evidence rows</x:v>
      </x:c>
      <x:c r="B7" s="9" t="n">
        <x:f>COUNTA('39_2025_Unresolved_Candidates'!A2:A9)</x:f>
        <x:v>8</x:v>
      </x:c>
      <x:c r="C7" s="9" t="n">
        <x:v>8</x:v>
      </x:c>
      <x:c r="D7" s="9" t="str">
        <x:f>IF(B7=C7,"PASS","CHECK")</x:f>
        <x:v>PASS</x:v>
      </x:c>
    </x:row>
    <x:row r="8">
      <x:c r="A8" s="9" t="str">
        <x:v>Missing Spatial_Object_Key refs</x:v>
      </x:c>
      <x:c r="B8" s="9" t="n">
        <x:f>COUNTIF('35_2025_Event_Master'!E2:E48,"")</x:f>
        <x:v>0</x:v>
      </x:c>
      <x:c r="C8" s="9" t="n">
        <x:v>0</x:v>
      </x:c>
      <x:c r="D8" s="9" t="str">
        <x:f>IF(B8=C8,"PASS","CHECK")</x:f>
        <x:v>PASS</x:v>
      </x:c>
    </x:row>
    <x:row r="9">
      <x:c r="A9" s="9" t="str">
        <x:v>Cumulative event rows through 2025</x:v>
      </x:c>
      <x:c r="B9" s="9" t="n">
        <x:f>276+B2</x:f>
        <x:v>323</x:v>
      </x:c>
      <x:c r="C9" s="9" t="n">
        <x:v>323</x:v>
      </x:c>
      <x:c r="D9" s="9" t="str">
        <x:f>IF(B9=C9,"PASS","CHECK")</x:f>
        <x:v>PASS</x:v>
      </x:c>
    </x:row>
    <x:row r="10">
      <x:c r="A10" s="9" t="str">
        <x:v>2026 records included</x:v>
      </x:c>
      <x:c r="B10" s="9" t="n">
        <x:v>0</x:v>
      </x:c>
      <x:c r="C10" s="9" t="n">
        <x:v>0</x:v>
      </x:c>
      <x:c r="D10" s="9" t="str">
        <x:f>IF(B10=C10,"PASS","CHECK")</x:f>
        <x:v>PASS</x:v>
      </x:c>
    </x:row>
  </x:sheetData>
  <x:pageMargins left="0.7" right="0.7" top="0.75" bottom="0.75" header="0.3" footer="0.3"/>
</x:worksheet>
</file>